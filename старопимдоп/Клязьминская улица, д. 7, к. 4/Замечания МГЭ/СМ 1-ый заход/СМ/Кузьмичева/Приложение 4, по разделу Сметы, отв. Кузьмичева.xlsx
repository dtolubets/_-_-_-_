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Кузьмичева\"/>
    </mc:Choice>
  </mc:AlternateContent>
  <bookViews>
    <workbookView xWindow="0" yWindow="0" windowWidth="28800" windowHeight="12500"/>
  </bookViews>
  <sheets>
    <sheet name="09-01-03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'09-01-03'!$34:$34</definedName>
    <definedName name="_xlnm.Print_Titles" localSheetId="1">'Ведомость объемов работ'!$17:$17</definedName>
    <definedName name="_xlnm.Print_Area" localSheetId="0">'09-01-03'!$A$1:$BD$160</definedName>
    <definedName name="_xlnm.Print_Area" localSheetId="1">'Ведомость объемов работ'!$A$1:$H$44</definedName>
  </definedNames>
  <calcPr calcId="162913"/>
</workbook>
</file>

<file path=xl/calcChain.xml><?xml version="1.0" encoding="utf-8"?>
<calcChain xmlns="http://schemas.openxmlformats.org/spreadsheetml/2006/main">
  <c r="D42" i="8" l="1"/>
  <c r="D40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158" i="7"/>
  <c r="H155" i="7"/>
  <c r="C158" i="7"/>
  <c r="C155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152" i="7"/>
  <c r="J152" i="7"/>
  <c r="I151" i="7"/>
  <c r="J151" i="7"/>
  <c r="AQ150" i="7"/>
  <c r="A150" i="7"/>
  <c r="I148" i="7"/>
  <c r="J148" i="7"/>
  <c r="I147" i="7"/>
  <c r="J147" i="7"/>
  <c r="A146" i="7"/>
  <c r="H142" i="7"/>
  <c r="H141" i="7"/>
  <c r="P143" i="7"/>
  <c r="J143" i="7"/>
  <c r="J142" i="7"/>
  <c r="J141" i="7"/>
  <c r="K140" i="7"/>
  <c r="J140" i="7"/>
  <c r="I140" i="7"/>
  <c r="O143" i="7" s="1"/>
  <c r="H140" i="7"/>
  <c r="G140" i="7"/>
  <c r="F140" i="7"/>
  <c r="V139" i="7"/>
  <c r="T139" i="7"/>
  <c r="R139" i="7"/>
  <c r="U139" i="7"/>
  <c r="S139" i="7"/>
  <c r="Q139" i="7"/>
  <c r="E139" i="7"/>
  <c r="D139" i="7"/>
  <c r="B139" i="7"/>
  <c r="H136" i="7"/>
  <c r="J136" i="7"/>
  <c r="J135" i="7"/>
  <c r="K134" i="7"/>
  <c r="P137" i="7" s="1"/>
  <c r="J134" i="7"/>
  <c r="I134" i="7"/>
  <c r="O137" i="7" s="1"/>
  <c r="H134" i="7"/>
  <c r="G134" i="7"/>
  <c r="F134" i="7"/>
  <c r="V133" i="7"/>
  <c r="T133" i="7"/>
  <c r="R133" i="7"/>
  <c r="U133" i="7"/>
  <c r="S133" i="7"/>
  <c r="Q133" i="7"/>
  <c r="E133" i="7"/>
  <c r="D133" i="7"/>
  <c r="B133" i="7"/>
  <c r="H130" i="7"/>
  <c r="J130" i="7"/>
  <c r="J129" i="7"/>
  <c r="K128" i="7"/>
  <c r="P131" i="7" s="1"/>
  <c r="J128" i="7"/>
  <c r="I128" i="7"/>
  <c r="O131" i="7" s="1"/>
  <c r="H128" i="7"/>
  <c r="G128" i="7"/>
  <c r="F128" i="7"/>
  <c r="V127" i="7"/>
  <c r="T127" i="7"/>
  <c r="R127" i="7"/>
  <c r="U127" i="7"/>
  <c r="S127" i="7"/>
  <c r="Q127" i="7"/>
  <c r="E127" i="7"/>
  <c r="D127" i="7"/>
  <c r="B127" i="7"/>
  <c r="H124" i="7"/>
  <c r="J124" i="7"/>
  <c r="K122" i="7"/>
  <c r="J123" i="7" s="1"/>
  <c r="J122" i="7"/>
  <c r="I122" i="7"/>
  <c r="O125" i="7" s="1"/>
  <c r="H122" i="7"/>
  <c r="G122" i="7"/>
  <c r="F122" i="7"/>
  <c r="V121" i="7"/>
  <c r="T121" i="7"/>
  <c r="R121" i="7"/>
  <c r="U121" i="7"/>
  <c r="S121" i="7"/>
  <c r="Q121" i="7"/>
  <c r="E121" i="7"/>
  <c r="D121" i="7"/>
  <c r="B121" i="7"/>
  <c r="H118" i="7"/>
  <c r="J118" i="7"/>
  <c r="K116" i="7"/>
  <c r="P119" i="7" s="1"/>
  <c r="J116" i="7"/>
  <c r="I116" i="7"/>
  <c r="O119" i="7" s="1"/>
  <c r="H116" i="7"/>
  <c r="G116" i="7"/>
  <c r="F116" i="7"/>
  <c r="V115" i="7"/>
  <c r="T115" i="7"/>
  <c r="R115" i="7"/>
  <c r="U115" i="7"/>
  <c r="S115" i="7"/>
  <c r="Q115" i="7"/>
  <c r="E115" i="7"/>
  <c r="D115" i="7"/>
  <c r="B115" i="7"/>
  <c r="H112" i="7"/>
  <c r="J112" i="7"/>
  <c r="K110" i="7"/>
  <c r="P113" i="7" s="1"/>
  <c r="J110" i="7"/>
  <c r="I110" i="7"/>
  <c r="O113" i="7" s="1"/>
  <c r="H110" i="7"/>
  <c r="G110" i="7"/>
  <c r="F110" i="7"/>
  <c r="V109" i="7"/>
  <c r="T109" i="7"/>
  <c r="R109" i="7"/>
  <c r="U109" i="7"/>
  <c r="S109" i="7"/>
  <c r="Q109" i="7"/>
  <c r="E109" i="7"/>
  <c r="D109" i="7"/>
  <c r="B109" i="7"/>
  <c r="O107" i="7"/>
  <c r="H107" i="7"/>
  <c r="H106" i="7"/>
  <c r="J107" i="7"/>
  <c r="J106" i="7"/>
  <c r="K104" i="7"/>
  <c r="P107" i="7" s="1"/>
  <c r="J104" i="7"/>
  <c r="I104" i="7"/>
  <c r="H105" i="7" s="1"/>
  <c r="H104" i="7"/>
  <c r="G104" i="7"/>
  <c r="F104" i="7"/>
  <c r="V103" i="7"/>
  <c r="T103" i="7"/>
  <c r="R103" i="7"/>
  <c r="U103" i="7"/>
  <c r="S103" i="7"/>
  <c r="Q103" i="7"/>
  <c r="E103" i="7"/>
  <c r="D103" i="7"/>
  <c r="B103" i="7"/>
  <c r="O101" i="7"/>
  <c r="H101" i="7"/>
  <c r="H100" i="7"/>
  <c r="H99" i="7"/>
  <c r="P101" i="7"/>
  <c r="J101" i="7"/>
  <c r="J100" i="7"/>
  <c r="K98" i="7"/>
  <c r="J99" i="7" s="1"/>
  <c r="J98" i="7"/>
  <c r="I98" i="7"/>
  <c r="H98" i="7"/>
  <c r="G98" i="7"/>
  <c r="F98" i="7"/>
  <c r="V97" i="7"/>
  <c r="T97" i="7"/>
  <c r="R97" i="7"/>
  <c r="U97" i="7"/>
  <c r="S97" i="7"/>
  <c r="Q97" i="7"/>
  <c r="E97" i="7"/>
  <c r="D97" i="7"/>
  <c r="B97" i="7"/>
  <c r="O95" i="7"/>
  <c r="H95" i="7"/>
  <c r="H94" i="7"/>
  <c r="H93" i="7"/>
  <c r="P95" i="7"/>
  <c r="J95" i="7"/>
  <c r="J94" i="7"/>
  <c r="J93" i="7"/>
  <c r="K92" i="7"/>
  <c r="J92" i="7"/>
  <c r="I92" i="7"/>
  <c r="H92" i="7"/>
  <c r="G92" i="7"/>
  <c r="F92" i="7"/>
  <c r="V91" i="7"/>
  <c r="T91" i="7"/>
  <c r="R91" i="7"/>
  <c r="U91" i="7"/>
  <c r="S91" i="7"/>
  <c r="Q91" i="7"/>
  <c r="E91" i="7"/>
  <c r="D91" i="7"/>
  <c r="B91" i="7"/>
  <c r="O89" i="7"/>
  <c r="H89" i="7"/>
  <c r="H88" i="7"/>
  <c r="H87" i="7"/>
  <c r="P89" i="7"/>
  <c r="J89" i="7"/>
  <c r="J88" i="7"/>
  <c r="K86" i="7"/>
  <c r="J87" i="7" s="1"/>
  <c r="J86" i="7"/>
  <c r="I86" i="7"/>
  <c r="H86" i="7"/>
  <c r="G86" i="7"/>
  <c r="F86" i="7"/>
  <c r="V85" i="7"/>
  <c r="T85" i="7"/>
  <c r="R85" i="7"/>
  <c r="U85" i="7"/>
  <c r="S85" i="7"/>
  <c r="Q85" i="7"/>
  <c r="E85" i="7"/>
  <c r="D85" i="7"/>
  <c r="B85" i="7"/>
  <c r="O83" i="7"/>
  <c r="H83" i="7"/>
  <c r="H82" i="7"/>
  <c r="H81" i="7"/>
  <c r="P83" i="7"/>
  <c r="J83" i="7"/>
  <c r="J82" i="7"/>
  <c r="J81" i="7"/>
  <c r="K80" i="7"/>
  <c r="J80" i="7"/>
  <c r="I80" i="7"/>
  <c r="H80" i="7"/>
  <c r="G80" i="7"/>
  <c r="F80" i="7"/>
  <c r="V79" i="7"/>
  <c r="T79" i="7"/>
  <c r="R79" i="7"/>
  <c r="U79" i="7"/>
  <c r="S79" i="7"/>
  <c r="Q79" i="7"/>
  <c r="E79" i="7"/>
  <c r="D79" i="7"/>
  <c r="B79" i="7"/>
  <c r="H76" i="7"/>
  <c r="H75" i="7"/>
  <c r="P77" i="7"/>
  <c r="J77" i="7"/>
  <c r="J76" i="7"/>
  <c r="J75" i="7"/>
  <c r="K74" i="7"/>
  <c r="J74" i="7"/>
  <c r="I74" i="7"/>
  <c r="H77" i="7" s="1"/>
  <c r="H74" i="7"/>
  <c r="G74" i="7"/>
  <c r="F74" i="7"/>
  <c r="V73" i="7"/>
  <c r="T73" i="7"/>
  <c r="R73" i="7"/>
  <c r="U73" i="7"/>
  <c r="S73" i="7"/>
  <c r="Q73" i="7"/>
  <c r="E73" i="7"/>
  <c r="D73" i="7"/>
  <c r="B73" i="7"/>
  <c r="H70" i="7"/>
  <c r="H69" i="7"/>
  <c r="J71" i="7"/>
  <c r="J70" i="7"/>
  <c r="J69" i="7"/>
  <c r="K68" i="7"/>
  <c r="P71" i="7" s="1"/>
  <c r="J68" i="7"/>
  <c r="I68" i="7"/>
  <c r="O71" i="7" s="1"/>
  <c r="H68" i="7"/>
  <c r="G68" i="7"/>
  <c r="F68" i="7"/>
  <c r="V67" i="7"/>
  <c r="T67" i="7"/>
  <c r="R67" i="7"/>
  <c r="U67" i="7"/>
  <c r="S67" i="7"/>
  <c r="Q67" i="7"/>
  <c r="E67" i="7"/>
  <c r="D67" i="7"/>
  <c r="B67" i="7"/>
  <c r="H64" i="7"/>
  <c r="J64" i="7"/>
  <c r="K62" i="7"/>
  <c r="J63" i="7" s="1"/>
  <c r="J62" i="7"/>
  <c r="I62" i="7"/>
  <c r="O65" i="7" s="1"/>
  <c r="H62" i="7"/>
  <c r="G62" i="7"/>
  <c r="F62" i="7"/>
  <c r="V61" i="7"/>
  <c r="T61" i="7"/>
  <c r="R61" i="7"/>
  <c r="U61" i="7"/>
  <c r="S61" i="7"/>
  <c r="Q61" i="7"/>
  <c r="E61" i="7"/>
  <c r="D61" i="7"/>
  <c r="B61" i="7"/>
  <c r="H58" i="7"/>
  <c r="J58" i="7"/>
  <c r="K56" i="7"/>
  <c r="J59" i="7" s="1"/>
  <c r="J56" i="7"/>
  <c r="I56" i="7"/>
  <c r="O59" i="7" s="1"/>
  <c r="H56" i="7"/>
  <c r="G56" i="7"/>
  <c r="F56" i="7"/>
  <c r="V55" i="7"/>
  <c r="T55" i="7"/>
  <c r="R55" i="7"/>
  <c r="U55" i="7"/>
  <c r="S55" i="7"/>
  <c r="Q55" i="7"/>
  <c r="E55" i="7"/>
  <c r="D55" i="7"/>
  <c r="B55" i="7"/>
  <c r="H52" i="7"/>
  <c r="J52" i="7"/>
  <c r="K50" i="7"/>
  <c r="J51" i="7" s="1"/>
  <c r="J50" i="7"/>
  <c r="I50" i="7"/>
  <c r="O53" i="7" s="1"/>
  <c r="H50" i="7"/>
  <c r="G50" i="7"/>
  <c r="F50" i="7"/>
  <c r="V49" i="7"/>
  <c r="T49" i="7"/>
  <c r="R49" i="7"/>
  <c r="U49" i="7"/>
  <c r="S49" i="7"/>
  <c r="Q49" i="7"/>
  <c r="E49" i="7"/>
  <c r="D49" i="7"/>
  <c r="B49" i="7"/>
  <c r="H46" i="7"/>
  <c r="J46" i="7"/>
  <c r="K44" i="7"/>
  <c r="J45" i="7" s="1"/>
  <c r="J44" i="7"/>
  <c r="I44" i="7"/>
  <c r="O47" i="7" s="1"/>
  <c r="H44" i="7"/>
  <c r="G44" i="7"/>
  <c r="F44" i="7"/>
  <c r="V43" i="7"/>
  <c r="T43" i="7"/>
  <c r="R43" i="7"/>
  <c r="U43" i="7"/>
  <c r="S43" i="7"/>
  <c r="Q43" i="7"/>
  <c r="E43" i="7"/>
  <c r="D43" i="7"/>
  <c r="B43" i="7"/>
  <c r="O41" i="7"/>
  <c r="H40" i="7"/>
  <c r="J40" i="7"/>
  <c r="K38" i="7"/>
  <c r="P41" i="7" s="1"/>
  <c r="J38" i="7"/>
  <c r="I38" i="7"/>
  <c r="H41" i="7" s="1"/>
  <c r="H38" i="7"/>
  <c r="G38" i="7"/>
  <c r="F38" i="7"/>
  <c r="V37" i="7"/>
  <c r="T37" i="7"/>
  <c r="R37" i="7"/>
  <c r="U37" i="7"/>
  <c r="S37" i="7"/>
  <c r="Q37" i="7"/>
  <c r="E37" i="7"/>
  <c r="D37" i="7"/>
  <c r="B37" i="7"/>
  <c r="A36" i="7"/>
  <c r="A18" i="7"/>
  <c r="A15" i="7"/>
  <c r="G6" i="7"/>
  <c r="B6" i="7"/>
  <c r="A1" i="7"/>
  <c r="J57" i="7" l="1"/>
  <c r="J65" i="7"/>
  <c r="J137" i="7"/>
  <c r="P65" i="7"/>
  <c r="J53" i="7"/>
  <c r="P59" i="7"/>
  <c r="H63" i="7"/>
  <c r="J111" i="7"/>
  <c r="J125" i="7"/>
  <c r="J47" i="7"/>
  <c r="P53" i="7"/>
  <c r="H57" i="7"/>
  <c r="H71" i="7"/>
  <c r="O77" i="7"/>
  <c r="H146" i="7" s="1"/>
  <c r="J105" i="7"/>
  <c r="J119" i="7"/>
  <c r="P125" i="7"/>
  <c r="H129" i="7"/>
  <c r="H143" i="7"/>
  <c r="J117" i="7"/>
  <c r="J131" i="7"/>
  <c r="J39" i="7"/>
  <c r="H135" i="7"/>
  <c r="H150" i="7"/>
  <c r="J41" i="7"/>
  <c r="P47" i="7"/>
  <c r="J146" i="7" s="1"/>
  <c r="H51" i="7"/>
  <c r="H65" i="7"/>
  <c r="J113" i="7"/>
  <c r="H123" i="7"/>
  <c r="H137" i="7"/>
  <c r="H117" i="7"/>
  <c r="H131" i="7"/>
  <c r="H45" i="7"/>
  <c r="H59" i="7"/>
  <c r="H39" i="7"/>
  <c r="H53" i="7"/>
  <c r="H111" i="7"/>
  <c r="H125" i="7"/>
  <c r="H47" i="7"/>
  <c r="H119" i="7"/>
  <c r="H113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1" i="3"/>
  <c r="Y1" i="3"/>
  <c r="CY1" i="3"/>
  <c r="CZ1" i="3"/>
  <c r="DA1" i="3"/>
  <c r="DB1" i="3"/>
  <c r="DC1" i="3"/>
  <c r="A2" i="3"/>
  <c r="Y2" i="3"/>
  <c r="CX2" i="3" s="1"/>
  <c r="CW2" i="3"/>
  <c r="CY2" i="3"/>
  <c r="CZ2" i="3"/>
  <c r="DA2" i="3"/>
  <c r="DB2" i="3"/>
  <c r="DC2" i="3"/>
  <c r="DH2" i="3"/>
  <c r="A3" i="3"/>
  <c r="Y3" i="3"/>
  <c r="CW3" i="3"/>
  <c r="CX3" i="3"/>
  <c r="DG3" i="3" s="1"/>
  <c r="DJ3" i="3" s="1"/>
  <c r="CY3" i="3"/>
  <c r="CZ3" i="3"/>
  <c r="DB3" i="3" s="1"/>
  <c r="DA3" i="3"/>
  <c r="DC3" i="3"/>
  <c r="DF3" i="3"/>
  <c r="DI3" i="3"/>
  <c r="A4" i="3"/>
  <c r="Y4" i="3"/>
  <c r="CX4" i="3" s="1"/>
  <c r="CW4" i="3"/>
  <c r="CY4" i="3"/>
  <c r="CZ4" i="3"/>
  <c r="DA4" i="3"/>
  <c r="DB4" i="3"/>
  <c r="DC4" i="3"/>
  <c r="DF4" i="3"/>
  <c r="A5" i="3"/>
  <c r="Y5" i="3"/>
  <c r="CY5" i="3"/>
  <c r="CZ5" i="3"/>
  <c r="DA5" i="3"/>
  <c r="DB5" i="3"/>
  <c r="DC5" i="3"/>
  <c r="A6" i="3"/>
  <c r="Y6" i="3"/>
  <c r="CW6" i="3"/>
  <c r="CX6" i="3"/>
  <c r="DI6" i="3" s="1"/>
  <c r="CY6" i="3"/>
  <c r="CZ6" i="3"/>
  <c r="DB6" i="3" s="1"/>
  <c r="DA6" i="3"/>
  <c r="DC6" i="3"/>
  <c r="DF6" i="3"/>
  <c r="DG6" i="3"/>
  <c r="DJ6" i="3" s="1"/>
  <c r="A7" i="3"/>
  <c r="Y7" i="3"/>
  <c r="CW7" i="3" s="1"/>
  <c r="CX7" i="3"/>
  <c r="CY7" i="3"/>
  <c r="CZ7" i="3"/>
  <c r="DA7" i="3"/>
  <c r="DB7" i="3"/>
  <c r="DC7" i="3"/>
  <c r="A8" i="3"/>
  <c r="Y8" i="3"/>
  <c r="CX8" i="3" s="1"/>
  <c r="CW8" i="3"/>
  <c r="CY8" i="3"/>
  <c r="CZ8" i="3"/>
  <c r="DB8" i="3" s="1"/>
  <c r="DA8" i="3"/>
  <c r="DC8" i="3"/>
  <c r="DH8" i="3"/>
  <c r="A9" i="3"/>
  <c r="Y9" i="3"/>
  <c r="CW9" i="3"/>
  <c r="CX9" i="3"/>
  <c r="DG9" i="3" s="1"/>
  <c r="DJ9" i="3" s="1"/>
  <c r="CY9" i="3"/>
  <c r="CZ9" i="3"/>
  <c r="DB9" i="3" s="1"/>
  <c r="DA9" i="3"/>
  <c r="DC9" i="3"/>
  <c r="DF9" i="3"/>
  <c r="DH9" i="3"/>
  <c r="DI9" i="3"/>
  <c r="A10" i="3"/>
  <c r="Y10" i="3"/>
  <c r="CW10" i="3"/>
  <c r="CX10" i="3"/>
  <c r="CY10" i="3"/>
  <c r="CZ10" i="3"/>
  <c r="DA10" i="3"/>
  <c r="DB10" i="3"/>
  <c r="DC10" i="3"/>
  <c r="A11" i="3"/>
  <c r="Y11" i="3"/>
  <c r="CY11" i="3"/>
  <c r="CZ11" i="3"/>
  <c r="DA11" i="3"/>
  <c r="DB11" i="3"/>
  <c r="DC11" i="3"/>
  <c r="A12" i="3"/>
  <c r="Y12" i="3"/>
  <c r="CW12" i="3"/>
  <c r="CX12" i="3"/>
  <c r="DF12" i="3" s="1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X14" i="3" s="1"/>
  <c r="CW14" i="3"/>
  <c r="CY14" i="3"/>
  <c r="CZ14" i="3"/>
  <c r="DA14" i="3"/>
  <c r="DB14" i="3"/>
  <c r="DC14" i="3"/>
  <c r="DH14" i="3"/>
  <c r="A15" i="3"/>
  <c r="Y15" i="3"/>
  <c r="CW15" i="3"/>
  <c r="CX15" i="3"/>
  <c r="DG15" i="3" s="1"/>
  <c r="DJ15" i="3" s="1"/>
  <c r="CY15" i="3"/>
  <c r="CZ15" i="3"/>
  <c r="DB15" i="3" s="1"/>
  <c r="DA15" i="3"/>
  <c r="DC15" i="3"/>
  <c r="DF15" i="3"/>
  <c r="DI15" i="3"/>
  <c r="A16" i="3"/>
  <c r="Y16" i="3"/>
  <c r="CX16" i="3" s="1"/>
  <c r="CW16" i="3"/>
  <c r="CY16" i="3"/>
  <c r="CZ16" i="3"/>
  <c r="DA16" i="3"/>
  <c r="DB16" i="3"/>
  <c r="DC16" i="3"/>
  <c r="DF16" i="3"/>
  <c r="A17" i="3"/>
  <c r="Y17" i="3"/>
  <c r="CY17" i="3"/>
  <c r="CZ17" i="3"/>
  <c r="DA17" i="3"/>
  <c r="DB17" i="3"/>
  <c r="DC17" i="3"/>
  <c r="A18" i="3"/>
  <c r="Y18" i="3"/>
  <c r="CW18" i="3"/>
  <c r="CX18" i="3"/>
  <c r="DI18" i="3" s="1"/>
  <c r="CY18" i="3"/>
  <c r="CZ18" i="3"/>
  <c r="DB18" i="3" s="1"/>
  <c r="DA18" i="3"/>
  <c r="DC18" i="3"/>
  <c r="DF18" i="3"/>
  <c r="DG18" i="3"/>
  <c r="DJ18" i="3" s="1"/>
  <c r="A19" i="3"/>
  <c r="Y19" i="3"/>
  <c r="CW19" i="3" s="1"/>
  <c r="CX19" i="3"/>
  <c r="CY19" i="3"/>
  <c r="CZ19" i="3"/>
  <c r="DA19" i="3"/>
  <c r="DB19" i="3"/>
  <c r="DC19" i="3"/>
  <c r="A20" i="3"/>
  <c r="Y20" i="3"/>
  <c r="CX20" i="3" s="1"/>
  <c r="CW20" i="3"/>
  <c r="CY20" i="3"/>
  <c r="CZ20" i="3"/>
  <c r="DB20" i="3" s="1"/>
  <c r="DA20" i="3"/>
  <c r="DC20" i="3"/>
  <c r="DH20" i="3"/>
  <c r="A21" i="3"/>
  <c r="Y21" i="3"/>
  <c r="CW21" i="3"/>
  <c r="CX21" i="3"/>
  <c r="DG21" i="3" s="1"/>
  <c r="DJ21" i="3" s="1"/>
  <c r="CY21" i="3"/>
  <c r="CZ21" i="3"/>
  <c r="DB21" i="3" s="1"/>
  <c r="DA21" i="3"/>
  <c r="DC21" i="3"/>
  <c r="DF21" i="3"/>
  <c r="DH21" i="3"/>
  <c r="DI21" i="3"/>
  <c r="A22" i="3"/>
  <c r="Y22" i="3"/>
  <c r="CW22" i="3"/>
  <c r="CX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W24" i="3"/>
  <c r="CX24" i="3"/>
  <c r="DF24" i="3" s="1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X26" i="3" s="1"/>
  <c r="CW26" i="3"/>
  <c r="CY26" i="3"/>
  <c r="CZ26" i="3"/>
  <c r="DB26" i="3" s="1"/>
  <c r="DA26" i="3"/>
  <c r="DC26" i="3"/>
  <c r="DG26" i="3"/>
  <c r="DJ26" i="3" s="1"/>
  <c r="DH26" i="3"/>
  <c r="A27" i="3"/>
  <c r="Y27" i="3"/>
  <c r="CW27" i="3"/>
  <c r="CX27" i="3"/>
  <c r="CY27" i="3"/>
  <c r="CZ27" i="3"/>
  <c r="DB27" i="3" s="1"/>
  <c r="DA27" i="3"/>
  <c r="DC27" i="3"/>
  <c r="DH27" i="3"/>
  <c r="DI27" i="3"/>
  <c r="A28" i="3"/>
  <c r="Y28" i="3"/>
  <c r="CW28" i="3"/>
  <c r="CX28" i="3"/>
  <c r="DH28" i="3" s="1"/>
  <c r="CY28" i="3"/>
  <c r="CZ28" i="3"/>
  <c r="DA28" i="3"/>
  <c r="DB28" i="3"/>
  <c r="DC28" i="3"/>
  <c r="DG28" i="3"/>
  <c r="DI28" i="3"/>
  <c r="DJ28" i="3"/>
  <c r="A29" i="3"/>
  <c r="Y29" i="3"/>
  <c r="CY29" i="3"/>
  <c r="CZ29" i="3"/>
  <c r="DB29" i="3" s="1"/>
  <c r="DA29" i="3"/>
  <c r="DC29" i="3"/>
  <c r="A30" i="3"/>
  <c r="Y30" i="3"/>
  <c r="CW30" i="3"/>
  <c r="CX30" i="3"/>
  <c r="DI30" i="3" s="1"/>
  <c r="CY30" i="3"/>
  <c r="CZ30" i="3"/>
  <c r="DB30" i="3" s="1"/>
  <c r="DA30" i="3"/>
  <c r="DC30" i="3"/>
  <c r="DH30" i="3"/>
  <c r="A31" i="3"/>
  <c r="Y31" i="3"/>
  <c r="CY31" i="3"/>
  <c r="CZ31" i="3"/>
  <c r="DA31" i="3"/>
  <c r="DB31" i="3"/>
  <c r="DC31" i="3"/>
  <c r="A32" i="3"/>
  <c r="Y32" i="3"/>
  <c r="CX32" i="3" s="1"/>
  <c r="CY32" i="3"/>
  <c r="CZ32" i="3"/>
  <c r="DA32" i="3"/>
  <c r="DB32" i="3"/>
  <c r="DC32" i="3"/>
  <c r="DG32" i="3"/>
  <c r="DJ32" i="3" s="1"/>
  <c r="A33" i="3"/>
  <c r="Y33" i="3"/>
  <c r="CW33" i="3"/>
  <c r="CX33" i="3"/>
  <c r="CY33" i="3"/>
  <c r="CZ33" i="3"/>
  <c r="DB33" i="3" s="1"/>
  <c r="DA33" i="3"/>
  <c r="DC33" i="3"/>
  <c r="A34" i="3"/>
  <c r="Y34" i="3"/>
  <c r="CW34" i="3"/>
  <c r="CX34" i="3"/>
  <c r="CY34" i="3"/>
  <c r="CZ34" i="3"/>
  <c r="DA34" i="3"/>
  <c r="DB34" i="3"/>
  <c r="DC34" i="3"/>
  <c r="DG34" i="3"/>
  <c r="DJ34" i="3" s="1"/>
  <c r="DI34" i="3"/>
  <c r="A35" i="3"/>
  <c r="Y35" i="3"/>
  <c r="CY35" i="3"/>
  <c r="CZ35" i="3"/>
  <c r="DB35" i="3" s="1"/>
  <c r="DA35" i="3"/>
  <c r="DC35" i="3"/>
  <c r="A36" i="3"/>
  <c r="Y36" i="3"/>
  <c r="CW36" i="3"/>
  <c r="CX36" i="3"/>
  <c r="CY36" i="3"/>
  <c r="CZ36" i="3"/>
  <c r="DB36" i="3" s="1"/>
  <c r="DA36" i="3"/>
  <c r="DC36" i="3"/>
  <c r="DF36" i="3"/>
  <c r="DH3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S28" i="1"/>
  <c r="T28" i="1"/>
  <c r="V28" i="1"/>
  <c r="AC28" i="1"/>
  <c r="AE28" i="1"/>
  <c r="AF28" i="1"/>
  <c r="CT28" i="1" s="1"/>
  <c r="AG28" i="1"/>
  <c r="AH28" i="1"/>
  <c r="AI28" i="1"/>
  <c r="AJ28" i="1"/>
  <c r="CX28" i="1" s="1"/>
  <c r="W28" i="1" s="1"/>
  <c r="CQ28" i="1"/>
  <c r="CU28" i="1"/>
  <c r="CV28" i="1"/>
  <c r="U28" i="1" s="1"/>
  <c r="CW28" i="1"/>
  <c r="GL28" i="1"/>
  <c r="GN28" i="1"/>
  <c r="GO28" i="1"/>
  <c r="GV28" i="1"/>
  <c r="HC28" i="1"/>
  <c r="GX28" i="1" s="1"/>
  <c r="C29" i="1"/>
  <c r="D29" i="1"/>
  <c r="Q29" i="1"/>
  <c r="R29" i="1"/>
  <c r="CY29" i="1" s="1"/>
  <c r="X29" i="1" s="1"/>
  <c r="W29" i="1"/>
  <c r="AC29" i="1"/>
  <c r="P29" i="1" s="1"/>
  <c r="AE29" i="1"/>
  <c r="AF29" i="1"/>
  <c r="S29" i="1" s="1"/>
  <c r="AG29" i="1"/>
  <c r="CU29" i="1" s="1"/>
  <c r="T29" i="1" s="1"/>
  <c r="AH29" i="1"/>
  <c r="AI29" i="1"/>
  <c r="AJ29" i="1"/>
  <c r="CQ29" i="1"/>
  <c r="CS29" i="1"/>
  <c r="CT29" i="1"/>
  <c r="CV29" i="1"/>
  <c r="U29" i="1" s="1"/>
  <c r="CW29" i="1"/>
  <c r="V29" i="1" s="1"/>
  <c r="CX29" i="1"/>
  <c r="GL29" i="1"/>
  <c r="GN29" i="1"/>
  <c r="GO29" i="1"/>
  <c r="GV29" i="1"/>
  <c r="HC29" i="1"/>
  <c r="GX29" i="1" s="1"/>
  <c r="C30" i="1"/>
  <c r="D30" i="1"/>
  <c r="R30" i="1"/>
  <c r="U30" i="1"/>
  <c r="AC30" i="1"/>
  <c r="P30" i="1" s="1"/>
  <c r="AD30" i="1"/>
  <c r="AE30" i="1"/>
  <c r="Q30" i="1" s="1"/>
  <c r="AF30" i="1"/>
  <c r="CT30" i="1" s="1"/>
  <c r="AG30" i="1"/>
  <c r="CU30" i="1" s="1"/>
  <c r="T30" i="1" s="1"/>
  <c r="AH30" i="1"/>
  <c r="CV30" i="1" s="1"/>
  <c r="AI30" i="1"/>
  <c r="AJ30" i="1"/>
  <c r="CR30" i="1"/>
  <c r="CS30" i="1"/>
  <c r="CW30" i="1"/>
  <c r="V30" i="1" s="1"/>
  <c r="CX30" i="1"/>
  <c r="W30" i="1" s="1"/>
  <c r="GL30" i="1"/>
  <c r="GN30" i="1"/>
  <c r="GO30" i="1"/>
  <c r="GV30" i="1"/>
  <c r="HC30" i="1" s="1"/>
  <c r="GX30" i="1" s="1"/>
  <c r="C31" i="1"/>
  <c r="D31" i="1"/>
  <c r="P31" i="1"/>
  <c r="Q31" i="1"/>
  <c r="S31" i="1"/>
  <c r="CY31" i="1" s="1"/>
  <c r="X31" i="1" s="1"/>
  <c r="U31" i="1"/>
  <c r="AC31" i="1"/>
  <c r="CQ31" i="1" s="1"/>
  <c r="AD31" i="1"/>
  <c r="AB31" i="1" s="1"/>
  <c r="AE31" i="1"/>
  <c r="R31" i="1" s="1"/>
  <c r="AF31" i="1"/>
  <c r="AG31" i="1"/>
  <c r="CU31" i="1" s="1"/>
  <c r="T31" i="1" s="1"/>
  <c r="AH31" i="1"/>
  <c r="AI31" i="1"/>
  <c r="CW31" i="1" s="1"/>
  <c r="V31" i="1" s="1"/>
  <c r="AJ31" i="1"/>
  <c r="CX31" i="1" s="1"/>
  <c r="W31" i="1" s="1"/>
  <c r="CR31" i="1"/>
  <c r="CS31" i="1"/>
  <c r="CT31" i="1"/>
  <c r="CV31" i="1"/>
  <c r="GL31" i="1"/>
  <c r="GN31" i="1"/>
  <c r="GO31" i="1"/>
  <c r="GV31" i="1"/>
  <c r="GX31" i="1"/>
  <c r="HC31" i="1"/>
  <c r="C32" i="1"/>
  <c r="D32" i="1"/>
  <c r="Q32" i="1"/>
  <c r="AC32" i="1"/>
  <c r="P32" i="1" s="1"/>
  <c r="AE32" i="1"/>
  <c r="AF32" i="1"/>
  <c r="S32" i="1" s="1"/>
  <c r="AG32" i="1"/>
  <c r="AH32" i="1"/>
  <c r="AI32" i="1"/>
  <c r="CW32" i="1" s="1"/>
  <c r="V32" i="1" s="1"/>
  <c r="AJ32" i="1"/>
  <c r="CX32" i="1" s="1"/>
  <c r="W32" i="1" s="1"/>
  <c r="CQ32" i="1"/>
  <c r="CS32" i="1"/>
  <c r="CT32" i="1"/>
  <c r="CU32" i="1"/>
  <c r="T32" i="1" s="1"/>
  <c r="CV32" i="1"/>
  <c r="U32" i="1" s="1"/>
  <c r="GL32" i="1"/>
  <c r="GN32" i="1"/>
  <c r="GO32" i="1"/>
  <c r="GV32" i="1"/>
  <c r="HC32" i="1" s="1"/>
  <c r="GX32" i="1" s="1"/>
  <c r="C33" i="1"/>
  <c r="D33" i="1"/>
  <c r="R33" i="1"/>
  <c r="U33" i="1"/>
  <c r="AC33" i="1"/>
  <c r="AD33" i="1"/>
  <c r="AE33" i="1"/>
  <c r="Q33" i="1" s="1"/>
  <c r="AF33" i="1"/>
  <c r="S33" i="1" s="1"/>
  <c r="AG33" i="1"/>
  <c r="AH33" i="1"/>
  <c r="AI33" i="1"/>
  <c r="AJ33" i="1"/>
  <c r="CU33" i="1"/>
  <c r="T33" i="1" s="1"/>
  <c r="CV33" i="1"/>
  <c r="CW33" i="1"/>
  <c r="V33" i="1" s="1"/>
  <c r="CX33" i="1"/>
  <c r="W33" i="1" s="1"/>
  <c r="GL33" i="1"/>
  <c r="GN33" i="1"/>
  <c r="GO33" i="1"/>
  <c r="GV33" i="1"/>
  <c r="HC33" i="1" s="1"/>
  <c r="GX33" i="1" s="1"/>
  <c r="C34" i="1"/>
  <c r="D34" i="1"/>
  <c r="P34" i="1"/>
  <c r="Q34" i="1"/>
  <c r="R34" i="1"/>
  <c r="V34" i="1"/>
  <c r="W34" i="1"/>
  <c r="AC34" i="1"/>
  <c r="AD34" i="1"/>
  <c r="AB34" i="1" s="1"/>
  <c r="AE34" i="1"/>
  <c r="CS34" i="1" s="1"/>
  <c r="AF34" i="1"/>
  <c r="AG34" i="1"/>
  <c r="CU34" i="1" s="1"/>
  <c r="T34" i="1" s="1"/>
  <c r="AH34" i="1"/>
  <c r="AI34" i="1"/>
  <c r="AJ34" i="1"/>
  <c r="CQ34" i="1"/>
  <c r="CR34" i="1"/>
  <c r="CV34" i="1"/>
  <c r="U34" i="1" s="1"/>
  <c r="CW34" i="1"/>
  <c r="CX34" i="1"/>
  <c r="GL34" i="1"/>
  <c r="GN34" i="1"/>
  <c r="GO34" i="1"/>
  <c r="GV34" i="1"/>
  <c r="GX34" i="1"/>
  <c r="HC34" i="1"/>
  <c r="C35" i="1"/>
  <c r="D35" i="1"/>
  <c r="R35" i="1"/>
  <c r="T35" i="1"/>
  <c r="AC35" i="1"/>
  <c r="P35" i="1" s="1"/>
  <c r="AE35" i="1"/>
  <c r="AF35" i="1"/>
  <c r="CT35" i="1" s="1"/>
  <c r="AG35" i="1"/>
  <c r="CU35" i="1" s="1"/>
  <c r="AH35" i="1"/>
  <c r="CV35" i="1" s="1"/>
  <c r="U35" i="1" s="1"/>
  <c r="AI35" i="1"/>
  <c r="CW35" i="1" s="1"/>
  <c r="V35" i="1" s="1"/>
  <c r="AJ35" i="1"/>
  <c r="CQ35" i="1"/>
  <c r="CS35" i="1"/>
  <c r="CX35" i="1"/>
  <c r="W35" i="1" s="1"/>
  <c r="GL35" i="1"/>
  <c r="GN35" i="1"/>
  <c r="GO35" i="1"/>
  <c r="GV35" i="1"/>
  <c r="HC35" i="1"/>
  <c r="GX35" i="1" s="1"/>
  <c r="C36" i="1"/>
  <c r="D36" i="1"/>
  <c r="R36" i="1"/>
  <c r="S36" i="1"/>
  <c r="CZ36" i="1" s="1"/>
  <c r="Y36" i="1" s="1"/>
  <c r="U36" i="1"/>
  <c r="AB36" i="1"/>
  <c r="AC36" i="1"/>
  <c r="P36" i="1" s="1"/>
  <c r="AD36" i="1"/>
  <c r="AE36" i="1"/>
  <c r="Q36" i="1" s="1"/>
  <c r="AF36" i="1"/>
  <c r="AG36" i="1"/>
  <c r="AH36" i="1"/>
  <c r="CV36" i="1" s="1"/>
  <c r="AI36" i="1"/>
  <c r="CW36" i="1" s="1"/>
  <c r="V36" i="1" s="1"/>
  <c r="AI65" i="1" s="1"/>
  <c r="AJ36" i="1"/>
  <c r="CX36" i="1" s="1"/>
  <c r="W36" i="1" s="1"/>
  <c r="CR36" i="1"/>
  <c r="CS36" i="1"/>
  <c r="CT36" i="1"/>
  <c r="CU36" i="1"/>
  <c r="T36" i="1" s="1"/>
  <c r="GL36" i="1"/>
  <c r="GN36" i="1"/>
  <c r="GO36" i="1"/>
  <c r="GV36" i="1"/>
  <c r="HC36" i="1" s="1"/>
  <c r="GX36" i="1"/>
  <c r="C37" i="1"/>
  <c r="D37" i="1"/>
  <c r="P37" i="1"/>
  <c r="CP37" i="1" s="1"/>
  <c r="O37" i="1" s="1"/>
  <c r="GM37" i="1" s="1"/>
  <c r="GP37" i="1" s="1"/>
  <c r="Q37" i="1"/>
  <c r="S37" i="1"/>
  <c r="V37" i="1"/>
  <c r="AC37" i="1"/>
  <c r="AD37" i="1"/>
  <c r="AE37" i="1"/>
  <c r="R37" i="1" s="1"/>
  <c r="AF37" i="1"/>
  <c r="AG37" i="1"/>
  <c r="AH37" i="1"/>
  <c r="AI37" i="1"/>
  <c r="CW37" i="1" s="1"/>
  <c r="AJ37" i="1"/>
  <c r="CX37" i="1" s="1"/>
  <c r="W37" i="1" s="1"/>
  <c r="CR37" i="1"/>
  <c r="CS37" i="1"/>
  <c r="CT37" i="1"/>
  <c r="CU37" i="1"/>
  <c r="T37" i="1" s="1"/>
  <c r="CV37" i="1"/>
  <c r="U37" i="1" s="1"/>
  <c r="CY37" i="1"/>
  <c r="X37" i="1" s="1"/>
  <c r="CZ37" i="1"/>
  <c r="Y37" i="1" s="1"/>
  <c r="GL37" i="1"/>
  <c r="GN37" i="1"/>
  <c r="GO37" i="1"/>
  <c r="GV37" i="1"/>
  <c r="HC37" i="1"/>
  <c r="GX37" i="1" s="1"/>
  <c r="C38" i="1"/>
  <c r="D38" i="1"/>
  <c r="U38" i="1"/>
  <c r="AC38" i="1"/>
  <c r="CQ38" i="1" s="1"/>
  <c r="AE38" i="1"/>
  <c r="R38" i="1" s="1"/>
  <c r="AF38" i="1"/>
  <c r="S38" i="1" s="1"/>
  <c r="AG38" i="1"/>
  <c r="AH38" i="1"/>
  <c r="CV38" i="1" s="1"/>
  <c r="AI38" i="1"/>
  <c r="AJ38" i="1"/>
  <c r="CX38" i="1" s="1"/>
  <c r="W38" i="1" s="1"/>
  <c r="CU38" i="1"/>
  <c r="T38" i="1" s="1"/>
  <c r="CW38" i="1"/>
  <c r="V38" i="1" s="1"/>
  <c r="GL38" i="1"/>
  <c r="GN38" i="1"/>
  <c r="GO38" i="1"/>
  <c r="GV38" i="1"/>
  <c r="GX38" i="1"/>
  <c r="HC38" i="1"/>
  <c r="C39" i="1"/>
  <c r="D39" i="1"/>
  <c r="P39" i="1"/>
  <c r="S39" i="1"/>
  <c r="AC39" i="1"/>
  <c r="AE39" i="1"/>
  <c r="CS39" i="1" s="1"/>
  <c r="AF39" i="1"/>
  <c r="AG39" i="1"/>
  <c r="CU39" i="1" s="1"/>
  <c r="T39" i="1" s="1"/>
  <c r="AH39" i="1"/>
  <c r="AI39" i="1"/>
  <c r="AJ39" i="1"/>
  <c r="CX39" i="1" s="1"/>
  <c r="W39" i="1" s="1"/>
  <c r="CQ39" i="1"/>
  <c r="CR39" i="1"/>
  <c r="CT39" i="1"/>
  <c r="CV39" i="1"/>
  <c r="U39" i="1" s="1"/>
  <c r="CW39" i="1"/>
  <c r="V39" i="1" s="1"/>
  <c r="GL39" i="1"/>
  <c r="GN39" i="1"/>
  <c r="GO39" i="1"/>
  <c r="GV39" i="1"/>
  <c r="HC39" i="1"/>
  <c r="GX39" i="1" s="1"/>
  <c r="C40" i="1"/>
  <c r="D40" i="1"/>
  <c r="P40" i="1"/>
  <c r="CP40" i="1" s="1"/>
  <c r="O40" i="1" s="1"/>
  <c r="R40" i="1"/>
  <c r="CY40" i="1" s="1"/>
  <c r="X40" i="1" s="1"/>
  <c r="S40" i="1"/>
  <c r="T40" i="1"/>
  <c r="V40" i="1"/>
  <c r="AC40" i="1"/>
  <c r="AE40" i="1"/>
  <c r="Q40" i="1" s="1"/>
  <c r="AF40" i="1"/>
  <c r="CT40" i="1" s="1"/>
  <c r="AG40" i="1"/>
  <c r="CU40" i="1" s="1"/>
  <c r="AH40" i="1"/>
  <c r="CV40" i="1" s="1"/>
  <c r="U40" i="1" s="1"/>
  <c r="AI40" i="1"/>
  <c r="AJ40" i="1"/>
  <c r="CX40" i="1" s="1"/>
  <c r="W40" i="1" s="1"/>
  <c r="CQ40" i="1"/>
  <c r="CR40" i="1"/>
  <c r="CS40" i="1"/>
  <c r="CW40" i="1"/>
  <c r="GL40" i="1"/>
  <c r="GN40" i="1"/>
  <c r="GO40" i="1"/>
  <c r="GV40" i="1"/>
  <c r="GX40" i="1"/>
  <c r="HC40" i="1"/>
  <c r="C41" i="1"/>
  <c r="D41" i="1"/>
  <c r="Q41" i="1"/>
  <c r="S41" i="1"/>
  <c r="T41" i="1"/>
  <c r="AC41" i="1"/>
  <c r="AE41" i="1"/>
  <c r="AD41" i="1" s="1"/>
  <c r="AF41" i="1"/>
  <c r="CT41" i="1" s="1"/>
  <c r="AG41" i="1"/>
  <c r="CU41" i="1" s="1"/>
  <c r="AH41" i="1"/>
  <c r="CV41" i="1" s="1"/>
  <c r="U41" i="1" s="1"/>
  <c r="AI41" i="1"/>
  <c r="CW41" i="1" s="1"/>
  <c r="V41" i="1" s="1"/>
  <c r="AJ41" i="1"/>
  <c r="CX41" i="1"/>
  <c r="W41" i="1" s="1"/>
  <c r="GL41" i="1"/>
  <c r="GN41" i="1"/>
  <c r="GO41" i="1"/>
  <c r="GV41" i="1"/>
  <c r="HC41" i="1" s="1"/>
  <c r="GX41" i="1" s="1"/>
  <c r="C42" i="1"/>
  <c r="D42" i="1"/>
  <c r="R42" i="1"/>
  <c r="S42" i="1"/>
  <c r="CY42" i="1" s="1"/>
  <c r="X42" i="1" s="1"/>
  <c r="AC42" i="1"/>
  <c r="AE42" i="1"/>
  <c r="AF42" i="1"/>
  <c r="AG42" i="1"/>
  <c r="CU42" i="1" s="1"/>
  <c r="T42" i="1" s="1"/>
  <c r="AH42" i="1"/>
  <c r="AI42" i="1"/>
  <c r="AJ42" i="1"/>
  <c r="CT42" i="1"/>
  <c r="CV42" i="1"/>
  <c r="U42" i="1" s="1"/>
  <c r="CW42" i="1"/>
  <c r="V42" i="1" s="1"/>
  <c r="CX42" i="1"/>
  <c r="W42" i="1" s="1"/>
  <c r="GL42" i="1"/>
  <c r="GN42" i="1"/>
  <c r="GO42" i="1"/>
  <c r="GV42" i="1"/>
  <c r="HC42" i="1" s="1"/>
  <c r="GX42" i="1" s="1"/>
  <c r="C43" i="1"/>
  <c r="D43" i="1"/>
  <c r="R43" i="1"/>
  <c r="U43" i="1"/>
  <c r="AB43" i="1"/>
  <c r="AC43" i="1"/>
  <c r="P43" i="1" s="1"/>
  <c r="AE43" i="1"/>
  <c r="AD43" i="1" s="1"/>
  <c r="AF43" i="1"/>
  <c r="CT43" i="1" s="1"/>
  <c r="AG43" i="1"/>
  <c r="CU43" i="1" s="1"/>
  <c r="T43" i="1" s="1"/>
  <c r="AH43" i="1"/>
  <c r="AI43" i="1"/>
  <c r="CW43" i="1" s="1"/>
  <c r="V43" i="1" s="1"/>
  <c r="AJ43" i="1"/>
  <c r="CX43" i="1" s="1"/>
  <c r="W43" i="1" s="1"/>
  <c r="CR43" i="1"/>
  <c r="CS43" i="1"/>
  <c r="CV43" i="1"/>
  <c r="GL43" i="1"/>
  <c r="GN43" i="1"/>
  <c r="GO43" i="1"/>
  <c r="GV43" i="1"/>
  <c r="HC43" i="1" s="1"/>
  <c r="GX43" i="1" s="1"/>
  <c r="C44" i="1"/>
  <c r="D44" i="1"/>
  <c r="P44" i="1"/>
  <c r="Q44" i="1"/>
  <c r="S44" i="1"/>
  <c r="CY44" i="1" s="1"/>
  <c r="X44" i="1" s="1"/>
  <c r="V44" i="1"/>
  <c r="Y44" i="1"/>
  <c r="AC44" i="1"/>
  <c r="AE44" i="1"/>
  <c r="R44" i="1" s="1"/>
  <c r="AF44" i="1"/>
  <c r="CT44" i="1" s="1"/>
  <c r="AG44" i="1"/>
  <c r="AH44" i="1"/>
  <c r="CV44" i="1" s="1"/>
  <c r="U44" i="1" s="1"/>
  <c r="AI44" i="1"/>
  <c r="CW44" i="1" s="1"/>
  <c r="AJ44" i="1"/>
  <c r="CQ44" i="1"/>
  <c r="CR44" i="1"/>
  <c r="CS44" i="1"/>
  <c r="CU44" i="1"/>
  <c r="T44" i="1" s="1"/>
  <c r="CX44" i="1"/>
  <c r="W44" i="1" s="1"/>
  <c r="CZ44" i="1"/>
  <c r="GL44" i="1"/>
  <c r="GN44" i="1"/>
  <c r="GO44" i="1"/>
  <c r="CC65" i="1" s="1"/>
  <c r="CC26" i="1" s="1"/>
  <c r="GV44" i="1"/>
  <c r="HC44" i="1"/>
  <c r="GX44" i="1" s="1"/>
  <c r="C45" i="1"/>
  <c r="D45" i="1"/>
  <c r="Q45" i="1"/>
  <c r="S45" i="1"/>
  <c r="T45" i="1"/>
  <c r="W45" i="1"/>
  <c r="AC45" i="1"/>
  <c r="AB45" i="1" s="1"/>
  <c r="AD45" i="1"/>
  <c r="AE45" i="1"/>
  <c r="AF45" i="1"/>
  <c r="AG45" i="1"/>
  <c r="AH45" i="1"/>
  <c r="CV45" i="1" s="1"/>
  <c r="U45" i="1" s="1"/>
  <c r="AI45" i="1"/>
  <c r="CW45" i="1" s="1"/>
  <c r="V45" i="1" s="1"/>
  <c r="AJ45" i="1"/>
  <c r="CS45" i="1"/>
  <c r="CT45" i="1"/>
  <c r="CU45" i="1"/>
  <c r="CX45" i="1"/>
  <c r="GL45" i="1"/>
  <c r="GN45" i="1"/>
  <c r="GO45" i="1"/>
  <c r="GV45" i="1"/>
  <c r="GX45" i="1"/>
  <c r="HC45" i="1"/>
  <c r="C46" i="1"/>
  <c r="D46" i="1"/>
  <c r="R46" i="1"/>
  <c r="U46" i="1"/>
  <c r="V46" i="1"/>
  <c r="AC46" i="1"/>
  <c r="CQ46" i="1" s="1"/>
  <c r="AD46" i="1"/>
  <c r="AE46" i="1"/>
  <c r="Q46" i="1" s="1"/>
  <c r="AF46" i="1"/>
  <c r="S46" i="1" s="1"/>
  <c r="AG46" i="1"/>
  <c r="AH46" i="1"/>
  <c r="CV46" i="1" s="1"/>
  <c r="AI46" i="1"/>
  <c r="AJ46" i="1"/>
  <c r="CR46" i="1"/>
  <c r="CS46" i="1"/>
  <c r="CT46" i="1"/>
  <c r="CU46" i="1"/>
  <c r="T46" i="1" s="1"/>
  <c r="CW46" i="1"/>
  <c r="CX46" i="1"/>
  <c r="W46" i="1" s="1"/>
  <c r="GL46" i="1"/>
  <c r="GN46" i="1"/>
  <c r="GO46" i="1"/>
  <c r="GV46" i="1"/>
  <c r="HC46" i="1" s="1"/>
  <c r="GX46" i="1" s="1"/>
  <c r="C47" i="1"/>
  <c r="D47" i="1"/>
  <c r="P47" i="1"/>
  <c r="Q47" i="1"/>
  <c r="V47" i="1"/>
  <c r="W47" i="1"/>
  <c r="AC47" i="1"/>
  <c r="CQ47" i="1" s="1"/>
  <c r="AE47" i="1"/>
  <c r="CS47" i="1" s="1"/>
  <c r="AF47" i="1"/>
  <c r="AG47" i="1"/>
  <c r="AH47" i="1"/>
  <c r="AI47" i="1"/>
  <c r="AJ47" i="1"/>
  <c r="CR47" i="1"/>
  <c r="CU47" i="1"/>
  <c r="T47" i="1" s="1"/>
  <c r="CV47" i="1"/>
  <c r="U47" i="1" s="1"/>
  <c r="CW47" i="1"/>
  <c r="CX47" i="1"/>
  <c r="GL47" i="1"/>
  <c r="FR65" i="1" s="1"/>
  <c r="GN47" i="1"/>
  <c r="GO47" i="1"/>
  <c r="GV47" i="1"/>
  <c r="GX47" i="1"/>
  <c r="HC47" i="1"/>
  <c r="C48" i="1"/>
  <c r="D48" i="1"/>
  <c r="P48" i="1"/>
  <c r="T48" i="1"/>
  <c r="U48" i="1"/>
  <c r="AC48" i="1"/>
  <c r="AE48" i="1"/>
  <c r="R48" i="1" s="1"/>
  <c r="AF48" i="1"/>
  <c r="AG48" i="1"/>
  <c r="AH48" i="1"/>
  <c r="CV48" i="1" s="1"/>
  <c r="AI48" i="1"/>
  <c r="AJ48" i="1"/>
  <c r="CX48" i="1" s="1"/>
  <c r="W48" i="1" s="1"/>
  <c r="CQ48" i="1"/>
  <c r="CU48" i="1"/>
  <c r="CW48" i="1"/>
  <c r="V48" i="1" s="1"/>
  <c r="GL48" i="1"/>
  <c r="GN48" i="1"/>
  <c r="GO48" i="1"/>
  <c r="GV48" i="1"/>
  <c r="HC48" i="1"/>
  <c r="GX48" i="1" s="1"/>
  <c r="C49" i="1"/>
  <c r="D49" i="1"/>
  <c r="P49" i="1"/>
  <c r="R49" i="1"/>
  <c r="S49" i="1"/>
  <c r="CZ49" i="1" s="1"/>
  <c r="Y49" i="1" s="1"/>
  <c r="U49" i="1"/>
  <c r="AC49" i="1"/>
  <c r="AD49" i="1"/>
  <c r="AE49" i="1"/>
  <c r="CS49" i="1" s="1"/>
  <c r="AF49" i="1"/>
  <c r="AG49" i="1"/>
  <c r="CU49" i="1" s="1"/>
  <c r="T49" i="1" s="1"/>
  <c r="DY65" i="1" s="1"/>
  <c r="AH49" i="1"/>
  <c r="CV49" i="1" s="1"/>
  <c r="AI49" i="1"/>
  <c r="CW49" i="1" s="1"/>
  <c r="V49" i="1" s="1"/>
  <c r="AJ49" i="1"/>
  <c r="CQ49" i="1"/>
  <c r="CR49" i="1"/>
  <c r="CT49" i="1"/>
  <c r="CX49" i="1"/>
  <c r="W49" i="1" s="1"/>
  <c r="CY49" i="1"/>
  <c r="X49" i="1" s="1"/>
  <c r="GL49" i="1"/>
  <c r="GN49" i="1"/>
  <c r="GO49" i="1"/>
  <c r="GV49" i="1"/>
  <c r="HC49" i="1" s="1"/>
  <c r="GX49" i="1"/>
  <c r="C50" i="1"/>
  <c r="D50" i="1"/>
  <c r="S50" i="1"/>
  <c r="AC50" i="1"/>
  <c r="AB50" i="1" s="1"/>
  <c r="AD50" i="1"/>
  <c r="AE50" i="1"/>
  <c r="Q50" i="1" s="1"/>
  <c r="AF50" i="1"/>
  <c r="AG50" i="1"/>
  <c r="AH50" i="1"/>
  <c r="CV50" i="1" s="1"/>
  <c r="U50" i="1" s="1"/>
  <c r="AI50" i="1"/>
  <c r="AJ50" i="1"/>
  <c r="CX50" i="1" s="1"/>
  <c r="W50" i="1" s="1"/>
  <c r="CQ50" i="1"/>
  <c r="CR50" i="1"/>
  <c r="CS50" i="1"/>
  <c r="CT50" i="1"/>
  <c r="CU50" i="1"/>
  <c r="T50" i="1" s="1"/>
  <c r="CW50" i="1"/>
  <c r="V50" i="1" s="1"/>
  <c r="GL50" i="1"/>
  <c r="GN50" i="1"/>
  <c r="CB65" i="1" s="1"/>
  <c r="GO50" i="1"/>
  <c r="GV50" i="1"/>
  <c r="HC50" i="1" s="1"/>
  <c r="GX50" i="1" s="1"/>
  <c r="C51" i="1"/>
  <c r="D51" i="1"/>
  <c r="S51" i="1"/>
  <c r="T51" i="1"/>
  <c r="W51" i="1"/>
  <c r="AC51" i="1"/>
  <c r="P51" i="1" s="1"/>
  <c r="AE51" i="1"/>
  <c r="AF51" i="1"/>
  <c r="AG51" i="1"/>
  <c r="CU51" i="1" s="1"/>
  <c r="AH51" i="1"/>
  <c r="AI51" i="1"/>
  <c r="AJ51" i="1"/>
  <c r="CT51" i="1"/>
  <c r="CV51" i="1"/>
  <c r="U51" i="1" s="1"/>
  <c r="CW51" i="1"/>
  <c r="V51" i="1" s="1"/>
  <c r="CX51" i="1"/>
  <c r="GL51" i="1"/>
  <c r="GN51" i="1"/>
  <c r="GO51" i="1"/>
  <c r="GV51" i="1"/>
  <c r="HC51" i="1"/>
  <c r="GX51" i="1" s="1"/>
  <c r="C52" i="1"/>
  <c r="D52" i="1"/>
  <c r="Q52" i="1"/>
  <c r="R52" i="1"/>
  <c r="U52" i="1"/>
  <c r="Y52" i="1"/>
  <c r="AC52" i="1"/>
  <c r="AD52" i="1"/>
  <c r="AE52" i="1"/>
  <c r="AF52" i="1"/>
  <c r="S52" i="1" s="1"/>
  <c r="CZ52" i="1" s="1"/>
  <c r="AG52" i="1"/>
  <c r="CU52" i="1" s="1"/>
  <c r="T52" i="1" s="1"/>
  <c r="AH52" i="1"/>
  <c r="AI52" i="1"/>
  <c r="CW52" i="1" s="1"/>
  <c r="V52" i="1" s="1"/>
  <c r="AJ52" i="1"/>
  <c r="CX52" i="1" s="1"/>
  <c r="W52" i="1" s="1"/>
  <c r="CR52" i="1"/>
  <c r="CS52" i="1"/>
  <c r="CT52" i="1"/>
  <c r="CV52" i="1"/>
  <c r="CY52" i="1"/>
  <c r="X52" i="1" s="1"/>
  <c r="GL52" i="1"/>
  <c r="GN52" i="1"/>
  <c r="GO52" i="1"/>
  <c r="GV52" i="1"/>
  <c r="GX52" i="1"/>
  <c r="HC52" i="1"/>
  <c r="C53" i="1"/>
  <c r="D53" i="1"/>
  <c r="P53" i="1"/>
  <c r="S53" i="1"/>
  <c r="T53" i="1"/>
  <c r="V53" i="1"/>
  <c r="W53" i="1"/>
  <c r="AC53" i="1"/>
  <c r="AE53" i="1"/>
  <c r="AF53" i="1"/>
  <c r="AG53" i="1"/>
  <c r="CU53" i="1" s="1"/>
  <c r="AH53" i="1"/>
  <c r="CV53" i="1" s="1"/>
  <c r="U53" i="1" s="1"/>
  <c r="AI53" i="1"/>
  <c r="CW53" i="1" s="1"/>
  <c r="AJ53" i="1"/>
  <c r="CX53" i="1" s="1"/>
  <c r="CQ53" i="1"/>
  <c r="CR53" i="1"/>
  <c r="CT53" i="1"/>
  <c r="GL53" i="1"/>
  <c r="GN53" i="1"/>
  <c r="GO53" i="1"/>
  <c r="GV53" i="1"/>
  <c r="HC53" i="1"/>
  <c r="GX53" i="1" s="1"/>
  <c r="C54" i="1"/>
  <c r="D54" i="1"/>
  <c r="P54" i="1"/>
  <c r="S54" i="1"/>
  <c r="AC54" i="1"/>
  <c r="AD54" i="1"/>
  <c r="AB54" i="1" s="1"/>
  <c r="AE54" i="1"/>
  <c r="AF54" i="1"/>
  <c r="AG54" i="1"/>
  <c r="CU54" i="1" s="1"/>
  <c r="T54" i="1" s="1"/>
  <c r="AH54" i="1"/>
  <c r="CV54" i="1" s="1"/>
  <c r="U54" i="1" s="1"/>
  <c r="AI54" i="1"/>
  <c r="AJ54" i="1"/>
  <c r="CX54" i="1" s="1"/>
  <c r="W54" i="1" s="1"/>
  <c r="CQ54" i="1"/>
  <c r="CT54" i="1"/>
  <c r="CW54" i="1"/>
  <c r="V54" i="1" s="1"/>
  <c r="GL54" i="1"/>
  <c r="GN54" i="1"/>
  <c r="GO54" i="1"/>
  <c r="GV54" i="1"/>
  <c r="HC54" i="1" s="1"/>
  <c r="GX54" i="1" s="1"/>
  <c r="C55" i="1"/>
  <c r="D55" i="1"/>
  <c r="P55" i="1"/>
  <c r="W55" i="1"/>
  <c r="AC55" i="1"/>
  <c r="CQ55" i="1" s="1"/>
  <c r="AE55" i="1"/>
  <c r="AD55" i="1" s="1"/>
  <c r="AB55" i="1" s="1"/>
  <c r="AF55" i="1"/>
  <c r="AG55" i="1"/>
  <c r="CU55" i="1" s="1"/>
  <c r="T55" i="1" s="1"/>
  <c r="AH55" i="1"/>
  <c r="AI55" i="1"/>
  <c r="AJ55" i="1"/>
  <c r="CV55" i="1"/>
  <c r="U55" i="1" s="1"/>
  <c r="CW55" i="1"/>
  <c r="V55" i="1" s="1"/>
  <c r="CX55" i="1"/>
  <c r="GL55" i="1"/>
  <c r="GN55" i="1"/>
  <c r="GO55" i="1"/>
  <c r="GV55" i="1"/>
  <c r="HC55" i="1" s="1"/>
  <c r="GX55" i="1" s="1"/>
  <c r="C56" i="1"/>
  <c r="D56" i="1"/>
  <c r="P56" i="1"/>
  <c r="S56" i="1"/>
  <c r="V56" i="1"/>
  <c r="AB56" i="1"/>
  <c r="AC56" i="1"/>
  <c r="AD56" i="1"/>
  <c r="AE56" i="1"/>
  <c r="Q56" i="1" s="1"/>
  <c r="AF56" i="1"/>
  <c r="CT56" i="1" s="1"/>
  <c r="AG56" i="1"/>
  <c r="AH56" i="1"/>
  <c r="AI56" i="1"/>
  <c r="AJ56" i="1"/>
  <c r="CX56" i="1" s="1"/>
  <c r="W56" i="1" s="1"/>
  <c r="CP56" i="1"/>
  <c r="O56" i="1" s="1"/>
  <c r="CQ56" i="1"/>
  <c r="CR56" i="1"/>
  <c r="CS56" i="1"/>
  <c r="CU56" i="1"/>
  <c r="T56" i="1" s="1"/>
  <c r="CV56" i="1"/>
  <c r="U56" i="1" s="1"/>
  <c r="CW56" i="1"/>
  <c r="GL56" i="1"/>
  <c r="GN56" i="1"/>
  <c r="GO56" i="1"/>
  <c r="GV56" i="1"/>
  <c r="HC56" i="1"/>
  <c r="GX56" i="1" s="1"/>
  <c r="C57" i="1"/>
  <c r="D57" i="1"/>
  <c r="P57" i="1"/>
  <c r="S57" i="1"/>
  <c r="AC57" i="1"/>
  <c r="AE57" i="1"/>
  <c r="CR57" i="1" s="1"/>
  <c r="AF57" i="1"/>
  <c r="AG57" i="1"/>
  <c r="CU57" i="1" s="1"/>
  <c r="T57" i="1" s="1"/>
  <c r="AH57" i="1"/>
  <c r="CV57" i="1" s="1"/>
  <c r="U57" i="1" s="1"/>
  <c r="AI57" i="1"/>
  <c r="CW57" i="1" s="1"/>
  <c r="V57" i="1" s="1"/>
  <c r="AJ57" i="1"/>
  <c r="CQ57" i="1"/>
  <c r="CT57" i="1"/>
  <c r="CX57" i="1"/>
  <c r="W57" i="1" s="1"/>
  <c r="GL57" i="1"/>
  <c r="GN57" i="1"/>
  <c r="GO57" i="1"/>
  <c r="GV57" i="1"/>
  <c r="HC57" i="1"/>
  <c r="GX57" i="1" s="1"/>
  <c r="C58" i="1"/>
  <c r="D58" i="1"/>
  <c r="R58" i="1"/>
  <c r="S58" i="1"/>
  <c r="CZ58" i="1" s="1"/>
  <c r="Y58" i="1" s="1"/>
  <c r="T58" i="1"/>
  <c r="U58" i="1"/>
  <c r="AC58" i="1"/>
  <c r="AD58" i="1"/>
  <c r="AE58" i="1"/>
  <c r="Q58" i="1" s="1"/>
  <c r="AF58" i="1"/>
  <c r="AG58" i="1"/>
  <c r="AH58" i="1"/>
  <c r="CV58" i="1" s="1"/>
  <c r="AI58" i="1"/>
  <c r="CW58" i="1" s="1"/>
  <c r="V58" i="1" s="1"/>
  <c r="AJ58" i="1"/>
  <c r="CR58" i="1"/>
  <c r="CS58" i="1"/>
  <c r="CT58" i="1"/>
  <c r="CU58" i="1"/>
  <c r="CX58" i="1"/>
  <c r="W58" i="1" s="1"/>
  <c r="CY58" i="1"/>
  <c r="X58" i="1" s="1"/>
  <c r="GL58" i="1"/>
  <c r="GN58" i="1"/>
  <c r="GO58" i="1"/>
  <c r="GV58" i="1"/>
  <c r="HC58" i="1" s="1"/>
  <c r="GX58" i="1"/>
  <c r="C59" i="1"/>
  <c r="D59" i="1"/>
  <c r="P59" i="1"/>
  <c r="Q59" i="1"/>
  <c r="R59" i="1"/>
  <c r="V59" i="1"/>
  <c r="AC59" i="1"/>
  <c r="AE59" i="1"/>
  <c r="CS59" i="1" s="1"/>
  <c r="AF59" i="1"/>
  <c r="AG59" i="1"/>
  <c r="AH59" i="1"/>
  <c r="AI59" i="1"/>
  <c r="AJ59" i="1"/>
  <c r="CX59" i="1" s="1"/>
  <c r="W59" i="1" s="1"/>
  <c r="CQ59" i="1"/>
  <c r="CU59" i="1"/>
  <c r="T59" i="1" s="1"/>
  <c r="CV59" i="1"/>
  <c r="U59" i="1" s="1"/>
  <c r="CW59" i="1"/>
  <c r="GL59" i="1"/>
  <c r="GN59" i="1"/>
  <c r="GO59" i="1"/>
  <c r="GV59" i="1"/>
  <c r="HC59" i="1"/>
  <c r="GX59" i="1" s="1"/>
  <c r="GB65" i="1" s="1"/>
  <c r="C60" i="1"/>
  <c r="D60" i="1"/>
  <c r="P60" i="1"/>
  <c r="Q60" i="1"/>
  <c r="CP60" i="1" s="1"/>
  <c r="O60" i="1" s="1"/>
  <c r="S60" i="1"/>
  <c r="AC60" i="1"/>
  <c r="AE60" i="1"/>
  <c r="AF60" i="1"/>
  <c r="AG60" i="1"/>
  <c r="CU60" i="1" s="1"/>
  <c r="T60" i="1" s="1"/>
  <c r="AH60" i="1"/>
  <c r="CV60" i="1" s="1"/>
  <c r="U60" i="1" s="1"/>
  <c r="AI60" i="1"/>
  <c r="CW60" i="1" s="1"/>
  <c r="V60" i="1" s="1"/>
  <c r="AJ60" i="1"/>
  <c r="CQ60" i="1"/>
  <c r="CT60" i="1"/>
  <c r="CX60" i="1"/>
  <c r="W60" i="1" s="1"/>
  <c r="GL60" i="1"/>
  <c r="GN60" i="1"/>
  <c r="GO60" i="1"/>
  <c r="GV60" i="1"/>
  <c r="HC60" i="1"/>
  <c r="GX60" i="1" s="1"/>
  <c r="C61" i="1"/>
  <c r="D61" i="1"/>
  <c r="R61" i="1"/>
  <c r="S61" i="1"/>
  <c r="CZ61" i="1" s="1"/>
  <c r="Y61" i="1" s="1"/>
  <c r="T61" i="1"/>
  <c r="AC61" i="1"/>
  <c r="P61" i="1" s="1"/>
  <c r="AE61" i="1"/>
  <c r="CR61" i="1" s="1"/>
  <c r="AF61" i="1"/>
  <c r="CT61" i="1" s="1"/>
  <c r="AG61" i="1"/>
  <c r="CU61" i="1" s="1"/>
  <c r="AH61" i="1"/>
  <c r="CV61" i="1" s="1"/>
  <c r="U61" i="1" s="1"/>
  <c r="AI61" i="1"/>
  <c r="AJ61" i="1"/>
  <c r="CS61" i="1"/>
  <c r="CW61" i="1"/>
  <c r="V61" i="1" s="1"/>
  <c r="CX61" i="1"/>
  <c r="W61" i="1" s="1"/>
  <c r="CY61" i="1"/>
  <c r="X61" i="1" s="1"/>
  <c r="GL61" i="1"/>
  <c r="GN61" i="1"/>
  <c r="GO61" i="1"/>
  <c r="GV61" i="1"/>
  <c r="HC61" i="1" s="1"/>
  <c r="GX61" i="1" s="1"/>
  <c r="C62" i="1"/>
  <c r="D62" i="1"/>
  <c r="R62" i="1"/>
  <c r="S62" i="1"/>
  <c r="CY62" i="1" s="1"/>
  <c r="X62" i="1" s="1"/>
  <c r="U62" i="1"/>
  <c r="V62" i="1"/>
  <c r="AB62" i="1"/>
  <c r="AC62" i="1"/>
  <c r="AD62" i="1"/>
  <c r="AE62" i="1"/>
  <c r="Q62" i="1" s="1"/>
  <c r="AF62" i="1"/>
  <c r="AG62" i="1"/>
  <c r="CU62" i="1" s="1"/>
  <c r="T62" i="1" s="1"/>
  <c r="AH62" i="1"/>
  <c r="AI62" i="1"/>
  <c r="CW62" i="1" s="1"/>
  <c r="AJ62" i="1"/>
  <c r="CX62" i="1" s="1"/>
  <c r="W62" i="1" s="1"/>
  <c r="CR62" i="1"/>
  <c r="CS62" i="1"/>
  <c r="CT62" i="1"/>
  <c r="CV62" i="1"/>
  <c r="GL62" i="1"/>
  <c r="GN62" i="1"/>
  <c r="GO62" i="1"/>
  <c r="GV62" i="1"/>
  <c r="HC62" i="1" s="1"/>
  <c r="GX62" i="1" s="1"/>
  <c r="C63" i="1"/>
  <c r="D63" i="1"/>
  <c r="P63" i="1"/>
  <c r="CP63" i="1" s="1"/>
  <c r="O63" i="1" s="1"/>
  <c r="Q63" i="1"/>
  <c r="S63" i="1"/>
  <c r="AC63" i="1"/>
  <c r="AD63" i="1"/>
  <c r="AB63" i="1" s="1"/>
  <c r="AE63" i="1"/>
  <c r="AF63" i="1"/>
  <c r="CT63" i="1" s="1"/>
  <c r="AG63" i="1"/>
  <c r="AH63" i="1"/>
  <c r="CV63" i="1" s="1"/>
  <c r="U63" i="1" s="1"/>
  <c r="AI63" i="1"/>
  <c r="CW63" i="1" s="1"/>
  <c r="V63" i="1" s="1"/>
  <c r="AJ63" i="1"/>
  <c r="CX63" i="1" s="1"/>
  <c r="W63" i="1" s="1"/>
  <c r="CQ63" i="1"/>
  <c r="CU63" i="1"/>
  <c r="T63" i="1" s="1"/>
  <c r="GL63" i="1"/>
  <c r="GN63" i="1"/>
  <c r="GO63" i="1"/>
  <c r="GV63" i="1"/>
  <c r="GX63" i="1"/>
  <c r="HC63" i="1"/>
  <c r="B65" i="1"/>
  <c r="B26" i="1" s="1"/>
  <c r="C65" i="1"/>
  <c r="C26" i="1" s="1"/>
  <c r="D65" i="1"/>
  <c r="D26" i="1" s="1"/>
  <c r="F65" i="1"/>
  <c r="F26" i="1" s="1"/>
  <c r="G65" i="1"/>
  <c r="G26" i="1" s="1"/>
  <c r="AO65" i="1"/>
  <c r="AO26" i="1" s="1"/>
  <c r="AP65" i="1"/>
  <c r="AP26" i="1" s="1"/>
  <c r="BX65" i="1"/>
  <c r="BX26" i="1" s="1"/>
  <c r="BY65" i="1"/>
  <c r="CK65" i="1"/>
  <c r="CK26" i="1" s="1"/>
  <c r="CL65" i="1"/>
  <c r="CL26" i="1" s="1"/>
  <c r="CM65" i="1"/>
  <c r="ET65" i="1"/>
  <c r="ET26" i="1" s="1"/>
  <c r="FP65" i="1"/>
  <c r="FQ65" i="1"/>
  <c r="EH65" i="1" s="1"/>
  <c r="GC65" i="1"/>
  <c r="GC26" i="1" s="1"/>
  <c r="GD65" i="1"/>
  <c r="GD26" i="1" s="1"/>
  <c r="GE65" i="1"/>
  <c r="F74" i="1"/>
  <c r="B95" i="1"/>
  <c r="B22" i="1" s="1"/>
  <c r="C95" i="1"/>
  <c r="C22" i="1" s="1"/>
  <c r="D95" i="1"/>
  <c r="D22" i="1" s="1"/>
  <c r="F95" i="1"/>
  <c r="F22" i="1" s="1"/>
  <c r="G95" i="1"/>
  <c r="G22" i="1" s="1"/>
  <c r="AO95" i="1"/>
  <c r="AO22" i="1" s="1"/>
  <c r="AP95" i="1"/>
  <c r="AP125" i="1" s="1"/>
  <c r="ET95" i="1"/>
  <c r="P108" i="1" s="1"/>
  <c r="B125" i="1"/>
  <c r="B18" i="1" s="1"/>
  <c r="C125" i="1"/>
  <c r="C18" i="1" s="1"/>
  <c r="D125" i="1"/>
  <c r="D18" i="1" s="1"/>
  <c r="F125" i="1"/>
  <c r="F18" i="1" s="1"/>
  <c r="G125" i="1"/>
  <c r="G18" i="1" s="1"/>
  <c r="F12" i="6"/>
  <c r="G12" i="6"/>
  <c r="CY12" i="6"/>
  <c r="J150" i="7" l="1"/>
  <c r="FR26" i="1"/>
  <c r="EI65" i="1"/>
  <c r="FY65" i="1"/>
  <c r="AH65" i="1"/>
  <c r="DY26" i="1"/>
  <c r="DL65" i="1"/>
  <c r="CB26" i="1"/>
  <c r="AS65" i="1"/>
  <c r="AI26" i="1"/>
  <c r="V65" i="1"/>
  <c r="CJ65" i="1"/>
  <c r="AP18" i="1"/>
  <c r="F134" i="1"/>
  <c r="DZ65" i="1"/>
  <c r="EH26" i="1"/>
  <c r="EH95" i="1"/>
  <c r="P74" i="1"/>
  <c r="GB26" i="1"/>
  <c r="ES65" i="1"/>
  <c r="CQ52" i="1"/>
  <c r="P52" i="1"/>
  <c r="CP52" i="1" s="1"/>
  <c r="O52" i="1" s="1"/>
  <c r="GM52" i="1" s="1"/>
  <c r="GP52" i="1" s="1"/>
  <c r="CY46" i="1"/>
  <c r="X46" i="1" s="1"/>
  <c r="CZ46" i="1"/>
  <c r="Y46" i="1" s="1"/>
  <c r="AO125" i="1"/>
  <c r="AT65" i="1"/>
  <c r="CR63" i="1"/>
  <c r="R63" i="1"/>
  <c r="AD60" i="1"/>
  <c r="AB60" i="1" s="1"/>
  <c r="R60" i="1"/>
  <c r="CY60" i="1" s="1"/>
  <c r="X60" i="1" s="1"/>
  <c r="CS60" i="1"/>
  <c r="CR54" i="1"/>
  <c r="CS54" i="1"/>
  <c r="Q54" i="1"/>
  <c r="R54" i="1"/>
  <c r="CZ54" i="1" s="1"/>
  <c r="Y54" i="1" s="1"/>
  <c r="AB52" i="1"/>
  <c r="AD51" i="1"/>
  <c r="AB51" i="1" s="1"/>
  <c r="CR51" i="1"/>
  <c r="CS51" i="1"/>
  <c r="Q51" i="1"/>
  <c r="CP51" i="1" s="1"/>
  <c r="O51" i="1" s="1"/>
  <c r="R51" i="1"/>
  <c r="CZ51" i="1" s="1"/>
  <c r="Y51" i="1" s="1"/>
  <c r="P42" i="1"/>
  <c r="CQ42" i="1"/>
  <c r="EB65" i="1"/>
  <c r="P78" i="1"/>
  <c r="EA65" i="1"/>
  <c r="FT65" i="1"/>
  <c r="AG65" i="1"/>
  <c r="CT59" i="1"/>
  <c r="S59" i="1"/>
  <c r="CS55" i="1"/>
  <c r="CR55" i="1"/>
  <c r="CR60" i="1"/>
  <c r="AD59" i="1"/>
  <c r="AB59" i="1" s="1"/>
  <c r="Q55" i="1"/>
  <c r="CP55" i="1" s="1"/>
  <c r="O55" i="1" s="1"/>
  <c r="AP22" i="1"/>
  <c r="F104" i="1"/>
  <c r="V16" i="2" s="1"/>
  <c r="P45" i="1"/>
  <c r="CP45" i="1" s="1"/>
  <c r="O45" i="1" s="1"/>
  <c r="CQ45" i="1"/>
  <c r="F69" i="1"/>
  <c r="BY26" i="1"/>
  <c r="CS63" i="1"/>
  <c r="CZ62" i="1"/>
  <c r="Y62" i="1" s="1"/>
  <c r="R53" i="1"/>
  <c r="CY53" i="1" s="1"/>
  <c r="X53" i="1" s="1"/>
  <c r="AD53" i="1"/>
  <c r="AB53" i="1" s="1"/>
  <c r="Q53" i="1"/>
  <c r="CP53" i="1" s="1"/>
  <c r="O53" i="1" s="1"/>
  <c r="CS53" i="1"/>
  <c r="CQ51" i="1"/>
  <c r="FU65" i="1"/>
  <c r="AD57" i="1"/>
  <c r="AB57" i="1" s="1"/>
  <c r="Q57" i="1"/>
  <c r="CP57" i="1" s="1"/>
  <c r="O57" i="1" s="1"/>
  <c r="CS57" i="1"/>
  <c r="CQ61" i="1"/>
  <c r="AB46" i="1"/>
  <c r="P46" i="1"/>
  <c r="CP46" i="1" s="1"/>
  <c r="O46" i="1" s="1"/>
  <c r="GM46" i="1" s="1"/>
  <c r="GP46" i="1" s="1"/>
  <c r="F99" i="1"/>
  <c r="R55" i="1"/>
  <c r="FQ26" i="1"/>
  <c r="GA65" i="1"/>
  <c r="CQ62" i="1"/>
  <c r="P62" i="1"/>
  <c r="CP62" i="1" s="1"/>
  <c r="O62" i="1" s="1"/>
  <c r="CZ60" i="1"/>
  <c r="Y60" i="1" s="1"/>
  <c r="GM60" i="1" s="1"/>
  <c r="GP60" i="1" s="1"/>
  <c r="CY54" i="1"/>
  <c r="X54" i="1" s="1"/>
  <c r="S48" i="1"/>
  <c r="CT48" i="1"/>
  <c r="FP26" i="1"/>
  <c r="EG65" i="1"/>
  <c r="R57" i="1"/>
  <c r="CY57" i="1" s="1"/>
  <c r="X57" i="1" s="1"/>
  <c r="AD48" i="1"/>
  <c r="AB48" i="1" s="1"/>
  <c r="CS48" i="1"/>
  <c r="Q48" i="1"/>
  <c r="CR48" i="1"/>
  <c r="AJ65" i="1"/>
  <c r="ET22" i="1"/>
  <c r="ET125" i="1"/>
  <c r="BB65" i="1"/>
  <c r="CP54" i="1"/>
  <c r="O54" i="1" s="1"/>
  <c r="GE26" i="1"/>
  <c r="EV65" i="1"/>
  <c r="EU65" i="1"/>
  <c r="CM26" i="1"/>
  <c r="BD65" i="1"/>
  <c r="CR59" i="1"/>
  <c r="CT47" i="1"/>
  <c r="S47" i="1"/>
  <c r="GM40" i="1"/>
  <c r="GP40" i="1" s="1"/>
  <c r="CY38" i="1"/>
  <c r="X38" i="1" s="1"/>
  <c r="CP36" i="1"/>
  <c r="O36" i="1" s="1"/>
  <c r="GM36" i="1" s="1"/>
  <c r="GP36" i="1" s="1"/>
  <c r="CT55" i="1"/>
  <c r="S55" i="1"/>
  <c r="BZ65" i="1"/>
  <c r="CQ58" i="1"/>
  <c r="AB58" i="1"/>
  <c r="P58" i="1"/>
  <c r="CP58" i="1" s="1"/>
  <c r="O58" i="1" s="1"/>
  <c r="GM58" i="1" s="1"/>
  <c r="GP58" i="1" s="1"/>
  <c r="R56" i="1"/>
  <c r="P50" i="1"/>
  <c r="CP50" i="1" s="1"/>
  <c r="O50" i="1" s="1"/>
  <c r="AB49" i="1"/>
  <c r="AD44" i="1"/>
  <c r="AB44" i="1" s="1"/>
  <c r="CQ43" i="1"/>
  <c r="CS41" i="1"/>
  <c r="AD40" i="1"/>
  <c r="AB40" i="1" s="1"/>
  <c r="R39" i="1"/>
  <c r="CY36" i="1"/>
  <c r="X36" i="1" s="1"/>
  <c r="S35" i="1"/>
  <c r="BC65" i="1"/>
  <c r="R47" i="1"/>
  <c r="CR45" i="1"/>
  <c r="R45" i="1"/>
  <c r="S43" i="1"/>
  <c r="CR41" i="1"/>
  <c r="R41" i="1"/>
  <c r="Q39" i="1"/>
  <c r="CP39" i="1" s="1"/>
  <c r="O39" i="1" s="1"/>
  <c r="CY33" i="1"/>
  <c r="X33" i="1" s="1"/>
  <c r="CZ33" i="1"/>
  <c r="Y33" i="1" s="1"/>
  <c r="CP30" i="1"/>
  <c r="O30" i="1" s="1"/>
  <c r="CZ29" i="1"/>
  <c r="Y29" i="1" s="1"/>
  <c r="DG27" i="3"/>
  <c r="DJ27" i="3" s="1"/>
  <c r="DF27" i="3"/>
  <c r="CW17" i="3"/>
  <c r="CX17" i="3"/>
  <c r="CR42" i="1"/>
  <c r="AD42" i="1"/>
  <c r="AB42" i="1" s="1"/>
  <c r="CW32" i="3"/>
  <c r="CP29" i="1"/>
  <c r="O29" i="1" s="1"/>
  <c r="DG33" i="3"/>
  <c r="DJ33" i="3" s="1"/>
  <c r="DF33" i="3"/>
  <c r="DI32" i="3"/>
  <c r="DF32" i="3"/>
  <c r="CW23" i="3"/>
  <c r="CX23" i="3"/>
  <c r="CT38" i="1"/>
  <c r="AB33" i="1"/>
  <c r="R28" i="1"/>
  <c r="CS28" i="1"/>
  <c r="AD28" i="1"/>
  <c r="AB28" i="1" s="1"/>
  <c r="Q28" i="1"/>
  <c r="CR28" i="1"/>
  <c r="CW13" i="3"/>
  <c r="CX13" i="3"/>
  <c r="Q61" i="1"/>
  <c r="CP61" i="1" s="1"/>
  <c r="O61" i="1" s="1"/>
  <c r="GM61" i="1" s="1"/>
  <c r="GP61" i="1" s="1"/>
  <c r="CP31" i="1"/>
  <c r="O31" i="1" s="1"/>
  <c r="GM31" i="1" s="1"/>
  <c r="GP31" i="1" s="1"/>
  <c r="S30" i="1"/>
  <c r="DH34" i="3"/>
  <c r="DF34" i="3"/>
  <c r="DI24" i="3"/>
  <c r="DG24" i="3"/>
  <c r="DJ24" i="3" s="1"/>
  <c r="DH24" i="3"/>
  <c r="DI19" i="3"/>
  <c r="DG19" i="3"/>
  <c r="DJ19" i="3" s="1"/>
  <c r="DH19" i="3"/>
  <c r="DF19" i="3"/>
  <c r="DH10" i="3"/>
  <c r="DI10" i="3"/>
  <c r="DF10" i="3"/>
  <c r="DG10" i="3"/>
  <c r="DJ10" i="3" s="1"/>
  <c r="DH4" i="3"/>
  <c r="DG4" i="3"/>
  <c r="DJ4" i="3" s="1"/>
  <c r="DI4" i="3"/>
  <c r="AD61" i="1"/>
  <c r="AB61" i="1" s="1"/>
  <c r="AD47" i="1"/>
  <c r="AB47" i="1" s="1"/>
  <c r="CS42" i="1"/>
  <c r="CZ40" i="1"/>
  <c r="Y40" i="1" s="1"/>
  <c r="AD39" i="1"/>
  <c r="P38" i="1"/>
  <c r="AC65" i="1" s="1"/>
  <c r="CQ36" i="1"/>
  <c r="AD35" i="1"/>
  <c r="AB35" i="1" s="1"/>
  <c r="Q35" i="1"/>
  <c r="CR35" i="1"/>
  <c r="CP32" i="1"/>
  <c r="O32" i="1" s="1"/>
  <c r="CP43" i="1"/>
  <c r="O43" i="1" s="1"/>
  <c r="CZ42" i="1"/>
  <c r="Y42" i="1" s="1"/>
  <c r="CQ33" i="1"/>
  <c r="DH32" i="3"/>
  <c r="CW5" i="3"/>
  <c r="CX5" i="3"/>
  <c r="P41" i="1"/>
  <c r="CP41" i="1" s="1"/>
  <c r="O41" i="1" s="1"/>
  <c r="AB41" i="1"/>
  <c r="CQ41" i="1"/>
  <c r="CQ37" i="1"/>
  <c r="AB37" i="1"/>
  <c r="CZ28" i="1"/>
  <c r="Y28" i="1" s="1"/>
  <c r="CW35" i="3"/>
  <c r="CX35" i="3"/>
  <c r="CP44" i="1"/>
  <c r="O44" i="1" s="1"/>
  <c r="GM44" i="1" s="1"/>
  <c r="GP44" i="1" s="1"/>
  <c r="Q42" i="1"/>
  <c r="CT34" i="1"/>
  <c r="S34" i="1"/>
  <c r="CP34" i="1" s="1"/>
  <c r="O34" i="1" s="1"/>
  <c r="P33" i="1"/>
  <c r="DI36" i="3"/>
  <c r="DG36" i="3"/>
  <c r="DJ36" i="3" s="1"/>
  <c r="DI33" i="3"/>
  <c r="CW11" i="3"/>
  <c r="CX11" i="3"/>
  <c r="CZ38" i="1"/>
  <c r="Y38" i="1" s="1"/>
  <c r="CZ31" i="1"/>
  <c r="Y31" i="1" s="1"/>
  <c r="DH33" i="3"/>
  <c r="CW25" i="3"/>
  <c r="CX25" i="3"/>
  <c r="CW1" i="3"/>
  <c r="CX1" i="3"/>
  <c r="CY39" i="1"/>
  <c r="X39" i="1" s="1"/>
  <c r="CR38" i="1"/>
  <c r="AD38" i="1"/>
  <c r="AB38" i="1" s="1"/>
  <c r="Q38" i="1"/>
  <c r="CS38" i="1"/>
  <c r="CW31" i="3"/>
  <c r="CX31" i="3"/>
  <c r="DH22" i="3"/>
  <c r="DI22" i="3"/>
  <c r="DF22" i="3"/>
  <c r="DG22" i="3"/>
  <c r="DJ22" i="3" s="1"/>
  <c r="DH16" i="3"/>
  <c r="DG16" i="3"/>
  <c r="DJ16" i="3" s="1"/>
  <c r="DI16" i="3"/>
  <c r="DI12" i="3"/>
  <c r="DG12" i="3"/>
  <c r="DJ12" i="3" s="1"/>
  <c r="DH12" i="3"/>
  <c r="DI7" i="3"/>
  <c r="DG7" i="3"/>
  <c r="DJ7" i="3" s="1"/>
  <c r="DH7" i="3"/>
  <c r="DF7" i="3"/>
  <c r="R50" i="1"/>
  <c r="CZ50" i="1" s="1"/>
  <c r="Y50" i="1" s="1"/>
  <c r="Q43" i="1"/>
  <c r="CR32" i="1"/>
  <c r="R32" i="1"/>
  <c r="CY32" i="1" s="1"/>
  <c r="X32" i="1" s="1"/>
  <c r="CR29" i="1"/>
  <c r="AD29" i="1"/>
  <c r="AB29" i="1" s="1"/>
  <c r="CW29" i="3"/>
  <c r="CX29" i="3"/>
  <c r="DG14" i="3"/>
  <c r="DJ14" i="3" s="1"/>
  <c r="DI14" i="3"/>
  <c r="DF14" i="3"/>
  <c r="DG2" i="3"/>
  <c r="DJ2" i="3" s="1"/>
  <c r="DI2" i="3"/>
  <c r="DF2" i="3"/>
  <c r="AD32" i="1"/>
  <c r="AB32" i="1" s="1"/>
  <c r="DG30" i="3"/>
  <c r="DJ30" i="3" s="1"/>
  <c r="DF28" i="3"/>
  <c r="Q49" i="1"/>
  <c r="CP49" i="1" s="1"/>
  <c r="O49" i="1" s="1"/>
  <c r="GM49" i="1" s="1"/>
  <c r="GP49" i="1" s="1"/>
  <c r="CT33" i="1"/>
  <c r="AB30" i="1"/>
  <c r="DF30" i="3"/>
  <c r="DG20" i="3"/>
  <c r="DJ20" i="3" s="1"/>
  <c r="DI20" i="3"/>
  <c r="DF20" i="3"/>
  <c r="DH18" i="3"/>
  <c r="DH15" i="3"/>
  <c r="DG8" i="3"/>
  <c r="DJ8" i="3" s="1"/>
  <c r="DI8" i="3"/>
  <c r="DF8" i="3"/>
  <c r="DH6" i="3"/>
  <c r="DH3" i="3"/>
  <c r="AB39" i="1"/>
  <c r="CQ30" i="1"/>
  <c r="DI26" i="3"/>
  <c r="DF26" i="3"/>
  <c r="CS33" i="1"/>
  <c r="CR33" i="1"/>
  <c r="GM55" i="1" l="1"/>
  <c r="GP55" i="1" s="1"/>
  <c r="GM53" i="1"/>
  <c r="GP53" i="1" s="1"/>
  <c r="AC26" i="1"/>
  <c r="CH65" i="1"/>
  <c r="P65" i="1"/>
  <c r="CF65" i="1"/>
  <c r="CE65" i="1"/>
  <c r="GM51" i="1"/>
  <c r="GP51" i="1" s="1"/>
  <c r="DF5" i="3"/>
  <c r="DI5" i="3"/>
  <c r="DG5" i="3"/>
  <c r="DJ5" i="3" s="1"/>
  <c r="DH5" i="3"/>
  <c r="DF23" i="3"/>
  <c r="DH23" i="3"/>
  <c r="DI23" i="3"/>
  <c r="DG23" i="3"/>
  <c r="DJ23" i="3" s="1"/>
  <c r="DF35" i="3"/>
  <c r="DH35" i="3"/>
  <c r="DG35" i="3"/>
  <c r="DJ35" i="3" s="1"/>
  <c r="DI35" i="3"/>
  <c r="DW65" i="1"/>
  <c r="CY50" i="1"/>
  <c r="X50" i="1" s="1"/>
  <c r="GM50" i="1" s="1"/>
  <c r="GP50" i="1" s="1"/>
  <c r="BD26" i="1"/>
  <c r="BD95" i="1"/>
  <c r="F90" i="1"/>
  <c r="FU26" i="1"/>
  <c r="EL65" i="1"/>
  <c r="DF29" i="3"/>
  <c r="DG29" i="3"/>
  <c r="DJ29" i="3" s="1"/>
  <c r="DH29" i="3"/>
  <c r="DI29" i="3"/>
  <c r="CP28" i="1"/>
  <c r="O28" i="1" s="1"/>
  <c r="AD65" i="1"/>
  <c r="BZ26" i="1"/>
  <c r="AQ65" i="1"/>
  <c r="CG65" i="1"/>
  <c r="GA26" i="1"/>
  <c r="ER65" i="1"/>
  <c r="CZ59" i="1"/>
  <c r="Y59" i="1" s="1"/>
  <c r="CY59" i="1"/>
  <c r="X59" i="1" s="1"/>
  <c r="CY63" i="1"/>
  <c r="X63" i="1" s="1"/>
  <c r="GM63" i="1" s="1"/>
  <c r="GP63" i="1" s="1"/>
  <c r="CZ63" i="1"/>
  <c r="Y63" i="1" s="1"/>
  <c r="AS26" i="1"/>
  <c r="F82" i="1"/>
  <c r="AS95" i="1"/>
  <c r="DF11" i="3"/>
  <c r="DH11" i="3"/>
  <c r="DI11" i="3"/>
  <c r="DG11" i="3"/>
  <c r="DJ11" i="3" s="1"/>
  <c r="EU26" i="1"/>
  <c r="EU95" i="1"/>
  <c r="P81" i="1"/>
  <c r="AL65" i="1"/>
  <c r="GM29" i="1"/>
  <c r="CZ32" i="1"/>
  <c r="Y32" i="1" s="1"/>
  <c r="CY41" i="1"/>
  <c r="X41" i="1" s="1"/>
  <c r="CZ41" i="1"/>
  <c r="Y41" i="1" s="1"/>
  <c r="ED65" i="1" s="1"/>
  <c r="EV26" i="1"/>
  <c r="P90" i="1"/>
  <c r="EV95" i="1"/>
  <c r="EG26" i="1"/>
  <c r="EG95" i="1"/>
  <c r="P69" i="1"/>
  <c r="AT26" i="1"/>
  <c r="F83" i="1"/>
  <c r="AT95" i="1"/>
  <c r="GM32" i="1"/>
  <c r="GP32" i="1" s="1"/>
  <c r="EH22" i="1"/>
  <c r="EH125" i="1"/>
  <c r="P104" i="1"/>
  <c r="G16" i="2" s="1"/>
  <c r="AE65" i="1"/>
  <c r="AG26" i="1"/>
  <c r="T65" i="1"/>
  <c r="AO18" i="1"/>
  <c r="F129" i="1"/>
  <c r="DL26" i="1"/>
  <c r="DL95" i="1"/>
  <c r="P86" i="1"/>
  <c r="CY43" i="1"/>
  <c r="X43" i="1" s="1"/>
  <c r="GM43" i="1" s="1"/>
  <c r="GP43" i="1" s="1"/>
  <c r="CZ43" i="1"/>
  <c r="Y43" i="1" s="1"/>
  <c r="GM54" i="1"/>
  <c r="GP54" i="1" s="1"/>
  <c r="CY28" i="1"/>
  <c r="X28" i="1" s="1"/>
  <c r="FT26" i="1"/>
  <c r="EK65" i="1"/>
  <c r="DZ26" i="1"/>
  <c r="DM65" i="1"/>
  <c r="DV65" i="1"/>
  <c r="CP35" i="1"/>
  <c r="O35" i="1" s="1"/>
  <c r="GM35" i="1" s="1"/>
  <c r="GP35" i="1" s="1"/>
  <c r="DF17" i="3"/>
  <c r="DI17" i="3"/>
  <c r="DG17" i="3"/>
  <c r="DJ17" i="3" s="1"/>
  <c r="DH17" i="3"/>
  <c r="CZ45" i="1"/>
  <c r="Y45" i="1" s="1"/>
  <c r="CY45" i="1"/>
  <c r="X45" i="1" s="1"/>
  <c r="GM45" i="1" s="1"/>
  <c r="GP45" i="1" s="1"/>
  <c r="BB26" i="1"/>
  <c r="F78" i="1"/>
  <c r="BB95" i="1"/>
  <c r="CZ48" i="1"/>
  <c r="Y48" i="1" s="1"/>
  <c r="CY48" i="1"/>
  <c r="X48" i="1" s="1"/>
  <c r="CZ53" i="1"/>
  <c r="Y53" i="1" s="1"/>
  <c r="CZ39" i="1"/>
  <c r="Y39" i="1" s="1"/>
  <c r="GM39" i="1" s="1"/>
  <c r="GP39" i="1" s="1"/>
  <c r="EA26" i="1"/>
  <c r="DN65" i="1"/>
  <c r="AH26" i="1"/>
  <c r="U65" i="1"/>
  <c r="CY55" i="1"/>
  <c r="X55" i="1" s="1"/>
  <c r="CZ55" i="1"/>
  <c r="Y55" i="1" s="1"/>
  <c r="DI1" i="3"/>
  <c r="DG1" i="3"/>
  <c r="DJ1" i="3" s="1"/>
  <c r="DH1" i="3"/>
  <c r="DF1" i="3"/>
  <c r="CP33" i="1"/>
  <c r="O33" i="1" s="1"/>
  <c r="GM33" i="1" s="1"/>
  <c r="GP33" i="1" s="1"/>
  <c r="DU65" i="1"/>
  <c r="CY30" i="1"/>
  <c r="X30" i="1" s="1"/>
  <c r="CZ30" i="1"/>
  <c r="Y30" i="1" s="1"/>
  <c r="AF65" i="1"/>
  <c r="CY56" i="1"/>
  <c r="X56" i="1" s="1"/>
  <c r="CZ56" i="1"/>
  <c r="Y56" i="1" s="1"/>
  <c r="ET18" i="1"/>
  <c r="P138" i="1"/>
  <c r="CY51" i="1"/>
  <c r="X51" i="1" s="1"/>
  <c r="EB26" i="1"/>
  <c r="DO65" i="1"/>
  <c r="FY26" i="1"/>
  <c r="EP65" i="1"/>
  <c r="DG25" i="3"/>
  <c r="DJ25" i="3" s="1"/>
  <c r="DH25" i="3"/>
  <c r="DF25" i="3"/>
  <c r="DI25" i="3"/>
  <c r="CP38" i="1"/>
  <c r="O38" i="1" s="1"/>
  <c r="GM38" i="1" s="1"/>
  <c r="GP38" i="1" s="1"/>
  <c r="BC26" i="1"/>
  <c r="BC95" i="1"/>
  <c r="F81" i="1"/>
  <c r="CY47" i="1"/>
  <c r="X47" i="1" s="1"/>
  <c r="CZ47" i="1"/>
  <c r="Y47" i="1" s="1"/>
  <c r="W65" i="1"/>
  <c r="AJ26" i="1"/>
  <c r="CZ57" i="1"/>
  <c r="Y57" i="1" s="1"/>
  <c r="GM57" i="1" s="1"/>
  <c r="GP57" i="1" s="1"/>
  <c r="EI26" i="1"/>
  <c r="P75" i="1"/>
  <c r="EI95" i="1"/>
  <c r="DI13" i="3"/>
  <c r="DG13" i="3"/>
  <c r="DJ13" i="3" s="1"/>
  <c r="DH13" i="3"/>
  <c r="DF13" i="3"/>
  <c r="CZ35" i="1"/>
  <c r="Y35" i="1" s="1"/>
  <c r="CY35" i="1"/>
  <c r="X35" i="1" s="1"/>
  <c r="EC65" i="1" s="1"/>
  <c r="DX65" i="1"/>
  <c r="CI65" i="1"/>
  <c r="CP47" i="1"/>
  <c r="O47" i="1" s="1"/>
  <c r="GM47" i="1" s="1"/>
  <c r="GP47" i="1" s="1"/>
  <c r="CP59" i="1"/>
  <c r="O59" i="1" s="1"/>
  <c r="CJ26" i="1"/>
  <c r="BA65" i="1"/>
  <c r="CY34" i="1"/>
  <c r="X34" i="1" s="1"/>
  <c r="GM34" i="1" s="1"/>
  <c r="GP34" i="1" s="1"/>
  <c r="CZ34" i="1"/>
  <c r="Y34" i="1" s="1"/>
  <c r="DG31" i="3"/>
  <c r="DJ31" i="3" s="1"/>
  <c r="DH31" i="3"/>
  <c r="DI31" i="3"/>
  <c r="DF31" i="3"/>
  <c r="GM30" i="1"/>
  <c r="GP30" i="1" s="1"/>
  <c r="CP48" i="1"/>
  <c r="O48" i="1" s="1"/>
  <c r="GM62" i="1"/>
  <c r="GP62" i="1" s="1"/>
  <c r="CP42" i="1"/>
  <c r="O42" i="1" s="1"/>
  <c r="GM42" i="1" s="1"/>
  <c r="GP42" i="1" s="1"/>
  <c r="ES26" i="1"/>
  <c r="P85" i="1"/>
  <c r="ES95" i="1"/>
  <c r="V26" i="1"/>
  <c r="V95" i="1"/>
  <c r="F88" i="1"/>
  <c r="EC26" i="1" l="1"/>
  <c r="DP65" i="1"/>
  <c r="ED26" i="1"/>
  <c r="DQ65" i="1"/>
  <c r="BD22" i="1"/>
  <c r="F120" i="1"/>
  <c r="BD125" i="1"/>
  <c r="W26" i="1"/>
  <c r="W95" i="1"/>
  <c r="F89" i="1"/>
  <c r="DU26" i="1"/>
  <c r="FX65" i="1"/>
  <c r="DH65" i="1"/>
  <c r="FW65" i="1"/>
  <c r="FZ65" i="1"/>
  <c r="AS125" i="1"/>
  <c r="AS22" i="1"/>
  <c r="F112" i="1"/>
  <c r="T16" i="2" s="1"/>
  <c r="EH18" i="1"/>
  <c r="P134" i="1"/>
  <c r="DX26" i="1"/>
  <c r="DK65" i="1"/>
  <c r="EP26" i="1"/>
  <c r="P72" i="1"/>
  <c r="EP95" i="1"/>
  <c r="GM41" i="1"/>
  <c r="GP41" i="1" s="1"/>
  <c r="DO26" i="1"/>
  <c r="DO95" i="1"/>
  <c r="P89" i="1"/>
  <c r="AT22" i="1"/>
  <c r="F113" i="1"/>
  <c r="U16" i="2" s="1"/>
  <c r="AT125" i="1"/>
  <c r="Q65" i="1"/>
  <c r="AD26" i="1"/>
  <c r="DN26" i="1"/>
  <c r="P88" i="1"/>
  <c r="DN95" i="1"/>
  <c r="GM28" i="1"/>
  <c r="AB65" i="1"/>
  <c r="DW26" i="1"/>
  <c r="DJ65" i="1"/>
  <c r="DI65" i="1"/>
  <c r="DV26" i="1"/>
  <c r="GP29" i="1"/>
  <c r="FS65" i="1"/>
  <c r="AQ26" i="1"/>
  <c r="AQ95" i="1"/>
  <c r="F75" i="1"/>
  <c r="V22" i="1"/>
  <c r="F118" i="1"/>
  <c r="V125" i="1"/>
  <c r="DL22" i="1"/>
  <c r="DL125" i="1"/>
  <c r="P116" i="1"/>
  <c r="ES22" i="1"/>
  <c r="ES125" i="1"/>
  <c r="P115" i="1"/>
  <c r="BC22" i="1"/>
  <c r="F111" i="1"/>
  <c r="BC125" i="1"/>
  <c r="BB22" i="1"/>
  <c r="F108" i="1"/>
  <c r="BB125" i="1"/>
  <c r="DM26" i="1"/>
  <c r="DM95" i="1"/>
  <c r="P87" i="1"/>
  <c r="EK26" i="1"/>
  <c r="P82" i="1"/>
  <c r="EK95" i="1"/>
  <c r="T26" i="1"/>
  <c r="T95" i="1"/>
  <c r="F86" i="1"/>
  <c r="EU22" i="1"/>
  <c r="P111" i="1"/>
  <c r="EU125" i="1"/>
  <c r="CF26" i="1"/>
  <c r="AW65" i="1"/>
  <c r="DT65" i="1"/>
  <c r="AL26" i="1"/>
  <c r="Y65" i="1"/>
  <c r="BA26" i="1"/>
  <c r="F85" i="1"/>
  <c r="BA95" i="1"/>
  <c r="EG22" i="1"/>
  <c r="EG125" i="1"/>
  <c r="P99" i="1"/>
  <c r="CE26" i="1"/>
  <c r="AV65" i="1"/>
  <c r="GM59" i="1"/>
  <c r="GP59" i="1" s="1"/>
  <c r="EI22" i="1"/>
  <c r="P105" i="1"/>
  <c r="EI125" i="1"/>
  <c r="GM56" i="1"/>
  <c r="GP56" i="1" s="1"/>
  <c r="EV22" i="1"/>
  <c r="P120" i="1"/>
  <c r="EV125" i="1"/>
  <c r="ER26" i="1"/>
  <c r="P76" i="1"/>
  <c r="ER95" i="1"/>
  <c r="P26" i="1"/>
  <c r="P95" i="1"/>
  <c r="F68" i="1"/>
  <c r="AF26" i="1"/>
  <c r="S65" i="1"/>
  <c r="U26" i="1"/>
  <c r="U95" i="1"/>
  <c r="F87" i="1"/>
  <c r="AK65" i="1"/>
  <c r="AE26" i="1"/>
  <c r="R65" i="1"/>
  <c r="EL26" i="1"/>
  <c r="P83" i="1"/>
  <c r="EL95" i="1"/>
  <c r="CH26" i="1"/>
  <c r="AY65" i="1"/>
  <c r="GM48" i="1"/>
  <c r="GP48" i="1" s="1"/>
  <c r="CI26" i="1"/>
  <c r="AZ65" i="1"/>
  <c r="CG26" i="1"/>
  <c r="AX65" i="1"/>
  <c r="DO22" i="1" l="1"/>
  <c r="DO125" i="1"/>
  <c r="P119" i="1"/>
  <c r="DQ26" i="1"/>
  <c r="DQ95" i="1"/>
  <c r="P92" i="1"/>
  <c r="ER22" i="1"/>
  <c r="P106" i="1"/>
  <c r="ER125" i="1"/>
  <c r="EU18" i="1"/>
  <c r="P141" i="1"/>
  <c r="BB18" i="1"/>
  <c r="F138" i="1"/>
  <c r="V18" i="1"/>
  <c r="F148" i="1"/>
  <c r="FZ26" i="1"/>
  <c r="EQ65" i="1"/>
  <c r="GP28" i="1"/>
  <c r="CD65" i="1" s="1"/>
  <c r="CA65" i="1"/>
  <c r="DP26" i="1"/>
  <c r="P91" i="1"/>
  <c r="DP95" i="1"/>
  <c r="AK26" i="1"/>
  <c r="X65" i="1"/>
  <c r="EV18" i="1"/>
  <c r="P150" i="1"/>
  <c r="BC18" i="1"/>
  <c r="F141" i="1"/>
  <c r="FX26" i="1"/>
  <c r="EO65" i="1"/>
  <c r="AB26" i="1"/>
  <c r="O65" i="1"/>
  <c r="R26" i="1"/>
  <c r="F79" i="1"/>
  <c r="R95" i="1"/>
  <c r="FW26" i="1"/>
  <c r="EN65" i="1"/>
  <c r="EG18" i="1"/>
  <c r="P129" i="1"/>
  <c r="DN22" i="1"/>
  <c r="P118" i="1"/>
  <c r="DN125" i="1"/>
  <c r="EP22" i="1"/>
  <c r="P102" i="1"/>
  <c r="EP125" i="1"/>
  <c r="DH26" i="1"/>
  <c r="P68" i="1"/>
  <c r="DH95" i="1"/>
  <c r="AX95" i="1"/>
  <c r="AX26" i="1"/>
  <c r="F72" i="1"/>
  <c r="BA22" i="1"/>
  <c r="F115" i="1"/>
  <c r="BA125" i="1"/>
  <c r="T22" i="1"/>
  <c r="F116" i="1"/>
  <c r="T125" i="1"/>
  <c r="AQ22" i="1"/>
  <c r="AQ125" i="1"/>
  <c r="F105" i="1"/>
  <c r="U22" i="1"/>
  <c r="U125" i="1"/>
  <c r="F117" i="1"/>
  <c r="FS26" i="1"/>
  <c r="EJ65" i="1"/>
  <c r="W22" i="1"/>
  <c r="W125" i="1"/>
  <c r="F119" i="1"/>
  <c r="FV65" i="1"/>
  <c r="AT18" i="1"/>
  <c r="F143" i="1"/>
  <c r="AY26" i="1"/>
  <c r="F73" i="1"/>
  <c r="AY95" i="1"/>
  <c r="BD18" i="1"/>
  <c r="F150" i="1"/>
  <c r="AV26" i="1"/>
  <c r="AV95" i="1"/>
  <c r="F70" i="1"/>
  <c r="AZ26" i="1"/>
  <c r="F76" i="1"/>
  <c r="AZ95" i="1"/>
  <c r="DK26" i="1"/>
  <c r="P80" i="1"/>
  <c r="DK95" i="1"/>
  <c r="EK22" i="1"/>
  <c r="P112" i="1"/>
  <c r="E16" i="2" s="1"/>
  <c r="EK125" i="1"/>
  <c r="Q26" i="1"/>
  <c r="Q95" i="1"/>
  <c r="F77" i="1"/>
  <c r="S26" i="1"/>
  <c r="S95" i="1"/>
  <c r="F80" i="1"/>
  <c r="EI18" i="1"/>
  <c r="P135" i="1"/>
  <c r="Y26" i="1"/>
  <c r="F92" i="1"/>
  <c r="Y95" i="1"/>
  <c r="ES18" i="1"/>
  <c r="P145" i="1"/>
  <c r="DT26" i="1"/>
  <c r="DG65" i="1"/>
  <c r="DI26" i="1"/>
  <c r="DI95" i="1"/>
  <c r="P77" i="1"/>
  <c r="EL22" i="1"/>
  <c r="P113" i="1"/>
  <c r="F16" i="2" s="1"/>
  <c r="EL125" i="1"/>
  <c r="P22" i="1"/>
  <c r="F98" i="1"/>
  <c r="P125" i="1"/>
  <c r="AW26" i="1"/>
  <c r="AW95" i="1"/>
  <c r="F71" i="1"/>
  <c r="DM22" i="1"/>
  <c r="DM125" i="1"/>
  <c r="P117" i="1"/>
  <c r="DL18" i="1"/>
  <c r="P146" i="1"/>
  <c r="DJ26" i="1"/>
  <c r="P79" i="1"/>
  <c r="DJ95" i="1"/>
  <c r="AS18" i="1"/>
  <c r="F142" i="1"/>
  <c r="EL18" i="1" l="1"/>
  <c r="P143" i="1"/>
  <c r="AY22" i="1"/>
  <c r="AY125" i="1"/>
  <c r="F103" i="1"/>
  <c r="U18" i="1"/>
  <c r="F147" i="1"/>
  <c r="P149" i="1"/>
  <c r="DO18" i="1"/>
  <c r="AX22" i="1"/>
  <c r="AX125" i="1"/>
  <c r="F102" i="1"/>
  <c r="EN26" i="1"/>
  <c r="P70" i="1"/>
  <c r="EN95" i="1"/>
  <c r="DH22" i="1"/>
  <c r="P98" i="1"/>
  <c r="DH125" i="1"/>
  <c r="X26" i="1"/>
  <c r="F91" i="1"/>
  <c r="X95" i="1"/>
  <c r="DI22" i="1"/>
  <c r="DI125" i="1"/>
  <c r="P107" i="1"/>
  <c r="DJ22" i="1"/>
  <c r="DJ125" i="1"/>
  <c r="P109" i="1"/>
  <c r="Y22" i="1"/>
  <c r="F122" i="1"/>
  <c r="Y125" i="1"/>
  <c r="DK22" i="1"/>
  <c r="DK125" i="1"/>
  <c r="P110" i="1"/>
  <c r="J16" i="2" s="1"/>
  <c r="AZ22" i="1"/>
  <c r="F106" i="1"/>
  <c r="AZ125" i="1"/>
  <c r="AQ18" i="1"/>
  <c r="F135" i="1"/>
  <c r="R22" i="1"/>
  <c r="R125" i="1"/>
  <c r="F109" i="1"/>
  <c r="FV26" i="1"/>
  <c r="EM65" i="1"/>
  <c r="EP18" i="1"/>
  <c r="P132" i="1"/>
  <c r="O26" i="1"/>
  <c r="F67" i="1"/>
  <c r="O95" i="1"/>
  <c r="AW22" i="1"/>
  <c r="F101" i="1"/>
  <c r="AW125" i="1"/>
  <c r="Q22" i="1"/>
  <c r="F107" i="1"/>
  <c r="Q125" i="1"/>
  <c r="AV22" i="1"/>
  <c r="AV125" i="1"/>
  <c r="F100" i="1"/>
  <c r="W18" i="1"/>
  <c r="F149" i="1"/>
  <c r="AU65" i="1"/>
  <c r="CD26" i="1"/>
  <c r="DM18" i="1"/>
  <c r="P147" i="1"/>
  <c r="S22" i="1"/>
  <c r="F110" i="1"/>
  <c r="Y16" i="2" s="1"/>
  <c r="S125" i="1"/>
  <c r="DP22" i="1"/>
  <c r="P121" i="1"/>
  <c r="DP125" i="1"/>
  <c r="T18" i="1"/>
  <c r="F146" i="1"/>
  <c r="ER18" i="1"/>
  <c r="P136" i="1"/>
  <c r="DG26" i="1"/>
  <c r="P67" i="1"/>
  <c r="DG95" i="1"/>
  <c r="CA26" i="1"/>
  <c r="AR65" i="1"/>
  <c r="BA18" i="1"/>
  <c r="F145" i="1"/>
  <c r="DN18" i="1"/>
  <c r="P148" i="1"/>
  <c r="EO26" i="1"/>
  <c r="P71" i="1"/>
  <c r="EO95" i="1"/>
  <c r="P18" i="1"/>
  <c r="F128" i="1"/>
  <c r="EK18" i="1"/>
  <c r="P142" i="1"/>
  <c r="EJ26" i="1"/>
  <c r="EJ95" i="1"/>
  <c r="P93" i="1"/>
  <c r="EQ26" i="1"/>
  <c r="P73" i="1"/>
  <c r="EQ95" i="1"/>
  <c r="DQ22" i="1"/>
  <c r="P122" i="1"/>
  <c r="DQ125" i="1"/>
  <c r="AU26" i="1" l="1"/>
  <c r="AU95" i="1"/>
  <c r="F84" i="1"/>
  <c r="P137" i="1"/>
  <c r="DI18" i="1"/>
  <c r="AX18" i="1"/>
  <c r="F132" i="1"/>
  <c r="DQ18" i="1"/>
  <c r="P152" i="1"/>
  <c r="DJ18" i="1"/>
  <c r="P139" i="1"/>
  <c r="X22" i="1"/>
  <c r="X125" i="1"/>
  <c r="F121" i="1"/>
  <c r="EO22" i="1"/>
  <c r="EO125" i="1"/>
  <c r="P101" i="1"/>
  <c r="O22" i="1"/>
  <c r="O125" i="1"/>
  <c r="F97" i="1"/>
  <c r="EQ22" i="1"/>
  <c r="P103" i="1"/>
  <c r="EQ125" i="1"/>
  <c r="AV18" i="1"/>
  <c r="F130" i="1"/>
  <c r="EJ22" i="1"/>
  <c r="P123" i="1"/>
  <c r="EJ125" i="1"/>
  <c r="AR26" i="1"/>
  <c r="AR95" i="1"/>
  <c r="F93" i="1"/>
  <c r="EM26" i="1"/>
  <c r="EM95" i="1"/>
  <c r="P84" i="1"/>
  <c r="Q18" i="1"/>
  <c r="F137" i="1"/>
  <c r="Y18" i="1"/>
  <c r="F152" i="1"/>
  <c r="DH18" i="1"/>
  <c r="P128" i="1"/>
  <c r="DG22" i="1"/>
  <c r="DG125" i="1"/>
  <c r="P97" i="1"/>
  <c r="R18" i="1"/>
  <c r="F139" i="1"/>
  <c r="AY18" i="1"/>
  <c r="F133" i="1"/>
  <c r="AZ18" i="1"/>
  <c r="F136" i="1"/>
  <c r="DP18" i="1"/>
  <c r="P151" i="1"/>
  <c r="DK18" i="1"/>
  <c r="P140" i="1"/>
  <c r="S18" i="1"/>
  <c r="F140" i="1"/>
  <c r="AW18" i="1"/>
  <c r="F131" i="1"/>
  <c r="EN22" i="1"/>
  <c r="P100" i="1"/>
  <c r="EN125" i="1"/>
  <c r="EN18" i="1" l="1"/>
  <c r="P130" i="1"/>
  <c r="EQ18" i="1"/>
  <c r="P133" i="1"/>
  <c r="DG18" i="1"/>
  <c r="P127" i="1"/>
  <c r="EM22" i="1"/>
  <c r="EM125" i="1"/>
  <c r="P114" i="1"/>
  <c r="H16" i="2" s="1"/>
  <c r="I16" i="2" s="1"/>
  <c r="N16" i="2" s="1"/>
  <c r="O18" i="1"/>
  <c r="F127" i="1"/>
  <c r="AR22" i="1"/>
  <c r="AR125" i="1"/>
  <c r="F123" i="1"/>
  <c r="EJ18" i="1"/>
  <c r="P153" i="1"/>
  <c r="EO18" i="1"/>
  <c r="P131" i="1"/>
  <c r="AU22" i="1"/>
  <c r="AU125" i="1"/>
  <c r="F114" i="1"/>
  <c r="W16" i="2" s="1"/>
  <c r="X16" i="2" s="1"/>
  <c r="AC16" i="2" s="1"/>
  <c r="X18" i="1"/>
  <c r="F151" i="1"/>
  <c r="AU18" i="1" l="1"/>
  <c r="F144" i="1"/>
  <c r="AR18" i="1"/>
  <c r="F153" i="1"/>
  <c r="EM18" i="1"/>
  <c r="P144" i="1"/>
</calcChain>
</file>

<file path=xl/sharedStrings.xml><?xml version="1.0" encoding="utf-8"?>
<sst xmlns="http://schemas.openxmlformats.org/spreadsheetml/2006/main" count="2990" uniqueCount="222">
  <si>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</si>
  <si>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</si>
  <si>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</si>
  <si>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</si>
  <si>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</si>
  <si>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09-01-03</t>
  </si>
  <si>
    <t>09-01-03 Размещение и содержание строительного мусора</t>
  </si>
  <si>
    <t>0224-00272-01-0-ООС2</t>
  </si>
  <si>
    <t>Лукьянова А.Л.</t>
  </si>
  <si>
    <t>Сметные нормы списания</t>
  </si>
  <si>
    <t>Коды ОКП для ТСН-2001 МГЭ Дополнение 79</t>
  </si>
  <si>
    <t>ТСН-2001 (МГЭ) Доп 79 - Ремонт</t>
  </si>
  <si>
    <t>Типовой расчет для ТСН-2001 МГЭ, Дополнение 79, ремонт</t>
  </si>
  <si>
    <t>Территориальные сметные нормативы для Москвы ТСН-2001 (МГЭ), дополнение 79</t>
  </si>
  <si>
    <t>Поправки для ТСН-2001 от 03.10.2025 г. доп.79</t>
  </si>
  <si>
    <t>Территориальные сметные нормативы для Москвы (ТСН-2001)</t>
  </si>
  <si>
    <t>ТЕР</t>
  </si>
  <si>
    <t>Размещение и содержание строительного мусора</t>
  </si>
  <si>
    <t>1</t>
  </si>
  <si>
    <t>15.1-1500-01</t>
  </si>
  <si>
    <t>Отходы (мусор) от строительных и ремонтных работ малоопасные</t>
  </si>
  <si>
    <t>1 Т</t>
  </si>
  <si>
    <t>ТСН-2001.15 Доп. 56, Сб. 1, т. 1500, поз. 1</t>
  </si>
  <si>
    <t>Транспортные затраты</t>
  </si>
  <si>
    <t>ТСН-2001.15. Перевозка строительных грузов автомобильным транспортом</t>
  </si>
  <si>
    <t>ТСН-2001.15.</t>
  </si>
  <si>
    <t>2</t>
  </si>
  <si>
    <t>15.1-1201-10</t>
  </si>
  <si>
    <t>Отходы затвердевшего строительного раствора в кусковой форме, малоопасные</t>
  </si>
  <si>
    <t>ТСН-2001.15 Доп. 56, Сб. 1, т. 1201, поз. 10</t>
  </si>
  <si>
    <t>3</t>
  </si>
  <si>
    <t>15.1-1203-06</t>
  </si>
  <si>
    <t>Отходы штукатурки затвердевшей малоопасные</t>
  </si>
  <si>
    <t>ТСН-2001.15 Доп. 56, Сб. 1, т. 1203, поз. 6</t>
  </si>
  <si>
    <t>4</t>
  </si>
  <si>
    <t>15.1-1505-04</t>
  </si>
  <si>
    <t>Отходы прочих теплоизоляционных материалов на основе минерального волокна незагрязненные, практически неопасные</t>
  </si>
  <si>
    <t>ТСН-2001.15 Доп. 56, Сб. 1, т. 1505, поз. 4</t>
  </si>
  <si>
    <t>5</t>
  </si>
  <si>
    <t>15.1-1203-02</t>
  </si>
  <si>
    <t>Обрезь и лом гипсокартонных листов малоопасные</t>
  </si>
  <si>
    <t>ТСН-2001.15 Доп. 56, Сб. 1, т. 1203, поз. 2</t>
  </si>
  <si>
    <t>6</t>
  </si>
  <si>
    <t>15.1-1207-01</t>
  </si>
  <si>
    <t>Отходы линолеума незагрязненные малоопасные</t>
  </si>
  <si>
    <t>ТСН-2001.15 Доп. 56, Сб. 1, т. 1207, поз. 1</t>
  </si>
  <si>
    <t>7</t>
  </si>
  <si>
    <t>15.1-1504-23</t>
  </si>
  <si>
    <t>Отходы фанеры и изделий из нее незагрязненные</t>
  </si>
  <si>
    <t>ТСН-2001.15 Доп. 79, Сб. 1, т. 1504, поз. 23</t>
  </si>
  <si>
    <t>8</t>
  </si>
  <si>
    <t>Отходы (мусор) от строительных и ремонтных работ малоопасные / светильники со светодиодными элементами в сборе</t>
  </si>
  <si>
    <t>9</t>
  </si>
  <si>
    <t>15.1-1207-03</t>
  </si>
  <si>
    <t>Смесь незагрязненных строительных материалов на основе полимеров, содержащая поливинилхлорид малоопасная</t>
  </si>
  <si>
    <t>ТСН-2001.15 Доп. 56, Сб. 1, т. 1207, поз. 3</t>
  </si>
  <si>
    <t>10</t>
  </si>
  <si>
    <t>15.1-1201-03</t>
  </si>
  <si>
    <t>Лом бетонных изделий, отходы бетона в кусковой форме, практически неопасные</t>
  </si>
  <si>
    <t>ТСН-2001.15 Доп. 56, Сб. 1, т. 1201, поз. 3</t>
  </si>
  <si>
    <t>11</t>
  </si>
  <si>
    <t>15.1-1202-02</t>
  </si>
  <si>
    <t>Лом черепицы, керамики незагрязненный практически неопасный</t>
  </si>
  <si>
    <t>ТСН-2001.15 Доп. 56, Сб. 1, т. 1202, поз. 2</t>
  </si>
  <si>
    <t>12</t>
  </si>
  <si>
    <t>15.1-1202-01</t>
  </si>
  <si>
    <t>Лом строительного кирпича незагрязненный практически неопасный</t>
  </si>
  <si>
    <t>ТСН-2001.15 Доп. 56, Сб. 1, т. 1202, поз. 1</t>
  </si>
  <si>
    <t>13</t>
  </si>
  <si>
    <t>15.1-1105-01</t>
  </si>
  <si>
    <t>Лом кирпичной кладки от сноса и разборки зданий практически неопасный</t>
  </si>
  <si>
    <t>ТСН-2001.15 Доп. 56, Сб. 1, т. 1105, поз. 1</t>
  </si>
  <si>
    <t>14</t>
  </si>
  <si>
    <t>15.1-1200-01</t>
  </si>
  <si>
    <t>Лом бортовых камней, брусчатки, булыжных камней и прочие отходы изделий из природного камня, практически неопасный</t>
  </si>
  <si>
    <t>ТСН-2001.15 Доп. 56, Сб. 1, т. 1200, поз. 1</t>
  </si>
  <si>
    <t>15</t>
  </si>
  <si>
    <t>15.1-1509-01</t>
  </si>
  <si>
    <t>Отходы изолированных проводов и кабелей</t>
  </si>
  <si>
    <t>ТСН-2001.15 Доп. 79, Сб. 1, т. 1509, поз. 1</t>
  </si>
  <si>
    <t>16</t>
  </si>
  <si>
    <t>15.1-1506-02</t>
  </si>
  <si>
    <t>Лом и отходы изделий из полипропилена незагрязненные (кроме тары)</t>
  </si>
  <si>
    <t>ТСН-2001.15 Доп. 79, Сб. 1, т. 1506, поз. 2</t>
  </si>
  <si>
    <t>17</t>
  </si>
  <si>
    <t>15.1-1504-24</t>
  </si>
  <si>
    <t>Прочая продукция из натуральной древесины, утратившая потребительские свойства, незагрязненная</t>
  </si>
  <si>
    <t>ТСН-2001.15 Доп. 79, Сб. 1, т. 1504, поз. 24</t>
  </si>
  <si>
    <t>18</t>
  </si>
  <si>
    <t>15.1-1505-07</t>
  </si>
  <si>
    <t>Керамзит, утративший потребительские свойства, незагрязненный, практически неопасный</t>
  </si>
  <si>
    <t>ТСН-2001.15 Доп. 56, Сб. 1, т. 1505, поз. 7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</si>
  <si>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</si>
  <si>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</si>
  <si>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</si>
  <si>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</si>
  <si>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</si>
  <si>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</si>
  <si>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</si>
  <si>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</si>
  <si>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</si>
  <si>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</si>
  <si>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</si>
  <si>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</si>
  <si>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</si>
  <si>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</si>
  <si>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</si>
  <si>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</si>
  <si>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</si>
  <si>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</si>
  <si>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</si>
  <si>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</si>
  <si>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</si>
  <si>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</si>
  <si>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</si>
  <si>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</si>
  <si>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</si>
  <si>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</si>
  <si>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</si>
  <si>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</si>
  <si>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</si>
  <si>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</si>
  <si>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</si>
  <si>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</si>
  <si>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</si>
  <si>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</si>
  <si>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</si>
  <si>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</si>
  <si>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</si>
  <si>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</si>
  <si>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</si>
  <si>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</si>
  <si>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</si>
  <si>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</si>
  <si>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</si>
  <si>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</si>
  <si>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</si>
  <si>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</si>
  <si>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</si>
  <si>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</si>
  <si>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</si>
  <si>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</si>
  <si>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</si>
  <si>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</si>
  <si>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</si>
  <si>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</si>
  <si>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</si>
  <si>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</si>
  <si>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</si>
  <si>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</si>
  <si>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</si>
  <si>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</si>
  <si>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</si>
  <si>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</si>
  <si>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</si>
  <si>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</si>
  <si>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</si>
  <si>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</si>
  <si>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</si>
  <si>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</si>
  <si>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79, ремонт</t>
  </si>
  <si>
    <t>216/79</t>
  </si>
  <si>
    <t>Коэффициенты к ТСН-2001.13-2 Дополнение 45</t>
  </si>
  <si>
    <t>62/45</t>
  </si>
  <si>
    <t>Базовый уровень цен</t>
  </si>
  <si>
    <t>_OBSM_</t>
  </si>
  <si>
    <t>9999990007</t>
  </si>
  <si>
    <t>Стоимость прочих машин (ЭСН)</t>
  </si>
  <si>
    <t>руб.</t>
  </si>
  <si>
    <t>"СОГЛАСОВАНО"</t>
  </si>
  <si>
    <t>"УТВЕРЖДАЮ"</t>
  </si>
  <si>
    <t>Форма № 4б</t>
  </si>
  <si>
    <t>"_____"________________ 2025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</si>
  <si>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</si>
  <si>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</si>
  <si>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</si>
  <si>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</si>
  <si>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</si>
  <si>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</si>
  <si>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</si>
  <si>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</si>
  <si>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</si>
  <si>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</si>
  <si>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</si>
  <si>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</si>
  <si>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</si>
  <si>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</si>
  <si>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</si>
  <si>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</si>
  <si>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</si>
  <si>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</si>
  <si>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</si>
  <si>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</si>
  <si>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</si>
  <si>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</si>
  <si>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</si>
  <si>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09-01-03 Размещение и содержание строительного мусора</t>
  </si>
  <si>
    <t>Составлен(а) по ТСН-2001 с учетом Дополнения №: 79</t>
  </si>
  <si>
    <t>№ и период сборника коэффициентов (индексов) пересчета: Коэффициенты к ТСН-2001 МГЭ Дополнение 79, ремонт №216/79 III квартал 2025 года и Коэффициенты к ТСН-2001.13-2 Дополнение 45 №62/45 III квартал 2025 года</t>
  </si>
  <si>
    <t>Всего в
ценах на
январь 2000 года,
руб.</t>
  </si>
  <si>
    <t>ЭМ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</si>
  <si>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</si>
  <si>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</si>
  <si>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</si>
  <si>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</si>
  <si>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</si>
  <si>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</si>
  <si>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</si>
  <si>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</si>
  <si>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</si>
  <si>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</si>
  <si>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</si>
  <si>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</si>
  <si>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</si>
  <si>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</si>
  <si>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</si>
  <si>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</si>
  <si>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</si>
  <si>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</si>
  <si>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</si>
  <si>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ЛОКАЛЬНАЯ СМЕТА № 09-01-03</t>
  </si>
  <si>
    <t>3 кв-л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</si>
</sst>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2" fillId="0" borderId="1" xfId="0" applyFont="1" applyBorder="1"/>
    <xf numFmtId="0" fontId="17" fillId="0" borderId="0" xfId="0" applyFont="1" applyBorder="1" applyAlignment="1">
      <alignment horizontal="right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 applyAlignment="1">
      <alignment horizontal="right"/>
    </xf>
    <xf numFmtId="164" fontId="17" fillId="0" borderId="2" xfId="0" applyNumberFormat="1" applyFont="1" applyBorder="1" applyAlignment="1">
      <alignment horizontal="right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right"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7" fillId="0" borderId="0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left" wrapText="1"/>
    </xf>
    <xf numFmtId="0" fontId="19" fillId="0" borderId="0" xfId="0" applyFo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59"/>
  <sheetViews>
    <sheetView tabSelected="1" view="pageBreakPreview" topLeftCell="A21" zoomScale="85" zoomScaleNormal="100" zoomScaleSheetLayoutView="85" workbookViewId="0">
      <selection activeCell="N34" sqref="N34"/>
    </sheetView>
  </sheetViews>
  <sheetFormatPr defaultRowHeight="12.5" x14ac:dyDescent="0.25"/>
  <cols>
    <col min="1" max="1" width="5.7265625" customWidth="1"/>
    <col min="2" max="2" width="11.7265625" customWidth="1"/>
    <col min="3" max="3" width="40.7265625" customWidth="1"/>
    <col min="4" max="4" width="11.7265625" customWidth="1"/>
    <col min="5" max="5" width="12" customWidth="1"/>
    <col min="6" max="6" width="15.1796875" customWidth="1"/>
    <col min="7" max="7" width="12" customWidth="1"/>
    <col min="8" max="8" width="14.81640625" customWidth="1"/>
    <col min="9" max="9" width="16.1796875" customWidth="1"/>
    <col min="10" max="10" width="15.81640625" customWidth="1"/>
    <col min="11" max="11" width="20.7265625" customWidth="1"/>
    <col min="13" max="13" width="8.7265625" style="73"/>
    <col min="15" max="41" width="0" hidden="1" customWidth="1"/>
    <col min="42" max="42" width="130.453125" hidden="1" customWidth="1"/>
    <col min="43" max="43" width="96.26953125" hidden="1" customWidth="1"/>
    <col min="44" max="47" width="0" hidden="1" customWidth="1"/>
  </cols>
  <sheetData>
    <row r="1" spans="1:42" x14ac:dyDescent="0.25">
      <c r="A1" s="10" t="str">
        <f>Source!B1</f>
        <v>Smeta.RU  (495) 974-1589</v>
      </c>
    </row>
    <row r="2" spans="1:42" ht="14" x14ac:dyDescent="0.3">
      <c r="A2" s="11"/>
      <c r="B2" s="11"/>
      <c r="C2" s="11"/>
      <c r="D2" s="11"/>
      <c r="E2" s="11"/>
      <c r="F2" s="11"/>
      <c r="G2" s="11"/>
      <c r="H2" s="11"/>
      <c r="I2" s="11"/>
      <c r="J2" s="49" t="s">
        <v>171</v>
      </c>
      <c r="K2" s="49"/>
    </row>
    <row r="3" spans="1:42" ht="16.5" x14ac:dyDescent="0.35">
      <c r="A3" s="13"/>
      <c r="B3" s="53" t="s">
        <v>169</v>
      </c>
      <c r="C3" s="53"/>
      <c r="D3" s="53"/>
      <c r="E3" s="53"/>
      <c r="F3" s="12"/>
      <c r="G3" s="53" t="s">
        <v>170</v>
      </c>
      <c r="H3" s="53"/>
      <c r="I3" s="53"/>
      <c r="J3" s="53"/>
      <c r="K3" s="53"/>
    </row>
    <row r="4" spans="1:42" ht="14" x14ac:dyDescent="0.3">
      <c r="A4" s="12"/>
      <c r="B4" s="54"/>
      <c r="C4" s="54"/>
      <c r="D4" s="54"/>
      <c r="E4" s="54"/>
      <c r="F4" s="12"/>
      <c r="G4" s="54"/>
      <c r="H4" s="54"/>
      <c r="I4" s="54"/>
      <c r="J4" s="54"/>
      <c r="K4" s="54"/>
    </row>
    <row r="5" spans="1:42" ht="14" x14ac:dyDescent="0.3">
      <c r="A5" s="14"/>
      <c r="B5" s="14"/>
      <c r="C5" s="15"/>
      <c r="D5" s="15"/>
      <c r="E5" s="15"/>
      <c r="F5" s="12"/>
      <c r="G5" s="16"/>
      <c r="H5" s="15"/>
      <c r="I5" s="15"/>
      <c r="J5" s="15"/>
      <c r="K5" s="16"/>
    </row>
    <row r="6" spans="1:42" ht="14" x14ac:dyDescent="0.3">
      <c r="A6" s="16"/>
      <c r="B6" s="54" t="str">
        <f>CONCATENATE("______________________ ", IF(Source!AL12&lt;&gt;"", Source!AL12, ""))</f>
        <v xml:space="preserve">______________________ </v>
      </c>
      <c r="C6" s="54"/>
      <c r="D6" s="54"/>
      <c r="E6" s="54"/>
      <c r="F6" s="12"/>
      <c r="G6" s="54" t="str">
        <f>CONCATENATE("______________________ ", IF(Source!AH12&lt;&gt;"", Source!AH12, ""))</f>
        <v xml:space="preserve">______________________ </v>
      </c>
      <c r="H6" s="54"/>
      <c r="I6" s="54"/>
      <c r="J6" s="54"/>
      <c r="K6" s="54"/>
    </row>
    <row r="7" spans="1:42" ht="14" x14ac:dyDescent="0.3">
      <c r="A7" s="17"/>
      <c r="B7" s="48" t="s">
        <v>172</v>
      </c>
      <c r="C7" s="48"/>
      <c r="D7" s="48"/>
      <c r="E7" s="48"/>
      <c r="F7" s="12"/>
      <c r="G7" s="48" t="s">
        <v>172</v>
      </c>
      <c r="H7" s="48"/>
      <c r="I7" s="48"/>
      <c r="J7" s="48"/>
      <c r="K7" s="48"/>
    </row>
    <row r="9" spans="1:42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46.5" x14ac:dyDescent="0.35">
      <c r="A10" s="50" t="s">
        <v>4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AP10" s="25" t="s">
        <v>196</v>
      </c>
    </row>
    <row r="11" spans="1:42" x14ac:dyDescent="0.25">
      <c r="A11" s="51" t="s">
        <v>173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42" ht="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5" x14ac:dyDescent="0.35">
      <c r="A13" s="50" t="s">
        <v>220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 spans="1:42" ht="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4">
      <c r="A15" s="57" t="str">
        <f>IF(Source!G20&lt;&gt;"Новая локальная смета", Source!G20, "")</f>
        <v>Размещение и содержание строительного мусора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</row>
    <row r="16" spans="1:42" x14ac:dyDescent="0.25">
      <c r="A16" s="58" t="s">
        <v>174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42" ht="1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" x14ac:dyDescent="0.3">
      <c r="A18" s="60" t="str">
        <f>CONCATENATE( "Основание: чертежи № ", Source!J20)</f>
        <v>Основание: чертежи № 0224-00272-01-0-ООС2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42" ht="1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42" ht="56" x14ac:dyDescent="0.3">
      <c r="A20" s="12"/>
      <c r="B20" s="12"/>
      <c r="C20" s="12"/>
      <c r="D20" s="12"/>
      <c r="E20" s="12"/>
      <c r="F20" s="12"/>
      <c r="G20" s="12"/>
      <c r="H20" s="12"/>
      <c r="I20" s="19" t="s">
        <v>175</v>
      </c>
      <c r="J20" s="19" t="s">
        <v>176</v>
      </c>
      <c r="K20" s="12"/>
    </row>
    <row r="21" spans="1:42" ht="14" x14ac:dyDescent="0.3">
      <c r="A21" s="12"/>
      <c r="B21" s="12"/>
      <c r="C21" s="12"/>
      <c r="D21" s="12"/>
      <c r="E21" s="61" t="s">
        <v>177</v>
      </c>
      <c r="F21" s="61"/>
      <c r="G21" s="61"/>
      <c r="H21" s="61"/>
      <c r="I21" s="20">
        <f>I22+I23+I24+I25</f>
        <v>96.54</v>
      </c>
      <c r="J21" s="20">
        <f>J22+J23+J24+J25</f>
        <v>961.16</v>
      </c>
      <c r="K21" s="21" t="s">
        <v>206</v>
      </c>
    </row>
    <row r="22" spans="1:42" ht="14" x14ac:dyDescent="0.3">
      <c r="A22" s="12"/>
      <c r="B22" s="12"/>
      <c r="C22" s="12"/>
      <c r="D22" s="12"/>
      <c r="E22" s="54" t="s">
        <v>178</v>
      </c>
      <c r="F22" s="54"/>
      <c r="G22" s="54"/>
      <c r="H22" s="54"/>
      <c r="I22" s="22">
        <f>ROUND((Source!F112)/1000, 2)</f>
        <v>0</v>
      </c>
      <c r="J22" s="22">
        <f>ROUND((Source!P112)/1000, 2)</f>
        <v>0</v>
      </c>
      <c r="K22" s="12" t="s">
        <v>206</v>
      </c>
    </row>
    <row r="23" spans="1:42" ht="14" x14ac:dyDescent="0.3">
      <c r="A23" s="12"/>
      <c r="B23" s="12"/>
      <c r="C23" s="12"/>
      <c r="D23" s="12"/>
      <c r="E23" s="54" t="s">
        <v>179</v>
      </c>
      <c r="F23" s="54"/>
      <c r="G23" s="54"/>
      <c r="H23" s="54"/>
      <c r="I23" s="22">
        <f>ROUND((Source!F113)/1000, 2)</f>
        <v>0</v>
      </c>
      <c r="J23" s="22">
        <f>ROUND((Source!P113)/1000, 2)</f>
        <v>0</v>
      </c>
      <c r="K23" s="12" t="s">
        <v>206</v>
      </c>
    </row>
    <row r="24" spans="1:42" ht="14" x14ac:dyDescent="0.3">
      <c r="A24" s="12"/>
      <c r="B24" s="12"/>
      <c r="C24" s="12"/>
      <c r="D24" s="12"/>
      <c r="E24" s="54" t="s">
        <v>180</v>
      </c>
      <c r="F24" s="54"/>
      <c r="G24" s="54"/>
      <c r="H24" s="54"/>
      <c r="I24" s="22">
        <f>ROUND((Source!F104)/1000, 2)</f>
        <v>0</v>
      </c>
      <c r="J24" s="22">
        <f>ROUND((Source!P104)/1000, 2)</f>
        <v>0</v>
      </c>
      <c r="K24" s="12" t="s">
        <v>206</v>
      </c>
    </row>
    <row r="25" spans="1:42" ht="14" x14ac:dyDescent="0.3">
      <c r="A25" s="12"/>
      <c r="B25" s="12"/>
      <c r="C25" s="12"/>
      <c r="D25" s="12"/>
      <c r="E25" s="54" t="s">
        <v>181</v>
      </c>
      <c r="F25" s="54"/>
      <c r="G25" s="54"/>
      <c r="H25" s="54"/>
      <c r="I25" s="22">
        <f>ROUND((Source!F114+Source!F115)/1000, 2)</f>
        <v>96.54</v>
      </c>
      <c r="J25" s="22">
        <f>ROUND((Source!P114+Source!P115)/1000, 2)</f>
        <v>961.16</v>
      </c>
      <c r="K25" s="12" t="s">
        <v>206</v>
      </c>
    </row>
    <row r="26" spans="1:42" ht="14" x14ac:dyDescent="0.3">
      <c r="A26" s="12"/>
      <c r="B26" s="12"/>
      <c r="C26" s="12"/>
      <c r="D26" s="12"/>
      <c r="E26" s="54" t="s">
        <v>182</v>
      </c>
      <c r="F26" s="54"/>
      <c r="G26" s="54"/>
      <c r="H26" s="54"/>
      <c r="I26" s="22">
        <f>(Source!F110+ Source!F109)/1000</f>
        <v>0</v>
      </c>
      <c r="J26" s="22">
        <f>((Source!P110 + Source!P109)/1000)</f>
        <v>0</v>
      </c>
      <c r="K26" s="12" t="s">
        <v>206</v>
      </c>
    </row>
    <row r="27" spans="1:42" ht="14" x14ac:dyDescent="0.3">
      <c r="A27" s="12"/>
      <c r="B27" s="12"/>
      <c r="C27" s="12"/>
      <c r="D27" s="12"/>
      <c r="E27" s="54" t="s">
        <v>183</v>
      </c>
      <c r="F27" s="54"/>
      <c r="G27" s="54"/>
      <c r="H27" s="54"/>
      <c r="I27" s="22">
        <f>Source!F117</f>
        <v>0</v>
      </c>
      <c r="J27" s="22"/>
      <c r="K27" s="12" t="s">
        <v>184</v>
      </c>
    </row>
    <row r="28" spans="1:42" ht="14" hidden="1" x14ac:dyDescent="0.3">
      <c r="A28" s="12"/>
      <c r="B28" s="12"/>
      <c r="C28" s="12"/>
      <c r="D28" s="12"/>
      <c r="E28" s="55" t="s">
        <v>185</v>
      </c>
      <c r="F28" s="55"/>
      <c r="G28" s="55"/>
      <c r="H28" s="55"/>
      <c r="I28" s="22"/>
      <c r="J28" s="22"/>
      <c r="K28" s="12"/>
    </row>
    <row r="29" spans="1:42" ht="14" hidden="1" x14ac:dyDescent="0.3">
      <c r="A29" s="12"/>
      <c r="B29" s="12"/>
      <c r="C29" s="12"/>
      <c r="D29" s="12"/>
      <c r="E29" s="56" t="s">
        <v>131</v>
      </c>
      <c r="F29" s="56"/>
      <c r="G29" s="56"/>
      <c r="H29" s="56"/>
      <c r="I29" s="22">
        <f>SUM(Y35:Y152)/1000</f>
        <v>0</v>
      </c>
      <c r="J29" s="22">
        <f>SUM(Z35:Z152)/1000</f>
        <v>0</v>
      </c>
      <c r="K29" s="12" t="s">
        <v>206</v>
      </c>
    </row>
    <row r="30" spans="1:42" ht="14" x14ac:dyDescent="0.3">
      <c r="A30" s="12"/>
      <c r="B30" s="12"/>
      <c r="C30" s="12"/>
      <c r="D30" s="12"/>
      <c r="E30" s="12"/>
      <c r="F30" s="16"/>
      <c r="G30" s="16"/>
      <c r="H30" s="16"/>
      <c r="I30" s="22"/>
      <c r="J30" s="22"/>
      <c r="K30" s="12"/>
    </row>
    <row r="31" spans="1:42" ht="14" x14ac:dyDescent="0.3">
      <c r="A31" s="12" t="s">
        <v>197</v>
      </c>
      <c r="B31" s="12"/>
      <c r="C31" s="12"/>
      <c r="D31" s="12"/>
      <c r="E31" s="12"/>
      <c r="F31" s="16"/>
      <c r="G31" s="16"/>
      <c r="H31" s="16"/>
      <c r="I31" s="22"/>
      <c r="J31" s="22"/>
      <c r="K31" s="12"/>
    </row>
    <row r="32" spans="1:42" ht="28" x14ac:dyDescent="0.3">
      <c r="A32" s="72" t="s">
        <v>198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M32" s="73" t="s">
        <v>221</v>
      </c>
      <c r="AP32" s="26" t="s">
        <v>198</v>
      </c>
    </row>
    <row r="33" spans="1:29" ht="98" x14ac:dyDescent="0.25">
      <c r="A33" s="23" t="s">
        <v>186</v>
      </c>
      <c r="B33" s="23" t="s">
        <v>187</v>
      </c>
      <c r="C33" s="23" t="s">
        <v>188</v>
      </c>
      <c r="D33" s="23" t="s">
        <v>189</v>
      </c>
      <c r="E33" s="23" t="s">
        <v>190</v>
      </c>
      <c r="F33" s="23" t="s">
        <v>191</v>
      </c>
      <c r="G33" s="24" t="s">
        <v>192</v>
      </c>
      <c r="H33" s="24" t="s">
        <v>193</v>
      </c>
      <c r="I33" s="23" t="s">
        <v>199</v>
      </c>
      <c r="J33" s="23" t="s">
        <v>194</v>
      </c>
      <c r="K33" s="23" t="s">
        <v>195</v>
      </c>
    </row>
    <row r="34" spans="1:29" ht="14" x14ac:dyDescent="0.25">
      <c r="A34" s="23">
        <v>1</v>
      </c>
      <c r="B34" s="23">
        <v>2</v>
      </c>
      <c r="C34" s="23">
        <v>3</v>
      </c>
      <c r="D34" s="23">
        <v>4</v>
      </c>
      <c r="E34" s="23">
        <v>5</v>
      </c>
      <c r="F34" s="23">
        <v>6</v>
      </c>
      <c r="G34" s="23">
        <v>7</v>
      </c>
      <c r="H34" s="23">
        <v>8</v>
      </c>
      <c r="I34" s="23">
        <v>9</v>
      </c>
      <c r="J34" s="23">
        <v>10</v>
      </c>
      <c r="K34" s="23">
        <v>11</v>
      </c>
    </row>
    <row r="36" spans="1:29" ht="16.5" x14ac:dyDescent="0.35">
      <c r="A36" s="64" t="str">
        <f>CONCATENATE("Раздел: ",IF(Source!G24&lt;&gt;"Новый раздел", Source!G24, ""))</f>
        <v>Раздел: Размещение и содержание строительного мусора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29" ht="28" x14ac:dyDescent="0.35">
      <c r="A37" s="27">
        <v>1</v>
      </c>
      <c r="B37" s="27" t="str">
        <f>Source!F28</f>
        <v>15.1-1500-01</v>
      </c>
      <c r="C37" s="27" t="s">
        <v>20</v>
      </c>
      <c r="D37" s="28" t="str">
        <f>Source!H28</f>
        <v>1 Т</v>
      </c>
      <c r="E37" s="11">
        <f>Source!I28</f>
        <v>74.972999999999999</v>
      </c>
      <c r="F37" s="30"/>
      <c r="G37" s="29"/>
      <c r="H37" s="11"/>
      <c r="I37" s="30"/>
      <c r="J37" s="11"/>
      <c r="K37" s="30"/>
      <c r="Q37">
        <f>Source!X28</f>
        <v>0</v>
      </c>
      <c r="R37">
        <f>Source!X29</f>
        <v>0</v>
      </c>
      <c r="S37">
        <f>Source!Y28</f>
        <v>0</v>
      </c>
      <c r="T37">
        <f>Source!Y29</f>
        <v>0</v>
      </c>
      <c r="U37">
        <f>ROUND((175/100)*ROUND(Source!R28, 2), 2)</f>
        <v>0</v>
      </c>
      <c r="V37">
        <f>ROUND((0/100)*ROUND(Source!R29, 2), 2)</f>
        <v>0</v>
      </c>
      <c r="AC37">
        <v>0</v>
      </c>
    </row>
    <row r="38" spans="1:29" ht="14.5" x14ac:dyDescent="0.35">
      <c r="A38" s="31"/>
      <c r="B38" s="31"/>
      <c r="C38" s="31" t="s">
        <v>200</v>
      </c>
      <c r="D38" s="32"/>
      <c r="E38" s="33"/>
      <c r="F38" s="34">
        <f>Source!AM28</f>
        <v>31.67</v>
      </c>
      <c r="G38" s="35" t="str">
        <f>Source!DE28</f>
        <v/>
      </c>
      <c r="H38" s="33">
        <f>Source!AV29</f>
        <v>1</v>
      </c>
      <c r="I38" s="34">
        <f>Source!Q28</f>
        <v>2374.39</v>
      </c>
      <c r="J38" s="33">
        <f>IF(Source!BB29&lt;&gt; 0, Source!BB29, 1)</f>
        <v>43.37</v>
      </c>
      <c r="K38" s="34">
        <f>Source!Q29</f>
        <v>102977.29</v>
      </c>
    </row>
    <row r="39" spans="1:29" ht="14" x14ac:dyDescent="0.3">
      <c r="C39" s="21" t="s">
        <v>201</v>
      </c>
      <c r="H39" s="63">
        <f>I38+0-0-0</f>
        <v>2374.39</v>
      </c>
      <c r="I39" s="63"/>
      <c r="J39" s="63">
        <f>K38+0-0-0</f>
        <v>102977.29</v>
      </c>
      <c r="K39" s="63"/>
    </row>
    <row r="40" spans="1:29" ht="14" x14ac:dyDescent="0.3">
      <c r="C40" s="21" t="s">
        <v>202</v>
      </c>
      <c r="H40" s="62">
        <f>0+0</f>
        <v>0</v>
      </c>
      <c r="I40" s="62"/>
      <c r="J40" s="62">
        <f>0+0</f>
        <v>0</v>
      </c>
      <c r="K40" s="62"/>
    </row>
    <row r="41" spans="1:29" ht="14" x14ac:dyDescent="0.3">
      <c r="C41" s="21" t="s">
        <v>203</v>
      </c>
      <c r="H41" s="62">
        <f>I38+0</f>
        <v>2374.39</v>
      </c>
      <c r="I41" s="62"/>
      <c r="J41" s="62">
        <f>K38+0</f>
        <v>102977.29</v>
      </c>
      <c r="K41" s="62"/>
      <c r="O41" s="36">
        <f>I38+0</f>
        <v>2374.39</v>
      </c>
      <c r="P41" s="36">
        <f>K38+0</f>
        <v>102977.29</v>
      </c>
    </row>
    <row r="43" spans="1:29" ht="42" x14ac:dyDescent="0.35">
      <c r="A43" s="27">
        <v>2</v>
      </c>
      <c r="B43" s="27" t="str">
        <f>Source!F30</f>
        <v>15.1-1201-10</v>
      </c>
      <c r="C43" s="27" t="s">
        <v>28</v>
      </c>
      <c r="D43" s="28" t="str">
        <f>Source!H30</f>
        <v>1 Т</v>
      </c>
      <c r="E43" s="11">
        <f>Source!I30</f>
        <v>1545.61</v>
      </c>
      <c r="F43" s="30"/>
      <c r="G43" s="29"/>
      <c r="H43" s="11"/>
      <c r="I43" s="30"/>
      <c r="J43" s="11"/>
      <c r="K43" s="30"/>
      <c r="Q43">
        <f>Source!X30</f>
        <v>0</v>
      </c>
      <c r="R43">
        <f>Source!X31</f>
        <v>0</v>
      </c>
      <c r="S43">
        <f>Source!Y30</f>
        <v>0</v>
      </c>
      <c r="T43">
        <f>Source!Y31</f>
        <v>0</v>
      </c>
      <c r="U43">
        <f>ROUND((175/100)*ROUND(Source!R30, 2), 2)</f>
        <v>0</v>
      </c>
      <c r="V43">
        <f>ROUND((0/100)*ROUND(Source!R31, 2), 2)</f>
        <v>0</v>
      </c>
      <c r="AC43">
        <v>0</v>
      </c>
    </row>
    <row r="44" spans="1:29" ht="14.5" x14ac:dyDescent="0.35">
      <c r="A44" s="31"/>
      <c r="B44" s="31"/>
      <c r="C44" s="31" t="s">
        <v>200</v>
      </c>
      <c r="D44" s="32"/>
      <c r="E44" s="33"/>
      <c r="F44" s="34">
        <f>Source!AM30</f>
        <v>31.13</v>
      </c>
      <c r="G44" s="35" t="str">
        <f>Source!DE30</f>
        <v/>
      </c>
      <c r="H44" s="33">
        <f>Source!AV31</f>
        <v>1</v>
      </c>
      <c r="I44" s="34">
        <f>Source!Q30</f>
        <v>48114.84</v>
      </c>
      <c r="J44" s="33">
        <f>IF(Source!BB31&lt;&gt; 0, Source!BB31, 1)</f>
        <v>9.33</v>
      </c>
      <c r="K44" s="34">
        <f>Source!Q31</f>
        <v>448911.46</v>
      </c>
    </row>
    <row r="45" spans="1:29" ht="14" x14ac:dyDescent="0.3">
      <c r="C45" s="21" t="s">
        <v>201</v>
      </c>
      <c r="H45" s="63">
        <f>I44+0-0-0</f>
        <v>48114.84</v>
      </c>
      <c r="I45" s="63"/>
      <c r="J45" s="63">
        <f>K44+0-0-0</f>
        <v>448911.46</v>
      </c>
      <c r="K45" s="63"/>
    </row>
    <row r="46" spans="1:29" ht="14" x14ac:dyDescent="0.3">
      <c r="C46" s="21" t="s">
        <v>202</v>
      </c>
      <c r="H46" s="62">
        <f>0+0</f>
        <v>0</v>
      </c>
      <c r="I46" s="62"/>
      <c r="J46" s="62">
        <f>0+0</f>
        <v>0</v>
      </c>
      <c r="K46" s="62"/>
    </row>
    <row r="47" spans="1:29" ht="14" x14ac:dyDescent="0.3">
      <c r="C47" s="21" t="s">
        <v>203</v>
      </c>
      <c r="H47" s="62">
        <f>I44+0</f>
        <v>48114.84</v>
      </c>
      <c r="I47" s="62"/>
      <c r="J47" s="62">
        <f>K44+0</f>
        <v>448911.46</v>
      </c>
      <c r="K47" s="62"/>
      <c r="O47" s="36">
        <f>I44+0</f>
        <v>48114.84</v>
      </c>
      <c r="P47" s="36">
        <f>K44+0</f>
        <v>448911.46</v>
      </c>
    </row>
    <row r="49" spans="1:29" ht="28" x14ac:dyDescent="0.35">
      <c r="A49" s="27">
        <v>3</v>
      </c>
      <c r="B49" s="27" t="str">
        <f>Source!F32</f>
        <v>15.1-1203-06</v>
      </c>
      <c r="C49" s="27" t="s">
        <v>32</v>
      </c>
      <c r="D49" s="28" t="str">
        <f>Source!H32</f>
        <v>1 Т</v>
      </c>
      <c r="E49" s="11">
        <f>Source!I32</f>
        <v>195.77</v>
      </c>
      <c r="F49" s="30"/>
      <c r="G49" s="29"/>
      <c r="H49" s="11"/>
      <c r="I49" s="30"/>
      <c r="J49" s="11"/>
      <c r="K49" s="30"/>
      <c r="Q49">
        <f>Source!X32</f>
        <v>0</v>
      </c>
      <c r="R49">
        <f>Source!X33</f>
        <v>0</v>
      </c>
      <c r="S49">
        <f>Source!Y32</f>
        <v>0</v>
      </c>
      <c r="T49">
        <f>Source!Y33</f>
        <v>0</v>
      </c>
      <c r="U49">
        <f>ROUND((175/100)*ROUND(Source!R32, 2), 2)</f>
        <v>0</v>
      </c>
      <c r="V49">
        <f>ROUND((0/100)*ROUND(Source!R33, 2), 2)</f>
        <v>0</v>
      </c>
      <c r="AC49">
        <v>0</v>
      </c>
    </row>
    <row r="50" spans="1:29" ht="14.5" x14ac:dyDescent="0.35">
      <c r="A50" s="31"/>
      <c r="B50" s="31"/>
      <c r="C50" s="31" t="s">
        <v>200</v>
      </c>
      <c r="D50" s="32"/>
      <c r="E50" s="33"/>
      <c r="F50" s="34">
        <f>Source!AM32</f>
        <v>36.590000000000003</v>
      </c>
      <c r="G50" s="35" t="str">
        <f>Source!DE32</f>
        <v/>
      </c>
      <c r="H50" s="33">
        <f>Source!AV33</f>
        <v>1</v>
      </c>
      <c r="I50" s="34">
        <f>Source!Q32</f>
        <v>7163.22</v>
      </c>
      <c r="J50" s="33">
        <f>IF(Source!BB33&lt;&gt; 0, Source!BB33, 1)</f>
        <v>9.57</v>
      </c>
      <c r="K50" s="34">
        <f>Source!Q33</f>
        <v>68552.02</v>
      </c>
    </row>
    <row r="51" spans="1:29" ht="14" x14ac:dyDescent="0.3">
      <c r="C51" s="21" t="s">
        <v>201</v>
      </c>
      <c r="H51" s="63">
        <f>I50+0-0-0</f>
        <v>7163.22</v>
      </c>
      <c r="I51" s="63"/>
      <c r="J51" s="63">
        <f>K50+0-0-0</f>
        <v>68552.02</v>
      </c>
      <c r="K51" s="63"/>
    </row>
    <row r="52" spans="1:29" ht="14" x14ac:dyDescent="0.3">
      <c r="C52" s="21" t="s">
        <v>202</v>
      </c>
      <c r="H52" s="62">
        <f>0+0</f>
        <v>0</v>
      </c>
      <c r="I52" s="62"/>
      <c r="J52" s="62">
        <f>0+0</f>
        <v>0</v>
      </c>
      <c r="K52" s="62"/>
    </row>
    <row r="53" spans="1:29" ht="14" x14ac:dyDescent="0.3">
      <c r="C53" s="21" t="s">
        <v>203</v>
      </c>
      <c r="H53" s="62">
        <f>I50+0</f>
        <v>7163.22</v>
      </c>
      <c r="I53" s="62"/>
      <c r="J53" s="62">
        <f>K50+0</f>
        <v>68552.02</v>
      </c>
      <c r="K53" s="62"/>
      <c r="O53" s="36">
        <f>I50+0</f>
        <v>7163.22</v>
      </c>
      <c r="P53" s="36">
        <f>K50+0</f>
        <v>68552.02</v>
      </c>
    </row>
    <row r="55" spans="1:29" ht="56" x14ac:dyDescent="0.35">
      <c r="A55" s="27">
        <v>4</v>
      </c>
      <c r="B55" s="27" t="str">
        <f>Source!F34</f>
        <v>15.1-1505-04</v>
      </c>
      <c r="C55" s="27" t="s">
        <v>36</v>
      </c>
      <c r="D55" s="28" t="str">
        <f>Source!H34</f>
        <v>1 Т</v>
      </c>
      <c r="E55" s="11">
        <f>Source!I34</f>
        <v>4.2480000000000002</v>
      </c>
      <c r="F55" s="30"/>
      <c r="G55" s="29"/>
      <c r="H55" s="11"/>
      <c r="I55" s="30"/>
      <c r="J55" s="11"/>
      <c r="K55" s="30"/>
      <c r="Q55">
        <f>Source!X34</f>
        <v>0</v>
      </c>
      <c r="R55">
        <f>Source!X35</f>
        <v>0</v>
      </c>
      <c r="S55">
        <f>Source!Y34</f>
        <v>0</v>
      </c>
      <c r="T55">
        <f>Source!Y35</f>
        <v>0</v>
      </c>
      <c r="U55">
        <f>ROUND((175/100)*ROUND(Source!R34, 2), 2)</f>
        <v>0</v>
      </c>
      <c r="V55">
        <f>ROUND((0/100)*ROUND(Source!R35, 2), 2)</f>
        <v>0</v>
      </c>
      <c r="AC55">
        <v>0</v>
      </c>
    </row>
    <row r="56" spans="1:29" ht="14.5" x14ac:dyDescent="0.35">
      <c r="A56" s="31"/>
      <c r="B56" s="31"/>
      <c r="C56" s="31" t="s">
        <v>200</v>
      </c>
      <c r="D56" s="32"/>
      <c r="E56" s="33"/>
      <c r="F56" s="34">
        <f>Source!AM34</f>
        <v>98.3</v>
      </c>
      <c r="G56" s="35" t="str">
        <f>Source!DE34</f>
        <v/>
      </c>
      <c r="H56" s="33">
        <f>Source!AV35</f>
        <v>1</v>
      </c>
      <c r="I56" s="34">
        <f>Source!Q34</f>
        <v>417.58</v>
      </c>
      <c r="J56" s="33">
        <f>IF(Source!BB35&lt;&gt; 0, Source!BB35, 1)</f>
        <v>11.02</v>
      </c>
      <c r="K56" s="34">
        <f>Source!Q35</f>
        <v>4601.7299999999996</v>
      </c>
    </row>
    <row r="57" spans="1:29" ht="14" x14ac:dyDescent="0.3">
      <c r="C57" s="21" t="s">
        <v>201</v>
      </c>
      <c r="H57" s="63">
        <f>I56+0-0-0</f>
        <v>417.58</v>
      </c>
      <c r="I57" s="63"/>
      <c r="J57" s="63">
        <f>K56+0-0-0</f>
        <v>4601.7299999999996</v>
      </c>
      <c r="K57" s="63"/>
    </row>
    <row r="58" spans="1:29" ht="14" x14ac:dyDescent="0.3">
      <c r="C58" s="21" t="s">
        <v>202</v>
      </c>
      <c r="H58" s="62">
        <f>0+0</f>
        <v>0</v>
      </c>
      <c r="I58" s="62"/>
      <c r="J58" s="62">
        <f>0+0</f>
        <v>0</v>
      </c>
      <c r="K58" s="62"/>
    </row>
    <row r="59" spans="1:29" ht="14" x14ac:dyDescent="0.3">
      <c r="C59" s="21" t="s">
        <v>203</v>
      </c>
      <c r="H59" s="62">
        <f>I56+0</f>
        <v>417.58</v>
      </c>
      <c r="I59" s="62"/>
      <c r="J59" s="62">
        <f>K56+0</f>
        <v>4601.7299999999996</v>
      </c>
      <c r="K59" s="62"/>
      <c r="O59" s="36">
        <f>I56+0</f>
        <v>417.58</v>
      </c>
      <c r="P59" s="36">
        <f>K56+0</f>
        <v>4601.7299999999996</v>
      </c>
    </row>
    <row r="61" spans="1:29" ht="28" x14ac:dyDescent="0.35">
      <c r="A61" s="27">
        <v>5</v>
      </c>
      <c r="B61" s="27" t="str">
        <f>Source!F36</f>
        <v>15.1-1203-02</v>
      </c>
      <c r="C61" s="27" t="s">
        <v>40</v>
      </c>
      <c r="D61" s="28" t="str">
        <f>Source!H36</f>
        <v>1 Т</v>
      </c>
      <c r="E61" s="11">
        <f>Source!I36</f>
        <v>3.5000000000000003E-2</v>
      </c>
      <c r="F61" s="30"/>
      <c r="G61" s="29"/>
      <c r="H61" s="11"/>
      <c r="I61" s="30"/>
      <c r="J61" s="11"/>
      <c r="K61" s="30"/>
      <c r="Q61">
        <f>Source!X36</f>
        <v>0</v>
      </c>
      <c r="R61">
        <f>Source!X37</f>
        <v>0</v>
      </c>
      <c r="S61">
        <f>Source!Y36</f>
        <v>0</v>
      </c>
      <c r="T61">
        <f>Source!Y37</f>
        <v>0</v>
      </c>
      <c r="U61">
        <f>ROUND((175/100)*ROUND(Source!R36, 2), 2)</f>
        <v>0</v>
      </c>
      <c r="V61">
        <f>ROUND((0/100)*ROUND(Source!R37, 2), 2)</f>
        <v>0</v>
      </c>
      <c r="AC61">
        <v>0</v>
      </c>
    </row>
    <row r="62" spans="1:29" ht="14.5" x14ac:dyDescent="0.35">
      <c r="A62" s="31"/>
      <c r="B62" s="31"/>
      <c r="C62" s="31" t="s">
        <v>200</v>
      </c>
      <c r="D62" s="32"/>
      <c r="E62" s="33"/>
      <c r="F62" s="34">
        <f>Source!AM36</f>
        <v>38.770000000000003</v>
      </c>
      <c r="G62" s="35" t="str">
        <f>Source!DE36</f>
        <v/>
      </c>
      <c r="H62" s="33">
        <f>Source!AV37</f>
        <v>1</v>
      </c>
      <c r="I62" s="34">
        <f>Source!Q36</f>
        <v>1.36</v>
      </c>
      <c r="J62" s="33">
        <f>IF(Source!BB37&lt;&gt; 0, Source!BB37, 1)</f>
        <v>10.53</v>
      </c>
      <c r="K62" s="34">
        <f>Source!Q37</f>
        <v>14.32</v>
      </c>
    </row>
    <row r="63" spans="1:29" ht="14" x14ac:dyDescent="0.3">
      <c r="C63" s="21" t="s">
        <v>201</v>
      </c>
      <c r="H63" s="63">
        <f>I62+0-0-0</f>
        <v>1.36</v>
      </c>
      <c r="I63" s="63"/>
      <c r="J63" s="63">
        <f>K62+0-0-0</f>
        <v>14.32</v>
      </c>
      <c r="K63" s="63"/>
    </row>
    <row r="64" spans="1:29" ht="14" x14ac:dyDescent="0.3">
      <c r="C64" s="21" t="s">
        <v>202</v>
      </c>
      <c r="H64" s="62">
        <f>0+0</f>
        <v>0</v>
      </c>
      <c r="I64" s="62"/>
      <c r="J64" s="62">
        <f>0+0</f>
        <v>0</v>
      </c>
      <c r="K64" s="62"/>
    </row>
    <row r="65" spans="1:29" ht="14" x14ac:dyDescent="0.3">
      <c r="C65" s="21" t="s">
        <v>203</v>
      </c>
      <c r="H65" s="62">
        <f>I62+0</f>
        <v>1.36</v>
      </c>
      <c r="I65" s="62"/>
      <c r="J65" s="62">
        <f>K62+0</f>
        <v>14.32</v>
      </c>
      <c r="K65" s="62"/>
      <c r="O65" s="36">
        <f>I62+0</f>
        <v>1.36</v>
      </c>
      <c r="P65" s="36">
        <f>K62+0</f>
        <v>14.32</v>
      </c>
    </row>
    <row r="67" spans="1:29" ht="28" x14ac:dyDescent="0.35">
      <c r="A67" s="27">
        <v>6</v>
      </c>
      <c r="B67" s="27" t="str">
        <f>Source!F38</f>
        <v>15.1-1207-01</v>
      </c>
      <c r="C67" s="27" t="s">
        <v>44</v>
      </c>
      <c r="D67" s="28" t="str">
        <f>Source!H38</f>
        <v>1 Т</v>
      </c>
      <c r="E67" s="11">
        <f>Source!I38</f>
        <v>3.4870000000000001</v>
      </c>
      <c r="F67" s="30"/>
      <c r="G67" s="29"/>
      <c r="H67" s="11"/>
      <c r="I67" s="30"/>
      <c r="J67" s="11"/>
      <c r="K67" s="30"/>
      <c r="Q67">
        <f>Source!X38</f>
        <v>0</v>
      </c>
      <c r="R67">
        <f>Source!X39</f>
        <v>0</v>
      </c>
      <c r="S67">
        <f>Source!Y38</f>
        <v>0</v>
      </c>
      <c r="T67">
        <f>Source!Y39</f>
        <v>0</v>
      </c>
      <c r="U67">
        <f>ROUND((175/100)*ROUND(Source!R38, 2), 2)</f>
        <v>0</v>
      </c>
      <c r="V67">
        <f>ROUND((0/100)*ROUND(Source!R39, 2), 2)</f>
        <v>0</v>
      </c>
      <c r="AC67">
        <v>0</v>
      </c>
    </row>
    <row r="68" spans="1:29" ht="14.5" x14ac:dyDescent="0.35">
      <c r="A68" s="31"/>
      <c r="B68" s="31"/>
      <c r="C68" s="31" t="s">
        <v>200</v>
      </c>
      <c r="D68" s="32"/>
      <c r="E68" s="33"/>
      <c r="F68" s="34">
        <f>Source!AM38</f>
        <v>38.770000000000003</v>
      </c>
      <c r="G68" s="35" t="str">
        <f>Source!DE38</f>
        <v/>
      </c>
      <c r="H68" s="33">
        <f>Source!AV39</f>
        <v>1</v>
      </c>
      <c r="I68" s="34">
        <f>Source!Q38</f>
        <v>135.19</v>
      </c>
      <c r="J68" s="33">
        <f>IF(Source!BB39&lt;&gt; 0, Source!BB39, 1)</f>
        <v>49.45</v>
      </c>
      <c r="K68" s="34">
        <f>Source!Q39</f>
        <v>6685.15</v>
      </c>
    </row>
    <row r="69" spans="1:29" ht="14" x14ac:dyDescent="0.3">
      <c r="C69" s="21" t="s">
        <v>201</v>
      </c>
      <c r="H69" s="63">
        <f>I68+0-0-0</f>
        <v>135.19</v>
      </c>
      <c r="I69" s="63"/>
      <c r="J69" s="63">
        <f>K68+0-0-0</f>
        <v>6685.15</v>
      </c>
      <c r="K69" s="63"/>
    </row>
    <row r="70" spans="1:29" ht="14" x14ac:dyDescent="0.3">
      <c r="C70" s="21" t="s">
        <v>202</v>
      </c>
      <c r="H70" s="62">
        <f>0+0</f>
        <v>0</v>
      </c>
      <c r="I70" s="62"/>
      <c r="J70" s="62">
        <f>0+0</f>
        <v>0</v>
      </c>
      <c r="K70" s="62"/>
    </row>
    <row r="71" spans="1:29" ht="14" x14ac:dyDescent="0.3">
      <c r="C71" s="21" t="s">
        <v>203</v>
      </c>
      <c r="H71" s="62">
        <f>I68+0</f>
        <v>135.19</v>
      </c>
      <c r="I71" s="62"/>
      <c r="J71" s="62">
        <f>K68+0</f>
        <v>6685.15</v>
      </c>
      <c r="K71" s="62"/>
      <c r="O71" s="36">
        <f>I68+0</f>
        <v>135.19</v>
      </c>
      <c r="P71" s="36">
        <f>K68+0</f>
        <v>6685.15</v>
      </c>
    </row>
    <row r="73" spans="1:29" ht="28" x14ac:dyDescent="0.35">
      <c r="A73" s="27">
        <v>7</v>
      </c>
      <c r="B73" s="27" t="str">
        <f>Source!F40</f>
        <v>15.1-1504-23</v>
      </c>
      <c r="C73" s="27" t="s">
        <v>48</v>
      </c>
      <c r="D73" s="28" t="str">
        <f>Source!H40</f>
        <v>1 Т</v>
      </c>
      <c r="E73" s="11">
        <f>Source!I40</f>
        <v>2.7E-2</v>
      </c>
      <c r="F73" s="30"/>
      <c r="G73" s="29"/>
      <c r="H73" s="11"/>
      <c r="I73" s="30"/>
      <c r="J73" s="11"/>
      <c r="K73" s="30"/>
      <c r="Q73">
        <f>Source!X40</f>
        <v>0</v>
      </c>
      <c r="R73">
        <f>Source!X41</f>
        <v>0</v>
      </c>
      <c r="S73">
        <f>Source!Y40</f>
        <v>0</v>
      </c>
      <c r="T73">
        <f>Source!Y41</f>
        <v>0</v>
      </c>
      <c r="U73">
        <f>ROUND((175/100)*ROUND(Source!R40, 2), 2)</f>
        <v>0</v>
      </c>
      <c r="V73">
        <f>ROUND((0/100)*ROUND(Source!R41, 2), 2)</f>
        <v>0</v>
      </c>
      <c r="AC73">
        <v>0</v>
      </c>
    </row>
    <row r="74" spans="1:29" ht="14.5" x14ac:dyDescent="0.35">
      <c r="A74" s="31"/>
      <c r="B74" s="31"/>
      <c r="C74" s="31" t="s">
        <v>200</v>
      </c>
      <c r="D74" s="32"/>
      <c r="E74" s="33"/>
      <c r="F74" s="34">
        <f>Source!AM40</f>
        <v>36.299999999999997</v>
      </c>
      <c r="G74" s="35" t="str">
        <f>Source!DE40</f>
        <v/>
      </c>
      <c r="H74" s="33">
        <f>Source!AV41</f>
        <v>1</v>
      </c>
      <c r="I74" s="34">
        <f>Source!Q40</f>
        <v>0.98</v>
      </c>
      <c r="J74" s="33">
        <f>IF(Source!BB41&lt;&gt; 0, Source!BB41, 1)</f>
        <v>10.25</v>
      </c>
      <c r="K74" s="34">
        <f>Source!Q41</f>
        <v>10.050000000000001</v>
      </c>
    </row>
    <row r="75" spans="1:29" ht="14" x14ac:dyDescent="0.3">
      <c r="C75" s="21" t="s">
        <v>201</v>
      </c>
      <c r="H75" s="63">
        <f>I74+0-0-0</f>
        <v>0.98</v>
      </c>
      <c r="I75" s="63"/>
      <c r="J75" s="63">
        <f>K74+0-0-0</f>
        <v>10.050000000000001</v>
      </c>
      <c r="K75" s="63"/>
    </row>
    <row r="76" spans="1:29" ht="14" x14ac:dyDescent="0.3">
      <c r="C76" s="21" t="s">
        <v>202</v>
      </c>
      <c r="H76" s="62">
        <f>0+0</f>
        <v>0</v>
      </c>
      <c r="I76" s="62"/>
      <c r="J76" s="62">
        <f>0+0</f>
        <v>0</v>
      </c>
      <c r="K76" s="62"/>
    </row>
    <row r="77" spans="1:29" ht="14" x14ac:dyDescent="0.3">
      <c r="C77" s="21" t="s">
        <v>203</v>
      </c>
      <c r="H77" s="62">
        <f>I74+0</f>
        <v>0.98</v>
      </c>
      <c r="I77" s="62"/>
      <c r="J77" s="62">
        <f>K74+0</f>
        <v>10.050000000000001</v>
      </c>
      <c r="K77" s="62"/>
      <c r="O77" s="36">
        <f>I74+0</f>
        <v>0.98</v>
      </c>
      <c r="P77" s="36">
        <f>K74+0</f>
        <v>10.050000000000001</v>
      </c>
    </row>
    <row r="79" spans="1:29" ht="56" x14ac:dyDescent="0.35">
      <c r="A79" s="27">
        <v>8</v>
      </c>
      <c r="B79" s="27" t="str">
        <f>Source!F42</f>
        <v>15.1-1500-01</v>
      </c>
      <c r="C79" s="27" t="s">
        <v>51</v>
      </c>
      <c r="D79" s="28" t="str">
        <f>Source!H42</f>
        <v>1 Т</v>
      </c>
      <c r="E79" s="11">
        <f>Source!I42</f>
        <v>0.65300000000000002</v>
      </c>
      <c r="F79" s="30"/>
      <c r="G79" s="29"/>
      <c r="H79" s="11"/>
      <c r="I79" s="30"/>
      <c r="J79" s="11"/>
      <c r="K79" s="30"/>
      <c r="Q79">
        <f>Source!X42</f>
        <v>0</v>
      </c>
      <c r="R79">
        <f>Source!X43</f>
        <v>0</v>
      </c>
      <c r="S79">
        <f>Source!Y42</f>
        <v>0</v>
      </c>
      <c r="T79">
        <f>Source!Y43</f>
        <v>0</v>
      </c>
      <c r="U79">
        <f>ROUND((175/100)*ROUND(Source!R42, 2), 2)</f>
        <v>0</v>
      </c>
      <c r="V79">
        <f>ROUND((0/100)*ROUND(Source!R43, 2), 2)</f>
        <v>0</v>
      </c>
      <c r="AC79">
        <v>0</v>
      </c>
    </row>
    <row r="80" spans="1:29" ht="14.5" x14ac:dyDescent="0.35">
      <c r="A80" s="31"/>
      <c r="B80" s="31"/>
      <c r="C80" s="31" t="s">
        <v>200</v>
      </c>
      <c r="D80" s="32"/>
      <c r="E80" s="33"/>
      <c r="F80" s="34">
        <f>Source!AM42</f>
        <v>31.67</v>
      </c>
      <c r="G80" s="35" t="str">
        <f>Source!DE42</f>
        <v/>
      </c>
      <c r="H80" s="33">
        <f>Source!AV43</f>
        <v>1</v>
      </c>
      <c r="I80" s="34">
        <f>Source!Q42</f>
        <v>20.68</v>
      </c>
      <c r="J80" s="33">
        <f>IF(Source!BB43&lt;&gt; 0, Source!BB43, 1)</f>
        <v>43.37</v>
      </c>
      <c r="K80" s="34">
        <f>Source!Q43</f>
        <v>896.89</v>
      </c>
    </row>
    <row r="81" spans="1:29" ht="14" x14ac:dyDescent="0.3">
      <c r="C81" s="21" t="s">
        <v>201</v>
      </c>
      <c r="H81" s="63">
        <f>I80+0-0-0</f>
        <v>20.68</v>
      </c>
      <c r="I81" s="63"/>
      <c r="J81" s="63">
        <f>K80+0-0-0</f>
        <v>896.89</v>
      </c>
      <c r="K81" s="63"/>
    </row>
    <row r="82" spans="1:29" ht="14" x14ac:dyDescent="0.3">
      <c r="C82" s="21" t="s">
        <v>202</v>
      </c>
      <c r="H82" s="62">
        <f>0+0</f>
        <v>0</v>
      </c>
      <c r="I82" s="62"/>
      <c r="J82" s="62">
        <f>0+0</f>
        <v>0</v>
      </c>
      <c r="K82" s="62"/>
    </row>
    <row r="83" spans="1:29" ht="14" x14ac:dyDescent="0.3">
      <c r="C83" s="21" t="s">
        <v>203</v>
      </c>
      <c r="H83" s="62">
        <f>I80+0</f>
        <v>20.68</v>
      </c>
      <c r="I83" s="62"/>
      <c r="J83" s="62">
        <f>K80+0</f>
        <v>896.89</v>
      </c>
      <c r="K83" s="62"/>
      <c r="O83" s="36">
        <f>I80+0</f>
        <v>20.68</v>
      </c>
      <c r="P83" s="36">
        <f>K80+0</f>
        <v>896.89</v>
      </c>
    </row>
    <row r="85" spans="1:29" ht="56" x14ac:dyDescent="0.35">
      <c r="A85" s="27">
        <v>9</v>
      </c>
      <c r="B85" s="27" t="str">
        <f>Source!F44</f>
        <v>15.1-1207-03</v>
      </c>
      <c r="C85" s="27" t="s">
        <v>54</v>
      </c>
      <c r="D85" s="28" t="str">
        <f>Source!H44</f>
        <v>1 Т</v>
      </c>
      <c r="E85" s="11">
        <f>Source!I44</f>
        <v>3.8730000000000002</v>
      </c>
      <c r="F85" s="30"/>
      <c r="G85" s="29"/>
      <c r="H85" s="11"/>
      <c r="I85" s="30"/>
      <c r="J85" s="11"/>
      <c r="K85" s="30"/>
      <c r="Q85">
        <f>Source!X44</f>
        <v>0</v>
      </c>
      <c r="R85">
        <f>Source!X45</f>
        <v>0</v>
      </c>
      <c r="S85">
        <f>Source!Y44</f>
        <v>0</v>
      </c>
      <c r="T85">
        <f>Source!Y45</f>
        <v>0</v>
      </c>
      <c r="U85">
        <f>ROUND((175/100)*ROUND(Source!R44, 2), 2)</f>
        <v>0</v>
      </c>
      <c r="V85">
        <f>ROUND((0/100)*ROUND(Source!R45, 2), 2)</f>
        <v>0</v>
      </c>
      <c r="AC85">
        <v>0</v>
      </c>
    </row>
    <row r="86" spans="1:29" ht="14.5" x14ac:dyDescent="0.35">
      <c r="A86" s="31"/>
      <c r="B86" s="31"/>
      <c r="C86" s="31" t="s">
        <v>200</v>
      </c>
      <c r="D86" s="32"/>
      <c r="E86" s="33"/>
      <c r="F86" s="34">
        <f>Source!AM44</f>
        <v>47.51</v>
      </c>
      <c r="G86" s="35" t="str">
        <f>Source!DE44</f>
        <v/>
      </c>
      <c r="H86" s="33">
        <f>Source!AV45</f>
        <v>1</v>
      </c>
      <c r="I86" s="34">
        <f>Source!Q44</f>
        <v>184.01</v>
      </c>
      <c r="J86" s="33">
        <f>IF(Source!BB45&lt;&gt; 0, Source!BB45, 1)</f>
        <v>35.520000000000003</v>
      </c>
      <c r="K86" s="34">
        <f>Source!Q45</f>
        <v>6536.04</v>
      </c>
    </row>
    <row r="87" spans="1:29" ht="14" x14ac:dyDescent="0.3">
      <c r="C87" s="21" t="s">
        <v>201</v>
      </c>
      <c r="H87" s="63">
        <f>I86+0-0-0</f>
        <v>184.01</v>
      </c>
      <c r="I87" s="63"/>
      <c r="J87" s="63">
        <f>K86+0-0-0</f>
        <v>6536.04</v>
      </c>
      <c r="K87" s="63"/>
    </row>
    <row r="88" spans="1:29" ht="14" x14ac:dyDescent="0.3">
      <c r="C88" s="21" t="s">
        <v>202</v>
      </c>
      <c r="H88" s="62">
        <f>0+0</f>
        <v>0</v>
      </c>
      <c r="I88" s="62"/>
      <c r="J88" s="62">
        <f>0+0</f>
        <v>0</v>
      </c>
      <c r="K88" s="62"/>
    </row>
    <row r="89" spans="1:29" ht="14" x14ac:dyDescent="0.3">
      <c r="C89" s="21" t="s">
        <v>203</v>
      </c>
      <c r="H89" s="62">
        <f>I86+0</f>
        <v>184.01</v>
      </c>
      <c r="I89" s="62"/>
      <c r="J89" s="62">
        <f>K86+0</f>
        <v>6536.04</v>
      </c>
      <c r="K89" s="62"/>
      <c r="O89" s="36">
        <f>I86+0</f>
        <v>184.01</v>
      </c>
      <c r="P89" s="36">
        <f>K86+0</f>
        <v>6536.04</v>
      </c>
    </row>
    <row r="91" spans="1:29" ht="28" x14ac:dyDescent="0.35">
      <c r="A91" s="27">
        <v>10</v>
      </c>
      <c r="B91" s="27" t="str">
        <f>Source!F46</f>
        <v>15.1-1201-03</v>
      </c>
      <c r="C91" s="27" t="s">
        <v>58</v>
      </c>
      <c r="D91" s="28" t="str">
        <f>Source!H46</f>
        <v>1 Т</v>
      </c>
      <c r="E91" s="11">
        <f>Source!I46</f>
        <v>666.67899999999997</v>
      </c>
      <c r="F91" s="30"/>
      <c r="G91" s="29"/>
      <c r="H91" s="11"/>
      <c r="I91" s="30"/>
      <c r="J91" s="11"/>
      <c r="K91" s="30"/>
      <c r="Q91">
        <f>Source!X46</f>
        <v>0</v>
      </c>
      <c r="R91">
        <f>Source!X47</f>
        <v>0</v>
      </c>
      <c r="S91">
        <f>Source!Y46</f>
        <v>0</v>
      </c>
      <c r="T91">
        <f>Source!Y47</f>
        <v>0</v>
      </c>
      <c r="U91">
        <f>ROUND((175/100)*ROUND(Source!R46, 2), 2)</f>
        <v>0</v>
      </c>
      <c r="V91">
        <f>ROUND((0/100)*ROUND(Source!R47, 2), 2)</f>
        <v>0</v>
      </c>
      <c r="AC91">
        <v>0</v>
      </c>
    </row>
    <row r="92" spans="1:29" ht="14.5" x14ac:dyDescent="0.35">
      <c r="A92" s="31"/>
      <c r="B92" s="31"/>
      <c r="C92" s="31" t="s">
        <v>200</v>
      </c>
      <c r="D92" s="32"/>
      <c r="E92" s="33"/>
      <c r="F92" s="34">
        <f>Source!AM46</f>
        <v>22.57</v>
      </c>
      <c r="G92" s="35" t="str">
        <f>Source!DE46</f>
        <v/>
      </c>
      <c r="H92" s="33">
        <f>Source!AV47</f>
        <v>1</v>
      </c>
      <c r="I92" s="34">
        <f>Source!Q46</f>
        <v>15046.95</v>
      </c>
      <c r="J92" s="33">
        <f>IF(Source!BB47&lt;&gt; 0, Source!BB47, 1)</f>
        <v>6.48</v>
      </c>
      <c r="K92" s="34">
        <f>Source!Q47</f>
        <v>97504.24</v>
      </c>
    </row>
    <row r="93" spans="1:29" ht="14" x14ac:dyDescent="0.3">
      <c r="C93" s="21" t="s">
        <v>201</v>
      </c>
      <c r="H93" s="63">
        <f>I92+0-0-0</f>
        <v>15046.95</v>
      </c>
      <c r="I93" s="63"/>
      <c r="J93" s="63">
        <f>K92+0-0-0</f>
        <v>97504.24</v>
      </c>
      <c r="K93" s="63"/>
    </row>
    <row r="94" spans="1:29" ht="14" x14ac:dyDescent="0.3">
      <c r="C94" s="21" t="s">
        <v>202</v>
      </c>
      <c r="H94" s="62">
        <f>0+0</f>
        <v>0</v>
      </c>
      <c r="I94" s="62"/>
      <c r="J94" s="62">
        <f>0+0</f>
        <v>0</v>
      </c>
      <c r="K94" s="62"/>
    </row>
    <row r="95" spans="1:29" ht="14" x14ac:dyDescent="0.3">
      <c r="C95" s="21" t="s">
        <v>203</v>
      </c>
      <c r="H95" s="62">
        <f>I92+0</f>
        <v>15046.95</v>
      </c>
      <c r="I95" s="62"/>
      <c r="J95" s="62">
        <f>K92+0</f>
        <v>97504.24</v>
      </c>
      <c r="K95" s="62"/>
      <c r="O95" s="36">
        <f>I92+0</f>
        <v>15046.95</v>
      </c>
      <c r="P95" s="36">
        <f>K92+0</f>
        <v>97504.24</v>
      </c>
    </row>
    <row r="97" spans="1:29" ht="28" x14ac:dyDescent="0.35">
      <c r="A97" s="27">
        <v>11</v>
      </c>
      <c r="B97" s="27" t="str">
        <f>Source!F48</f>
        <v>15.1-1202-02</v>
      </c>
      <c r="C97" s="27" t="s">
        <v>62</v>
      </c>
      <c r="D97" s="28" t="str">
        <f>Source!H48</f>
        <v>1 Т</v>
      </c>
      <c r="E97" s="11">
        <f>Source!I48</f>
        <v>146.251</v>
      </c>
      <c r="F97" s="30"/>
      <c r="G97" s="29"/>
      <c r="H97" s="11"/>
      <c r="I97" s="30"/>
      <c r="J97" s="11"/>
      <c r="K97" s="30"/>
      <c r="Q97">
        <f>Source!X48</f>
        <v>0</v>
      </c>
      <c r="R97">
        <f>Source!X49</f>
        <v>0</v>
      </c>
      <c r="S97">
        <f>Source!Y48</f>
        <v>0</v>
      </c>
      <c r="T97">
        <f>Source!Y49</f>
        <v>0</v>
      </c>
      <c r="U97">
        <f>ROUND((175/100)*ROUND(Source!R48, 2), 2)</f>
        <v>0</v>
      </c>
      <c r="V97">
        <f>ROUND((0/100)*ROUND(Source!R49, 2), 2)</f>
        <v>0</v>
      </c>
      <c r="AC97">
        <v>0</v>
      </c>
    </row>
    <row r="98" spans="1:29" ht="14.5" x14ac:dyDescent="0.35">
      <c r="A98" s="31"/>
      <c r="B98" s="31"/>
      <c r="C98" s="31" t="s">
        <v>200</v>
      </c>
      <c r="D98" s="32"/>
      <c r="E98" s="33"/>
      <c r="F98" s="34">
        <f>Source!AM48</f>
        <v>21.71</v>
      </c>
      <c r="G98" s="35" t="str">
        <f>Source!DE48</f>
        <v/>
      </c>
      <c r="H98" s="33">
        <f>Source!AV49</f>
        <v>1</v>
      </c>
      <c r="I98" s="34">
        <f>Source!Q48</f>
        <v>3175.11</v>
      </c>
      <c r="J98" s="33">
        <f>IF(Source!BB49&lt;&gt; 0, Source!BB49, 1)</f>
        <v>14.06</v>
      </c>
      <c r="K98" s="34">
        <f>Source!Q49</f>
        <v>44642.05</v>
      </c>
    </row>
    <row r="99" spans="1:29" ht="14" x14ac:dyDescent="0.3">
      <c r="C99" s="21" t="s">
        <v>201</v>
      </c>
      <c r="H99" s="63">
        <f>I98+0-0-0</f>
        <v>3175.11</v>
      </c>
      <c r="I99" s="63"/>
      <c r="J99" s="63">
        <f>K98+0-0-0</f>
        <v>44642.05</v>
      </c>
      <c r="K99" s="63"/>
    </row>
    <row r="100" spans="1:29" ht="14" x14ac:dyDescent="0.3">
      <c r="C100" s="21" t="s">
        <v>202</v>
      </c>
      <c r="H100" s="62">
        <f>0+0</f>
        <v>0</v>
      </c>
      <c r="I100" s="62"/>
      <c r="J100" s="62">
        <f>0+0</f>
        <v>0</v>
      </c>
      <c r="K100" s="62"/>
    </row>
    <row r="101" spans="1:29" ht="14" x14ac:dyDescent="0.3">
      <c r="C101" s="21" t="s">
        <v>203</v>
      </c>
      <c r="H101" s="62">
        <f>I98+0</f>
        <v>3175.11</v>
      </c>
      <c r="I101" s="62"/>
      <c r="J101" s="62">
        <f>K98+0</f>
        <v>44642.05</v>
      </c>
      <c r="K101" s="62"/>
      <c r="O101" s="36">
        <f>I98+0</f>
        <v>3175.11</v>
      </c>
      <c r="P101" s="36">
        <f>K98+0</f>
        <v>44642.05</v>
      </c>
    </row>
    <row r="103" spans="1:29" ht="28" x14ac:dyDescent="0.35">
      <c r="A103" s="27">
        <v>12</v>
      </c>
      <c r="B103" s="27" t="str">
        <f>Source!F50</f>
        <v>15.1-1202-01</v>
      </c>
      <c r="C103" s="27" t="s">
        <v>66</v>
      </c>
      <c r="D103" s="28" t="str">
        <f>Source!H50</f>
        <v>1 Т</v>
      </c>
      <c r="E103" s="11">
        <f>Source!I50</f>
        <v>0.309</v>
      </c>
      <c r="F103" s="30"/>
      <c r="G103" s="29"/>
      <c r="H103" s="11"/>
      <c r="I103" s="30"/>
      <c r="J103" s="11"/>
      <c r="K103" s="30"/>
      <c r="Q103">
        <f>Source!X50</f>
        <v>0</v>
      </c>
      <c r="R103">
        <f>Source!X51</f>
        <v>0</v>
      </c>
      <c r="S103">
        <f>Source!Y50</f>
        <v>0</v>
      </c>
      <c r="T103">
        <f>Source!Y51</f>
        <v>0</v>
      </c>
      <c r="U103">
        <f>ROUND((175/100)*ROUND(Source!R50, 2), 2)</f>
        <v>0</v>
      </c>
      <c r="V103">
        <f>ROUND((0/100)*ROUND(Source!R51, 2), 2)</f>
        <v>0</v>
      </c>
      <c r="AC103">
        <v>0</v>
      </c>
    </row>
    <row r="104" spans="1:29" ht="14.5" x14ac:dyDescent="0.35">
      <c r="A104" s="31"/>
      <c r="B104" s="31"/>
      <c r="C104" s="31" t="s">
        <v>200</v>
      </c>
      <c r="D104" s="32"/>
      <c r="E104" s="33"/>
      <c r="F104" s="34">
        <f>Source!AM50</f>
        <v>21.71</v>
      </c>
      <c r="G104" s="35" t="str">
        <f>Source!DE50</f>
        <v/>
      </c>
      <c r="H104" s="33">
        <f>Source!AV51</f>
        <v>1</v>
      </c>
      <c r="I104" s="34">
        <f>Source!Q50</f>
        <v>6.71</v>
      </c>
      <c r="J104" s="33">
        <f>IF(Source!BB51&lt;&gt; 0, Source!BB51, 1)</f>
        <v>11.3</v>
      </c>
      <c r="K104" s="34">
        <f>Source!Q51</f>
        <v>75.819999999999993</v>
      </c>
    </row>
    <row r="105" spans="1:29" ht="14" x14ac:dyDescent="0.3">
      <c r="C105" s="21" t="s">
        <v>201</v>
      </c>
      <c r="H105" s="63">
        <f>I104+0-0-0</f>
        <v>6.71</v>
      </c>
      <c r="I105" s="63"/>
      <c r="J105" s="63">
        <f>K104+0-0-0</f>
        <v>75.819999999999993</v>
      </c>
      <c r="K105" s="63"/>
    </row>
    <row r="106" spans="1:29" ht="14" x14ac:dyDescent="0.3">
      <c r="C106" s="21" t="s">
        <v>202</v>
      </c>
      <c r="H106" s="62">
        <f>0+0</f>
        <v>0</v>
      </c>
      <c r="I106" s="62"/>
      <c r="J106" s="62">
        <f>0+0</f>
        <v>0</v>
      </c>
      <c r="K106" s="62"/>
    </row>
    <row r="107" spans="1:29" ht="14" x14ac:dyDescent="0.3">
      <c r="C107" s="21" t="s">
        <v>203</v>
      </c>
      <c r="H107" s="62">
        <f>I104+0</f>
        <v>6.71</v>
      </c>
      <c r="I107" s="62"/>
      <c r="J107" s="62">
        <f>K104+0</f>
        <v>75.819999999999993</v>
      </c>
      <c r="K107" s="62"/>
      <c r="O107" s="36">
        <f>I104+0</f>
        <v>6.71</v>
      </c>
      <c r="P107" s="36">
        <f>K104+0</f>
        <v>75.819999999999993</v>
      </c>
    </row>
    <row r="109" spans="1:29" ht="28" x14ac:dyDescent="0.35">
      <c r="A109" s="27">
        <v>13</v>
      </c>
      <c r="B109" s="27" t="str">
        <f>Source!F52</f>
        <v>15.1-1105-01</v>
      </c>
      <c r="C109" s="27" t="s">
        <v>70</v>
      </c>
      <c r="D109" s="28" t="str">
        <f>Source!H52</f>
        <v>1 Т</v>
      </c>
      <c r="E109" s="11">
        <f>Source!I52</f>
        <v>206.09100000000001</v>
      </c>
      <c r="F109" s="30"/>
      <c r="G109" s="29"/>
      <c r="H109" s="11"/>
      <c r="I109" s="30"/>
      <c r="J109" s="11"/>
      <c r="K109" s="30"/>
      <c r="Q109">
        <f>Source!X52</f>
        <v>0</v>
      </c>
      <c r="R109">
        <f>Source!X53</f>
        <v>0</v>
      </c>
      <c r="S109">
        <f>Source!Y52</f>
        <v>0</v>
      </c>
      <c r="T109">
        <f>Source!Y53</f>
        <v>0</v>
      </c>
      <c r="U109">
        <f>ROUND((175/100)*ROUND(Source!R52, 2), 2)</f>
        <v>0</v>
      </c>
      <c r="V109">
        <f>ROUND((0/100)*ROUND(Source!R53, 2), 2)</f>
        <v>0</v>
      </c>
      <c r="AC109">
        <v>0</v>
      </c>
    </row>
    <row r="110" spans="1:29" ht="14.5" x14ac:dyDescent="0.35">
      <c r="A110" s="31"/>
      <c r="B110" s="31"/>
      <c r="C110" s="31" t="s">
        <v>200</v>
      </c>
      <c r="D110" s="32"/>
      <c r="E110" s="33"/>
      <c r="F110" s="34">
        <f>Source!AM52</f>
        <v>21.71</v>
      </c>
      <c r="G110" s="35" t="str">
        <f>Source!DE52</f>
        <v/>
      </c>
      <c r="H110" s="33">
        <f>Source!AV53</f>
        <v>1</v>
      </c>
      <c r="I110" s="34">
        <f>Source!Q52</f>
        <v>4474.24</v>
      </c>
      <c r="J110" s="33">
        <f>IF(Source!BB53&lt;&gt; 0, Source!BB53, 1)</f>
        <v>11.84</v>
      </c>
      <c r="K110" s="34">
        <f>Source!Q53</f>
        <v>52975</v>
      </c>
    </row>
    <row r="111" spans="1:29" ht="14" x14ac:dyDescent="0.3">
      <c r="C111" s="21" t="s">
        <v>201</v>
      </c>
      <c r="H111" s="63">
        <f>I110+0-0-0</f>
        <v>4474.24</v>
      </c>
      <c r="I111" s="63"/>
      <c r="J111" s="63">
        <f>K110+0-0-0</f>
        <v>52975</v>
      </c>
      <c r="K111" s="63"/>
    </row>
    <row r="112" spans="1:29" ht="14" x14ac:dyDescent="0.3">
      <c r="C112" s="21" t="s">
        <v>202</v>
      </c>
      <c r="H112" s="62">
        <f>0+0</f>
        <v>0</v>
      </c>
      <c r="I112" s="62"/>
      <c r="J112" s="62">
        <f>0+0</f>
        <v>0</v>
      </c>
      <c r="K112" s="62"/>
    </row>
    <row r="113" spans="1:29" ht="14" x14ac:dyDescent="0.3">
      <c r="C113" s="21" t="s">
        <v>203</v>
      </c>
      <c r="H113" s="62">
        <f>I110+0</f>
        <v>4474.24</v>
      </c>
      <c r="I113" s="62"/>
      <c r="J113" s="62">
        <f>K110+0</f>
        <v>52975</v>
      </c>
      <c r="K113" s="62"/>
      <c r="O113" s="36">
        <f>I110+0</f>
        <v>4474.24</v>
      </c>
      <c r="P113" s="36">
        <f>K110+0</f>
        <v>52975</v>
      </c>
    </row>
    <row r="115" spans="1:29" ht="56" x14ac:dyDescent="0.35">
      <c r="A115" s="27">
        <v>14</v>
      </c>
      <c r="B115" s="27" t="str">
        <f>Source!F54</f>
        <v>15.1-1200-01</v>
      </c>
      <c r="C115" s="27" t="s">
        <v>74</v>
      </c>
      <c r="D115" s="28" t="str">
        <f>Source!H54</f>
        <v>1 Т</v>
      </c>
      <c r="E115" s="11">
        <f>Source!I54</f>
        <v>4.6280000000000001</v>
      </c>
      <c r="F115" s="30"/>
      <c r="G115" s="29"/>
      <c r="H115" s="11"/>
      <c r="I115" s="30"/>
      <c r="J115" s="11"/>
      <c r="K115" s="30"/>
      <c r="Q115">
        <f>Source!X54</f>
        <v>0</v>
      </c>
      <c r="R115">
        <f>Source!X55</f>
        <v>0</v>
      </c>
      <c r="S115">
        <f>Source!Y54</f>
        <v>0</v>
      </c>
      <c r="T115">
        <f>Source!Y55</f>
        <v>0</v>
      </c>
      <c r="U115">
        <f>ROUND((175/100)*ROUND(Source!R54, 2), 2)</f>
        <v>0</v>
      </c>
      <c r="V115">
        <f>ROUND((0/100)*ROUND(Source!R55, 2), 2)</f>
        <v>0</v>
      </c>
      <c r="AC115">
        <v>0</v>
      </c>
    </row>
    <row r="116" spans="1:29" ht="14.5" x14ac:dyDescent="0.35">
      <c r="A116" s="31"/>
      <c r="B116" s="31"/>
      <c r="C116" s="31" t="s">
        <v>200</v>
      </c>
      <c r="D116" s="32"/>
      <c r="E116" s="33"/>
      <c r="F116" s="34">
        <f>Source!AM54</f>
        <v>21.71</v>
      </c>
      <c r="G116" s="35" t="str">
        <f>Source!DE54</f>
        <v/>
      </c>
      <c r="H116" s="33">
        <f>Source!AV55</f>
        <v>1</v>
      </c>
      <c r="I116" s="34">
        <f>Source!Q54</f>
        <v>100.47</v>
      </c>
      <c r="J116" s="33">
        <f>IF(Source!BB55&lt;&gt; 0, Source!BB55, 1)</f>
        <v>9</v>
      </c>
      <c r="K116" s="34">
        <f>Source!Q55</f>
        <v>904.23</v>
      </c>
    </row>
    <row r="117" spans="1:29" ht="14" x14ac:dyDescent="0.3">
      <c r="C117" s="21" t="s">
        <v>201</v>
      </c>
      <c r="H117" s="63">
        <f>I116+0-0-0</f>
        <v>100.47</v>
      </c>
      <c r="I117" s="63"/>
      <c r="J117" s="63">
        <f>K116+0-0-0</f>
        <v>904.23</v>
      </c>
      <c r="K117" s="63"/>
    </row>
    <row r="118" spans="1:29" ht="14" x14ac:dyDescent="0.3">
      <c r="C118" s="21" t="s">
        <v>202</v>
      </c>
      <c r="H118" s="62">
        <f>0+0</f>
        <v>0</v>
      </c>
      <c r="I118" s="62"/>
      <c r="J118" s="62">
        <f>0+0</f>
        <v>0</v>
      </c>
      <c r="K118" s="62"/>
    </row>
    <row r="119" spans="1:29" ht="14" x14ac:dyDescent="0.3">
      <c r="C119" s="21" t="s">
        <v>203</v>
      </c>
      <c r="H119" s="62">
        <f>I116+0</f>
        <v>100.47</v>
      </c>
      <c r="I119" s="62"/>
      <c r="J119" s="62">
        <f>K116+0</f>
        <v>904.23</v>
      </c>
      <c r="K119" s="62"/>
      <c r="O119" s="36">
        <f>I116+0</f>
        <v>100.47</v>
      </c>
      <c r="P119" s="36">
        <f>K116+0</f>
        <v>904.23</v>
      </c>
    </row>
    <row r="121" spans="1:29" ht="28" x14ac:dyDescent="0.35">
      <c r="A121" s="27">
        <v>15</v>
      </c>
      <c r="B121" s="27" t="str">
        <f>Source!F56</f>
        <v>15.1-1509-01</v>
      </c>
      <c r="C121" s="27" t="s">
        <v>78</v>
      </c>
      <c r="D121" s="28" t="str">
        <f>Source!H56</f>
        <v>1 Т</v>
      </c>
      <c r="E121" s="11">
        <f>Source!I56</f>
        <v>3.6110000000000002</v>
      </c>
      <c r="F121" s="30"/>
      <c r="G121" s="29"/>
      <c r="H121" s="11"/>
      <c r="I121" s="30"/>
      <c r="J121" s="11"/>
      <c r="K121" s="30"/>
      <c r="Q121">
        <f>Source!X56</f>
        <v>0</v>
      </c>
      <c r="R121">
        <f>Source!X57</f>
        <v>0</v>
      </c>
      <c r="S121">
        <f>Source!Y56</f>
        <v>0</v>
      </c>
      <c r="T121">
        <f>Source!Y57</f>
        <v>0</v>
      </c>
      <c r="U121">
        <f>ROUND((175/100)*ROUND(Source!R56, 2), 2)</f>
        <v>0</v>
      </c>
      <c r="V121">
        <f>ROUND((0/100)*ROUND(Source!R57, 2), 2)</f>
        <v>0</v>
      </c>
      <c r="AC121">
        <v>0</v>
      </c>
    </row>
    <row r="122" spans="1:29" ht="14.5" x14ac:dyDescent="0.35">
      <c r="A122" s="31"/>
      <c r="B122" s="31"/>
      <c r="C122" s="31" t="s">
        <v>200</v>
      </c>
      <c r="D122" s="32"/>
      <c r="E122" s="33"/>
      <c r="F122" s="34">
        <f>Source!AM56</f>
        <v>24.39</v>
      </c>
      <c r="G122" s="35" t="str">
        <f>Source!DE56</f>
        <v/>
      </c>
      <c r="H122" s="33">
        <f>Source!AV57</f>
        <v>1</v>
      </c>
      <c r="I122" s="34">
        <f>Source!Q56</f>
        <v>88.07</v>
      </c>
      <c r="J122" s="33">
        <f>IF(Source!BB57&lt;&gt; 0, Source!BB57, 1)</f>
        <v>10.25</v>
      </c>
      <c r="K122" s="34">
        <f>Source!Q57</f>
        <v>902.72</v>
      </c>
    </row>
    <row r="123" spans="1:29" ht="14" x14ac:dyDescent="0.3">
      <c r="C123" s="21" t="s">
        <v>201</v>
      </c>
      <c r="H123" s="63">
        <f>I122+0-0-0</f>
        <v>88.07</v>
      </c>
      <c r="I123" s="63"/>
      <c r="J123" s="63">
        <f>K122+0-0-0</f>
        <v>902.72</v>
      </c>
      <c r="K123" s="63"/>
    </row>
    <row r="124" spans="1:29" ht="14" x14ac:dyDescent="0.3">
      <c r="C124" s="21" t="s">
        <v>202</v>
      </c>
      <c r="H124" s="62">
        <f>0+0</f>
        <v>0</v>
      </c>
      <c r="I124" s="62"/>
      <c r="J124" s="62">
        <f>0+0</f>
        <v>0</v>
      </c>
      <c r="K124" s="62"/>
    </row>
    <row r="125" spans="1:29" ht="14" x14ac:dyDescent="0.3">
      <c r="C125" s="21" t="s">
        <v>203</v>
      </c>
      <c r="H125" s="62">
        <f>I122+0</f>
        <v>88.07</v>
      </c>
      <c r="I125" s="62"/>
      <c r="J125" s="62">
        <f>K122+0</f>
        <v>902.72</v>
      </c>
      <c r="K125" s="62"/>
      <c r="O125" s="36">
        <f>I122+0</f>
        <v>88.07</v>
      </c>
      <c r="P125" s="36">
        <f>K122+0</f>
        <v>902.72</v>
      </c>
    </row>
    <row r="127" spans="1:29" ht="28" x14ac:dyDescent="0.35">
      <c r="A127" s="27">
        <v>16</v>
      </c>
      <c r="B127" s="27" t="str">
        <f>Source!F58</f>
        <v>15.1-1506-02</v>
      </c>
      <c r="C127" s="27" t="s">
        <v>82</v>
      </c>
      <c r="D127" s="28" t="str">
        <f>Source!H58</f>
        <v>1 Т</v>
      </c>
      <c r="E127" s="11">
        <f>Source!I58</f>
        <v>1.6850000000000001</v>
      </c>
      <c r="F127" s="30"/>
      <c r="G127" s="29"/>
      <c r="H127" s="11"/>
      <c r="I127" s="30"/>
      <c r="J127" s="11"/>
      <c r="K127" s="30"/>
      <c r="Q127">
        <f>Source!X58</f>
        <v>0</v>
      </c>
      <c r="R127">
        <f>Source!X59</f>
        <v>0</v>
      </c>
      <c r="S127">
        <f>Source!Y58</f>
        <v>0</v>
      </c>
      <c r="T127">
        <f>Source!Y59</f>
        <v>0</v>
      </c>
      <c r="U127">
        <f>ROUND((175/100)*ROUND(Source!R58, 2), 2)</f>
        <v>0</v>
      </c>
      <c r="V127">
        <f>ROUND((0/100)*ROUND(Source!R59, 2), 2)</f>
        <v>0</v>
      </c>
      <c r="AC127">
        <v>0</v>
      </c>
    </row>
    <row r="128" spans="1:29" ht="14.5" x14ac:dyDescent="0.35">
      <c r="A128" s="31"/>
      <c r="B128" s="31"/>
      <c r="C128" s="31" t="s">
        <v>200</v>
      </c>
      <c r="D128" s="32"/>
      <c r="E128" s="33"/>
      <c r="F128" s="34">
        <f>Source!AM58</f>
        <v>16.260000000000002</v>
      </c>
      <c r="G128" s="35" t="str">
        <f>Source!DE58</f>
        <v/>
      </c>
      <c r="H128" s="33">
        <f>Source!AV59</f>
        <v>1</v>
      </c>
      <c r="I128" s="34">
        <f>Source!Q58</f>
        <v>27.4</v>
      </c>
      <c r="J128" s="33">
        <f>IF(Source!BB59&lt;&gt; 0, Source!BB59, 1)</f>
        <v>10.25</v>
      </c>
      <c r="K128" s="34">
        <f>Source!Q59</f>
        <v>280.85000000000002</v>
      </c>
    </row>
    <row r="129" spans="1:29" ht="14" x14ac:dyDescent="0.3">
      <c r="C129" s="21" t="s">
        <v>201</v>
      </c>
      <c r="H129" s="63">
        <f>I128+0-0-0</f>
        <v>27.4</v>
      </c>
      <c r="I129" s="63"/>
      <c r="J129" s="63">
        <f>K128+0-0-0</f>
        <v>280.85000000000002</v>
      </c>
      <c r="K129" s="63"/>
    </row>
    <row r="130" spans="1:29" ht="14" x14ac:dyDescent="0.3">
      <c r="C130" s="21" t="s">
        <v>202</v>
      </c>
      <c r="H130" s="62">
        <f>0+0</f>
        <v>0</v>
      </c>
      <c r="I130" s="62"/>
      <c r="J130" s="62">
        <f>0+0</f>
        <v>0</v>
      </c>
      <c r="K130" s="62"/>
    </row>
    <row r="131" spans="1:29" ht="14" x14ac:dyDescent="0.3">
      <c r="C131" s="21" t="s">
        <v>203</v>
      </c>
      <c r="H131" s="62">
        <f>I128+0</f>
        <v>27.4</v>
      </c>
      <c r="I131" s="62"/>
      <c r="J131" s="62">
        <f>K128+0</f>
        <v>280.85000000000002</v>
      </c>
      <c r="K131" s="62"/>
      <c r="O131" s="36">
        <f>I128+0</f>
        <v>27.4</v>
      </c>
      <c r="P131" s="36">
        <f>K128+0</f>
        <v>280.85000000000002</v>
      </c>
    </row>
    <row r="133" spans="1:29" ht="42" x14ac:dyDescent="0.35">
      <c r="A133" s="27">
        <v>17</v>
      </c>
      <c r="B133" s="27" t="str">
        <f>Source!F60</f>
        <v>15.1-1504-24</v>
      </c>
      <c r="C133" s="27" t="s">
        <v>86</v>
      </c>
      <c r="D133" s="28" t="str">
        <f>Source!H60</f>
        <v>1 Т</v>
      </c>
      <c r="E133" s="11">
        <f>Source!I60</f>
        <v>2.6</v>
      </c>
      <c r="F133" s="30"/>
      <c r="G133" s="29"/>
      <c r="H133" s="11"/>
      <c r="I133" s="30"/>
      <c r="J133" s="11"/>
      <c r="K133" s="30"/>
      <c r="Q133">
        <f>Source!X60</f>
        <v>0</v>
      </c>
      <c r="R133">
        <f>Source!X61</f>
        <v>0</v>
      </c>
      <c r="S133">
        <f>Source!Y60</f>
        <v>0</v>
      </c>
      <c r="T133">
        <f>Source!Y61</f>
        <v>0</v>
      </c>
      <c r="U133">
        <f>ROUND((175/100)*ROUND(Source!R60, 2), 2)</f>
        <v>0</v>
      </c>
      <c r="V133">
        <f>ROUND((0/100)*ROUND(Source!R61, 2), 2)</f>
        <v>0</v>
      </c>
      <c r="AC133">
        <v>0</v>
      </c>
    </row>
    <row r="134" spans="1:29" ht="14.5" x14ac:dyDescent="0.35">
      <c r="A134" s="31"/>
      <c r="B134" s="31"/>
      <c r="C134" s="31" t="s">
        <v>200</v>
      </c>
      <c r="D134" s="32"/>
      <c r="E134" s="33"/>
      <c r="F134" s="34">
        <f>Source!AM60</f>
        <v>27.64</v>
      </c>
      <c r="G134" s="35" t="str">
        <f>Source!DE60</f>
        <v/>
      </c>
      <c r="H134" s="33">
        <f>Source!AV61</f>
        <v>1</v>
      </c>
      <c r="I134" s="34">
        <f>Source!Q60</f>
        <v>71.86</v>
      </c>
      <c r="J134" s="33">
        <f>IF(Source!BB61&lt;&gt; 0, Source!BB61, 1)</f>
        <v>10.25</v>
      </c>
      <c r="K134" s="34">
        <f>Source!Q61</f>
        <v>736.57</v>
      </c>
    </row>
    <row r="135" spans="1:29" ht="14" x14ac:dyDescent="0.3">
      <c r="C135" s="21" t="s">
        <v>201</v>
      </c>
      <c r="H135" s="63">
        <f>I134+0-0-0</f>
        <v>71.86</v>
      </c>
      <c r="I135" s="63"/>
      <c r="J135" s="63">
        <f>K134+0-0-0</f>
        <v>736.57</v>
      </c>
      <c r="K135" s="63"/>
    </row>
    <row r="136" spans="1:29" ht="14" x14ac:dyDescent="0.3">
      <c r="C136" s="21" t="s">
        <v>202</v>
      </c>
      <c r="H136" s="62">
        <f>0+0</f>
        <v>0</v>
      </c>
      <c r="I136" s="62"/>
      <c r="J136" s="62">
        <f>0+0</f>
        <v>0</v>
      </c>
      <c r="K136" s="62"/>
    </row>
    <row r="137" spans="1:29" ht="14" x14ac:dyDescent="0.3">
      <c r="C137" s="21" t="s">
        <v>203</v>
      </c>
      <c r="H137" s="62">
        <f>I134+0</f>
        <v>71.86</v>
      </c>
      <c r="I137" s="62"/>
      <c r="J137" s="62">
        <f>K134+0</f>
        <v>736.57</v>
      </c>
      <c r="K137" s="62"/>
      <c r="O137" s="36">
        <f>I134+0</f>
        <v>71.86</v>
      </c>
      <c r="P137" s="36">
        <f>K134+0</f>
        <v>736.57</v>
      </c>
    </row>
    <row r="139" spans="1:29" ht="42" x14ac:dyDescent="0.35">
      <c r="A139" s="27">
        <v>18</v>
      </c>
      <c r="B139" s="27" t="str">
        <f>Source!F62</f>
        <v>15.1-1505-07</v>
      </c>
      <c r="C139" s="27" t="s">
        <v>90</v>
      </c>
      <c r="D139" s="28" t="str">
        <f>Source!H62</f>
        <v>1 Т</v>
      </c>
      <c r="E139" s="11">
        <f>Source!I62</f>
        <v>318.56400000000002</v>
      </c>
      <c r="F139" s="30"/>
      <c r="G139" s="29"/>
      <c r="H139" s="11"/>
      <c r="I139" s="30"/>
      <c r="J139" s="11"/>
      <c r="K139" s="30"/>
      <c r="Q139">
        <f>Source!X62</f>
        <v>0</v>
      </c>
      <c r="R139">
        <f>Source!X63</f>
        <v>0</v>
      </c>
      <c r="S139">
        <f>Source!Y62</f>
        <v>0</v>
      </c>
      <c r="T139">
        <f>Source!Y63</f>
        <v>0</v>
      </c>
      <c r="U139">
        <f>ROUND((175/100)*ROUND(Source!R62, 2), 2)</f>
        <v>0</v>
      </c>
      <c r="V139">
        <f>ROUND((0/100)*ROUND(Source!R63, 2), 2)</f>
        <v>0</v>
      </c>
      <c r="AC139">
        <v>0</v>
      </c>
    </row>
    <row r="140" spans="1:29" ht="14.5" x14ac:dyDescent="0.35">
      <c r="A140" s="31"/>
      <c r="B140" s="31"/>
      <c r="C140" s="31" t="s">
        <v>200</v>
      </c>
      <c r="D140" s="32"/>
      <c r="E140" s="33"/>
      <c r="F140" s="34">
        <f>Source!AM62</f>
        <v>47.51</v>
      </c>
      <c r="G140" s="35" t="str">
        <f>Source!DE62</f>
        <v/>
      </c>
      <c r="H140" s="33">
        <f>Source!AV63</f>
        <v>1</v>
      </c>
      <c r="I140" s="34">
        <f>Source!Q62</f>
        <v>15134.98</v>
      </c>
      <c r="J140" s="33">
        <f>IF(Source!BB63&lt;&gt; 0, Source!BB63, 1)</f>
        <v>8.19</v>
      </c>
      <c r="K140" s="34">
        <f>Source!Q63</f>
        <v>123955.49</v>
      </c>
    </row>
    <row r="141" spans="1:29" ht="14" x14ac:dyDescent="0.3">
      <c r="C141" s="21" t="s">
        <v>201</v>
      </c>
      <c r="H141" s="63">
        <f>I140+0-0-0</f>
        <v>15134.98</v>
      </c>
      <c r="I141" s="63"/>
      <c r="J141" s="63">
        <f>K140+0-0-0</f>
        <v>123955.49</v>
      </c>
      <c r="K141" s="63"/>
    </row>
    <row r="142" spans="1:29" ht="14" x14ac:dyDescent="0.3">
      <c r="C142" s="21" t="s">
        <v>202</v>
      </c>
      <c r="H142" s="62">
        <f>0+0</f>
        <v>0</v>
      </c>
      <c r="I142" s="62"/>
      <c r="J142" s="62">
        <f>0+0</f>
        <v>0</v>
      </c>
      <c r="K142" s="62"/>
    </row>
    <row r="143" spans="1:29" ht="14" x14ac:dyDescent="0.3">
      <c r="C143" s="21" t="s">
        <v>203</v>
      </c>
      <c r="H143" s="62">
        <f>I140+0</f>
        <v>15134.98</v>
      </c>
      <c r="I143" s="62"/>
      <c r="J143" s="62">
        <f>K140+0</f>
        <v>123955.49</v>
      </c>
      <c r="K143" s="62"/>
      <c r="O143" s="36">
        <f>I140+0</f>
        <v>15134.98</v>
      </c>
      <c r="P143" s="36">
        <f>K140+0</f>
        <v>123955.49</v>
      </c>
    </row>
    <row r="146" spans="1:43" ht="14" x14ac:dyDescent="0.3">
      <c r="A146" s="67" t="str">
        <f>CONCATENATE("Итого по разделу: ",IF(Source!G65&lt;&gt;"Новый раздел", Source!G65, ""))</f>
        <v>Итого по разделу: Размещение и содержание строительного мусора</v>
      </c>
      <c r="B146" s="67"/>
      <c r="C146" s="67"/>
      <c r="D146" s="67"/>
      <c r="E146" s="67"/>
      <c r="F146" s="67"/>
      <c r="G146" s="67"/>
      <c r="H146" s="62">
        <f>SUM(O36:O145)</f>
        <v>96538.040000000023</v>
      </c>
      <c r="I146" s="66"/>
      <c r="J146" s="62">
        <f>SUM(P36:P145)</f>
        <v>961161.91999999993</v>
      </c>
      <c r="K146" s="66"/>
    </row>
    <row r="147" spans="1:43" hidden="1" x14ac:dyDescent="0.25">
      <c r="A147" t="s">
        <v>204</v>
      </c>
      <c r="I147">
        <f>SUM(W36:W146)</f>
        <v>0</v>
      </c>
      <c r="J147">
        <f>SUM(X36:X146)</f>
        <v>0</v>
      </c>
    </row>
    <row r="148" spans="1:43" hidden="1" x14ac:dyDescent="0.25">
      <c r="A148" t="s">
        <v>205</v>
      </c>
      <c r="I148">
        <f>SUM(Y36:Y147)</f>
        <v>0</v>
      </c>
      <c r="J148">
        <f>SUM(Z36:Z147)</f>
        <v>0</v>
      </c>
    </row>
    <row r="150" spans="1:43" ht="14" x14ac:dyDescent="0.3">
      <c r="A150" s="67" t="str">
        <f>CONCATENATE("Итого по локальной смете: ",IF(Source!G95&lt;&gt;"Новая локальная смета", Source!G95, ""))</f>
        <v>Итого по локальной смете: Размещение и содержание строительного мусора</v>
      </c>
      <c r="B150" s="67"/>
      <c r="C150" s="67"/>
      <c r="D150" s="67"/>
      <c r="E150" s="67"/>
      <c r="F150" s="67"/>
      <c r="G150" s="67"/>
      <c r="H150" s="62">
        <f>SUM(O35:O149)</f>
        <v>96538.040000000023</v>
      </c>
      <c r="I150" s="66"/>
      <c r="J150" s="62">
        <f>SUM(P35:P149)</f>
        <v>961161.91999999993</v>
      </c>
      <c r="K150" s="66"/>
      <c r="AQ150" s="38" t="str">
        <f>CONCATENATE("Итого по локальной смете: ",IF(Source!G95&lt;&gt;"Новая локальная смета", Source!G95, ""))</f>
        <v>Итого по локальной смете: Размещение и содержание строительного мусора</v>
      </c>
    </row>
    <row r="151" spans="1:43" hidden="1" x14ac:dyDescent="0.25">
      <c r="A151" t="s">
        <v>204</v>
      </c>
      <c r="I151">
        <f>SUM(W35:W150)</f>
        <v>0</v>
      </c>
      <c r="J151">
        <f>SUM(X35:X150)</f>
        <v>0</v>
      </c>
    </row>
    <row r="152" spans="1:43" hidden="1" x14ac:dyDescent="0.25">
      <c r="A152" t="s">
        <v>205</v>
      </c>
      <c r="I152">
        <f>SUM(Y35:Y151)</f>
        <v>0</v>
      </c>
      <c r="J152">
        <f>SUM(Z35:Z151)</f>
        <v>0</v>
      </c>
    </row>
    <row r="155" spans="1:43" ht="14" x14ac:dyDescent="0.3">
      <c r="A155" s="65" t="s">
        <v>207</v>
      </c>
      <c r="B155" s="65"/>
      <c r="C155" s="39" t="str">
        <f>IF(Source!AC12&lt;&gt;"", Source!AC12," ")</f>
        <v xml:space="preserve"> </v>
      </c>
      <c r="D155" s="39"/>
      <c r="E155" s="39"/>
      <c r="F155" s="39"/>
      <c r="G155" s="39"/>
      <c r="H155" s="54" t="str">
        <f>IF(Source!AB12&lt;&gt;"", Source!AB12," ")</f>
        <v>Лукьянова А.Л.</v>
      </c>
      <c r="I155" s="54"/>
      <c r="J155" s="54"/>
      <c r="K155" s="54"/>
    </row>
    <row r="156" spans="1:43" ht="14" x14ac:dyDescent="0.3">
      <c r="A156" s="12"/>
      <c r="B156" s="12"/>
      <c r="C156" s="51" t="s">
        <v>208</v>
      </c>
      <c r="D156" s="51"/>
      <c r="E156" s="51"/>
      <c r="F156" s="51"/>
      <c r="G156" s="51"/>
      <c r="H156" s="12"/>
      <c r="I156" s="12"/>
      <c r="J156" s="12"/>
      <c r="K156" s="12"/>
    </row>
    <row r="157" spans="1:43" ht="14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43" ht="14" x14ac:dyDescent="0.3">
      <c r="A158" s="65" t="s">
        <v>209</v>
      </c>
      <c r="B158" s="65"/>
      <c r="C158" s="39" t="str">
        <f>IF(Source!AE12&lt;&gt;"", Source!AE12," ")</f>
        <v xml:space="preserve"> </v>
      </c>
      <c r="D158" s="39"/>
      <c r="E158" s="39"/>
      <c r="F158" s="39"/>
      <c r="G158" s="39"/>
      <c r="H158" s="54" t="str">
        <f>IF(Source!AD12&lt;&gt;"", Source!AD12," ")</f>
        <v xml:space="preserve"> </v>
      </c>
      <c r="I158" s="54"/>
      <c r="J158" s="54"/>
      <c r="K158" s="54"/>
    </row>
    <row r="159" spans="1:43" ht="14" x14ac:dyDescent="0.3">
      <c r="A159" s="12"/>
      <c r="B159" s="12"/>
      <c r="C159" s="51" t="s">
        <v>208</v>
      </c>
      <c r="D159" s="51"/>
      <c r="E159" s="51"/>
      <c r="F159" s="51"/>
      <c r="G159" s="51"/>
      <c r="H159" s="12"/>
      <c r="I159" s="12"/>
      <c r="J159" s="12"/>
      <c r="K159" s="12"/>
    </row>
  </sheetData>
  <mergeCells count="146">
    <mergeCell ref="A155:B155"/>
    <mergeCell ref="H155:K155"/>
    <mergeCell ref="C156:G156"/>
    <mergeCell ref="A158:B158"/>
    <mergeCell ref="H158:K158"/>
    <mergeCell ref="C159:G159"/>
    <mergeCell ref="H143:I143"/>
    <mergeCell ref="J143:K143"/>
    <mergeCell ref="J146:K146"/>
    <mergeCell ref="H146:I146"/>
    <mergeCell ref="A146:G146"/>
    <mergeCell ref="J150:K150"/>
    <mergeCell ref="H150:I150"/>
    <mergeCell ref="A150:G150"/>
    <mergeCell ref="H137:I137"/>
    <mergeCell ref="J137:K137"/>
    <mergeCell ref="H141:I141"/>
    <mergeCell ref="J141:K141"/>
    <mergeCell ref="H142:I142"/>
    <mergeCell ref="J142:K142"/>
    <mergeCell ref="H131:I131"/>
    <mergeCell ref="J131:K131"/>
    <mergeCell ref="H135:I135"/>
    <mergeCell ref="J135:K135"/>
    <mergeCell ref="H136:I136"/>
    <mergeCell ref="J136:K136"/>
    <mergeCell ref="H125:I125"/>
    <mergeCell ref="J125:K125"/>
    <mergeCell ref="H129:I129"/>
    <mergeCell ref="J129:K129"/>
    <mergeCell ref="H130:I130"/>
    <mergeCell ref="J130:K130"/>
    <mergeCell ref="H119:I119"/>
    <mergeCell ref="J119:K119"/>
    <mergeCell ref="H123:I123"/>
    <mergeCell ref="J123:K123"/>
    <mergeCell ref="H124:I124"/>
    <mergeCell ref="J124:K124"/>
    <mergeCell ref="H113:I113"/>
    <mergeCell ref="J113:K113"/>
    <mergeCell ref="H117:I117"/>
    <mergeCell ref="J117:K117"/>
    <mergeCell ref="H118:I118"/>
    <mergeCell ref="J118:K118"/>
    <mergeCell ref="H107:I107"/>
    <mergeCell ref="J107:K107"/>
    <mergeCell ref="H111:I111"/>
    <mergeCell ref="J111:K111"/>
    <mergeCell ref="H112:I112"/>
    <mergeCell ref="J112:K112"/>
    <mergeCell ref="H101:I101"/>
    <mergeCell ref="J101:K101"/>
    <mergeCell ref="H105:I105"/>
    <mergeCell ref="J105:K105"/>
    <mergeCell ref="H106:I106"/>
    <mergeCell ref="J106:K106"/>
    <mergeCell ref="H95:I95"/>
    <mergeCell ref="J95:K95"/>
    <mergeCell ref="H99:I99"/>
    <mergeCell ref="J99:K99"/>
    <mergeCell ref="H100:I100"/>
    <mergeCell ref="J100:K100"/>
    <mergeCell ref="H89:I89"/>
    <mergeCell ref="J89:K89"/>
    <mergeCell ref="H93:I93"/>
    <mergeCell ref="J93:K93"/>
    <mergeCell ref="H94:I94"/>
    <mergeCell ref="J94:K94"/>
    <mergeCell ref="H83:I83"/>
    <mergeCell ref="J83:K83"/>
    <mergeCell ref="H87:I87"/>
    <mergeCell ref="J87:K87"/>
    <mergeCell ref="H88:I88"/>
    <mergeCell ref="J88:K88"/>
    <mergeCell ref="H77:I77"/>
    <mergeCell ref="J77:K77"/>
    <mergeCell ref="H81:I81"/>
    <mergeCell ref="J81:K81"/>
    <mergeCell ref="H82:I82"/>
    <mergeCell ref="J82:K82"/>
    <mergeCell ref="H71:I71"/>
    <mergeCell ref="J71:K71"/>
    <mergeCell ref="H75:I75"/>
    <mergeCell ref="J75:K75"/>
    <mergeCell ref="H76:I76"/>
    <mergeCell ref="J76:K76"/>
    <mergeCell ref="H65:I65"/>
    <mergeCell ref="J65:K65"/>
    <mergeCell ref="H69:I69"/>
    <mergeCell ref="J69:K69"/>
    <mergeCell ref="H70:I70"/>
    <mergeCell ref="J70:K70"/>
    <mergeCell ref="H59:I59"/>
    <mergeCell ref="J59:K59"/>
    <mergeCell ref="H63:I63"/>
    <mergeCell ref="J63:K63"/>
    <mergeCell ref="H64:I64"/>
    <mergeCell ref="J64:K64"/>
    <mergeCell ref="H53:I53"/>
    <mergeCell ref="J53:K53"/>
    <mergeCell ref="H57:I57"/>
    <mergeCell ref="J57:K57"/>
    <mergeCell ref="H58:I58"/>
    <mergeCell ref="J58:K58"/>
    <mergeCell ref="H47:I47"/>
    <mergeCell ref="J47:K47"/>
    <mergeCell ref="H51:I51"/>
    <mergeCell ref="J51:K51"/>
    <mergeCell ref="H52:I52"/>
    <mergeCell ref="J52:K52"/>
    <mergeCell ref="H41:I41"/>
    <mergeCell ref="J41:K41"/>
    <mergeCell ref="H45:I45"/>
    <mergeCell ref="J45:K45"/>
    <mergeCell ref="H46:I46"/>
    <mergeCell ref="J46:K46"/>
    <mergeCell ref="A32:K32"/>
    <mergeCell ref="A36:K36"/>
    <mergeCell ref="H39:I39"/>
    <mergeCell ref="J39:K39"/>
    <mergeCell ref="H40:I40"/>
    <mergeCell ref="J40:K40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35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zoomScaleNormal="100" workbookViewId="0"/>
  </sheetViews>
  <sheetFormatPr defaultRowHeight="12.5" x14ac:dyDescent="0.25"/>
  <cols>
    <col min="1" max="2" width="6.7265625" customWidth="1"/>
    <col min="3" max="3" width="75.7265625" customWidth="1"/>
    <col min="4" max="8" width="15.7265625" customWidth="1"/>
    <col min="30" max="32" width="0" hidden="1" customWidth="1"/>
  </cols>
  <sheetData>
    <row r="1" spans="1:8" x14ac:dyDescent="0.25">
      <c r="A1" s="10" t="str">
        <f>Source!B1</f>
        <v>Smeta.RU  (495) 974-1589</v>
      </c>
    </row>
    <row r="2" spans="1:8" ht="14" x14ac:dyDescent="0.3">
      <c r="D2" s="12"/>
      <c r="E2" s="12"/>
    </row>
    <row r="3" spans="1:8" ht="14" x14ac:dyDescent="0.3">
      <c r="D3" s="12"/>
      <c r="E3" s="37" t="s">
        <v>170</v>
      </c>
    </row>
    <row r="4" spans="1:8" ht="14" x14ac:dyDescent="0.3">
      <c r="D4" s="37"/>
      <c r="E4" s="37"/>
    </row>
    <row r="5" spans="1:8" ht="14" x14ac:dyDescent="0.3">
      <c r="D5" s="69" t="s">
        <v>210</v>
      </c>
      <c r="E5" s="69"/>
    </row>
    <row r="6" spans="1:8" ht="14" x14ac:dyDescent="0.3">
      <c r="D6" s="40"/>
      <c r="E6" s="40"/>
    </row>
    <row r="7" spans="1:8" ht="14" x14ac:dyDescent="0.3">
      <c r="D7" s="69" t="s">
        <v>210</v>
      </c>
      <c r="E7" s="69"/>
    </row>
    <row r="8" spans="1:8" ht="14" x14ac:dyDescent="0.3">
      <c r="D8" s="40"/>
      <c r="E8" s="40"/>
    </row>
    <row r="9" spans="1:8" ht="14" x14ac:dyDescent="0.3">
      <c r="D9" s="37" t="s">
        <v>211</v>
      </c>
      <c r="E9" s="12"/>
    </row>
    <row r="10" spans="1:8" ht="14" x14ac:dyDescent="0.3">
      <c r="D10" s="12"/>
      <c r="E10" s="12"/>
    </row>
    <row r="12" spans="1:8" ht="15.5" x14ac:dyDescent="0.25">
      <c r="B12" s="70" t="str">
        <f>CONCATENATE("Ведомость объемов работ ", IF(Source!AN15&lt;&gt;"", Source!AN15," "))</f>
        <v xml:space="preserve">Ведомость объемов работ  </v>
      </c>
      <c r="C12" s="70"/>
      <c r="D12" s="70"/>
      <c r="E12" s="70"/>
    </row>
    <row r="13" spans="1:8" ht="14" x14ac:dyDescent="0.25">
      <c r="B13" s="71" t="str">
        <f>CONCATENATE(Source!F12, " ", Source!G12)</f>
        <v>09-01-03 09-01-03 Размещение и содержание строительного мусора</v>
      </c>
      <c r="C13" s="71"/>
      <c r="D13" s="71"/>
      <c r="E13" s="71"/>
    </row>
    <row r="14" spans="1:8" hidden="1" x14ac:dyDescent="0.25"/>
    <row r="16" spans="1:8" ht="70" x14ac:dyDescent="0.25">
      <c r="A16" s="24" t="s">
        <v>186</v>
      </c>
      <c r="B16" s="24" t="s">
        <v>212</v>
      </c>
      <c r="C16" s="24" t="s">
        <v>188</v>
      </c>
      <c r="D16" s="24" t="s">
        <v>213</v>
      </c>
      <c r="E16" s="24" t="s">
        <v>214</v>
      </c>
      <c r="F16" s="24" t="s">
        <v>215</v>
      </c>
      <c r="G16" s="24" t="s">
        <v>216</v>
      </c>
      <c r="H16" s="24" t="s">
        <v>217</v>
      </c>
    </row>
    <row r="17" spans="1:8" ht="14" x14ac:dyDescent="0.25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8" ht="16.5" x14ac:dyDescent="0.35">
      <c r="A18" s="68" t="str">
        <f>CONCATENATE("Локальная смета: ", Source!G20)</f>
        <v>Локальная смета: Размещение и содержание строительного мусора</v>
      </c>
      <c r="B18" s="68"/>
      <c r="C18" s="68"/>
      <c r="D18" s="68"/>
      <c r="E18" s="68"/>
      <c r="F18" s="68"/>
      <c r="G18" s="68"/>
      <c r="H18" s="68"/>
    </row>
    <row r="19" spans="1:8" ht="16.5" x14ac:dyDescent="0.35">
      <c r="A19" s="68" t="str">
        <f>CONCATENATE("Раздел: ", Source!G24)</f>
        <v>Раздел: Размещение и содержание строительного мусора</v>
      </c>
      <c r="B19" s="68"/>
      <c r="C19" s="68"/>
      <c r="D19" s="68"/>
      <c r="E19" s="68"/>
      <c r="F19" s="68"/>
      <c r="G19" s="68"/>
      <c r="H19" s="68"/>
    </row>
    <row r="20" spans="1:8" ht="14" x14ac:dyDescent="0.25">
      <c r="A20" s="24">
        <v>1</v>
      </c>
      <c r="B20" s="24" t="str">
        <f>Source!E28</f>
        <v>1</v>
      </c>
      <c r="C20" s="43" t="str">
        <f>Source!G28</f>
        <v>Отходы (мусор) от строительных и ремонтных работ малоопасные</v>
      </c>
      <c r="D20" s="24" t="s">
        <v>21</v>
      </c>
      <c r="E20" s="44">
        <f>Source!I28</f>
        <v>74.972999999999999</v>
      </c>
      <c r="F20" s="24" t="str">
        <f>Source!U24</f>
        <v/>
      </c>
      <c r="G20" s="24">
        <f>Source!I28</f>
        <v>74.972999999999999</v>
      </c>
      <c r="H20" s="43"/>
    </row>
    <row r="21" spans="1:8" ht="28" x14ac:dyDescent="0.25">
      <c r="A21" s="24">
        <v>2</v>
      </c>
      <c r="B21" s="24" t="str">
        <f>Source!E30</f>
        <v>2</v>
      </c>
      <c r="C21" s="43" t="str">
        <f>Source!G30</f>
        <v>Отходы затвердевшего строительного раствора в кусковой форме, малоопасные</v>
      </c>
      <c r="D21" s="24" t="s">
        <v>21</v>
      </c>
      <c r="E21" s="44">
        <f>Source!I30</f>
        <v>1545.61</v>
      </c>
      <c r="F21" s="24" t="str">
        <f>Source!U24</f>
        <v/>
      </c>
      <c r="G21" s="24">
        <f>Source!I30</f>
        <v>1545.61</v>
      </c>
      <c r="H21" s="43"/>
    </row>
    <row r="22" spans="1:8" ht="14" x14ac:dyDescent="0.25">
      <c r="A22" s="24">
        <v>3</v>
      </c>
      <c r="B22" s="24" t="str">
        <f>Source!E32</f>
        <v>3</v>
      </c>
      <c r="C22" s="43" t="str">
        <f>Source!G32</f>
        <v>Отходы штукатурки затвердевшей малоопасные</v>
      </c>
      <c r="D22" s="24" t="s">
        <v>21</v>
      </c>
      <c r="E22" s="44">
        <f>Source!I32</f>
        <v>195.77</v>
      </c>
      <c r="F22" s="24" t="str">
        <f>Source!U24</f>
        <v/>
      </c>
      <c r="G22" s="24">
        <f>Source!I32</f>
        <v>195.77</v>
      </c>
      <c r="H22" s="43"/>
    </row>
    <row r="23" spans="1:8" ht="28" x14ac:dyDescent="0.25">
      <c r="A23" s="24">
        <v>4</v>
      </c>
      <c r="B23" s="24" t="str">
        <f>Source!E34</f>
        <v>4</v>
      </c>
      <c r="C23" s="43" t="str">
        <f>Source!G34</f>
        <v>Отходы прочих теплоизоляционных материалов на основе минерального волокна незагрязненные, практически неопасные</v>
      </c>
      <c r="D23" s="24" t="s">
        <v>21</v>
      </c>
      <c r="E23" s="44">
        <f>Source!I34</f>
        <v>4.2480000000000002</v>
      </c>
      <c r="F23" s="24" t="str">
        <f>Source!U24</f>
        <v/>
      </c>
      <c r="G23" s="24">
        <f>Source!I34</f>
        <v>4.2480000000000002</v>
      </c>
      <c r="H23" s="43"/>
    </row>
    <row r="24" spans="1:8" ht="14" x14ac:dyDescent="0.25">
      <c r="A24" s="24">
        <v>5</v>
      </c>
      <c r="B24" s="24" t="str">
        <f>Source!E36</f>
        <v>5</v>
      </c>
      <c r="C24" s="43" t="str">
        <f>Source!G36</f>
        <v>Обрезь и лом гипсокартонных листов малоопасные</v>
      </c>
      <c r="D24" s="24" t="s">
        <v>21</v>
      </c>
      <c r="E24" s="44">
        <f>Source!I36</f>
        <v>3.5000000000000003E-2</v>
      </c>
      <c r="F24" s="24" t="str">
        <f>Source!U24</f>
        <v/>
      </c>
      <c r="G24" s="24">
        <f>Source!I36</f>
        <v>3.5000000000000003E-2</v>
      </c>
      <c r="H24" s="43"/>
    </row>
    <row r="25" spans="1:8" ht="14" x14ac:dyDescent="0.25">
      <c r="A25" s="24">
        <v>6</v>
      </c>
      <c r="B25" s="24" t="str">
        <f>Source!E38</f>
        <v>6</v>
      </c>
      <c r="C25" s="43" t="str">
        <f>Source!G38</f>
        <v>Отходы линолеума незагрязненные малоопасные</v>
      </c>
      <c r="D25" s="24" t="s">
        <v>21</v>
      </c>
      <c r="E25" s="44">
        <f>Source!I38</f>
        <v>3.4870000000000001</v>
      </c>
      <c r="F25" s="24" t="str">
        <f>Source!U24</f>
        <v/>
      </c>
      <c r="G25" s="24">
        <f>Source!I38</f>
        <v>3.4870000000000001</v>
      </c>
      <c r="H25" s="43"/>
    </row>
    <row r="26" spans="1:8" ht="14" x14ac:dyDescent="0.25">
      <c r="A26" s="24">
        <v>7</v>
      </c>
      <c r="B26" s="24" t="str">
        <f>Source!E40</f>
        <v>7</v>
      </c>
      <c r="C26" s="43" t="str">
        <f>Source!G40</f>
        <v>Отходы фанеры и изделий из нее незагрязненные</v>
      </c>
      <c r="D26" s="24" t="s">
        <v>21</v>
      </c>
      <c r="E26" s="44">
        <f>Source!I40</f>
        <v>2.7E-2</v>
      </c>
      <c r="F26" s="24" t="str">
        <f>Source!U24</f>
        <v/>
      </c>
      <c r="G26" s="24">
        <f>Source!I40</f>
        <v>2.7E-2</v>
      </c>
      <c r="H26" s="43"/>
    </row>
    <row r="27" spans="1:8" ht="28" x14ac:dyDescent="0.25">
      <c r="A27" s="24">
        <v>8</v>
      </c>
      <c r="B27" s="24" t="str">
        <f>Source!E42</f>
        <v>8</v>
      </c>
      <c r="C27" s="43" t="str">
        <f>Source!G42</f>
        <v>Отходы (мусор) от строительных и ремонтных работ малоопасные / светильники со светодиодными элементами в сборе</v>
      </c>
      <c r="D27" s="24" t="s">
        <v>21</v>
      </c>
      <c r="E27" s="44">
        <f>Source!I42</f>
        <v>0.65300000000000002</v>
      </c>
      <c r="F27" s="24" t="str">
        <f>Source!U24</f>
        <v/>
      </c>
      <c r="G27" s="24">
        <f>Source!I42</f>
        <v>0.65300000000000002</v>
      </c>
      <c r="H27" s="43"/>
    </row>
    <row r="28" spans="1:8" ht="28" x14ac:dyDescent="0.25">
      <c r="A28" s="24">
        <v>9</v>
      </c>
      <c r="B28" s="24" t="str">
        <f>Source!E44</f>
        <v>9</v>
      </c>
      <c r="C28" s="43" t="str">
        <f>Source!G44</f>
        <v>Смесь незагрязненных строительных материалов на основе полимеров, содержащая поливинилхлорид малоопасная</v>
      </c>
      <c r="D28" s="24" t="s">
        <v>21</v>
      </c>
      <c r="E28" s="44">
        <f>Source!I44</f>
        <v>3.8730000000000002</v>
      </c>
      <c r="F28" s="24" t="str">
        <f>Source!U24</f>
        <v/>
      </c>
      <c r="G28" s="24">
        <f>Source!I44</f>
        <v>3.8730000000000002</v>
      </c>
      <c r="H28" s="43"/>
    </row>
    <row r="29" spans="1:8" ht="28" x14ac:dyDescent="0.25">
      <c r="A29" s="24">
        <v>10</v>
      </c>
      <c r="B29" s="24" t="str">
        <f>Source!E46</f>
        <v>10</v>
      </c>
      <c r="C29" s="43" t="str">
        <f>Source!G46</f>
        <v>Лом бетонных изделий, отходы бетона в кусковой форме, практически неопасные</v>
      </c>
      <c r="D29" s="24" t="s">
        <v>21</v>
      </c>
      <c r="E29" s="44">
        <f>Source!I46</f>
        <v>666.67899999999997</v>
      </c>
      <c r="F29" s="24" t="str">
        <f>Source!U24</f>
        <v/>
      </c>
      <c r="G29" s="24">
        <f>Source!I46</f>
        <v>666.67899999999997</v>
      </c>
      <c r="H29" s="43"/>
    </row>
    <row r="30" spans="1:8" ht="14" x14ac:dyDescent="0.25">
      <c r="A30" s="24">
        <v>11</v>
      </c>
      <c r="B30" s="24" t="str">
        <f>Source!E48</f>
        <v>11</v>
      </c>
      <c r="C30" s="43" t="str">
        <f>Source!G48</f>
        <v>Лом черепицы, керамики незагрязненный практически неопасный</v>
      </c>
      <c r="D30" s="24" t="s">
        <v>21</v>
      </c>
      <c r="E30" s="44">
        <f>Source!I48</f>
        <v>146.251</v>
      </c>
      <c r="F30" s="24" t="str">
        <f>Source!U24</f>
        <v/>
      </c>
      <c r="G30" s="24">
        <f>Source!I48</f>
        <v>146.251</v>
      </c>
      <c r="H30" s="43"/>
    </row>
    <row r="31" spans="1:8" ht="14" x14ac:dyDescent="0.25">
      <c r="A31" s="24">
        <v>12</v>
      </c>
      <c r="B31" s="24" t="str">
        <f>Source!E50</f>
        <v>12</v>
      </c>
      <c r="C31" s="43" t="str">
        <f>Source!G50</f>
        <v>Лом строительного кирпича незагрязненный практически неопасный</v>
      </c>
      <c r="D31" s="24" t="s">
        <v>21</v>
      </c>
      <c r="E31" s="44">
        <f>Source!I50</f>
        <v>0.309</v>
      </c>
      <c r="F31" s="24" t="str">
        <f>Source!U24</f>
        <v/>
      </c>
      <c r="G31" s="24">
        <f>Source!I50</f>
        <v>0.309</v>
      </c>
      <c r="H31" s="43"/>
    </row>
    <row r="32" spans="1:8" ht="14" x14ac:dyDescent="0.25">
      <c r="A32" s="24">
        <v>13</v>
      </c>
      <c r="B32" s="24" t="str">
        <f>Source!E52</f>
        <v>13</v>
      </c>
      <c r="C32" s="43" t="str">
        <f>Source!G52</f>
        <v>Лом кирпичной кладки от сноса и разборки зданий практически неопасный</v>
      </c>
      <c r="D32" s="24" t="s">
        <v>21</v>
      </c>
      <c r="E32" s="44">
        <f>Source!I52</f>
        <v>206.09100000000001</v>
      </c>
      <c r="F32" s="24" t="str">
        <f>Source!U24</f>
        <v/>
      </c>
      <c r="G32" s="24">
        <f>Source!I52</f>
        <v>206.09100000000001</v>
      </c>
      <c r="H32" s="43"/>
    </row>
    <row r="33" spans="1:8" ht="28" x14ac:dyDescent="0.25">
      <c r="A33" s="24">
        <v>14</v>
      </c>
      <c r="B33" s="24" t="str">
        <f>Source!E54</f>
        <v>14</v>
      </c>
      <c r="C33" s="43" t="str">
        <f>Source!G54</f>
        <v>Лом бортовых камней, брусчатки, булыжных камней и прочие отходы изделий из природного камня, практически неопасный</v>
      </c>
      <c r="D33" s="24" t="s">
        <v>21</v>
      </c>
      <c r="E33" s="44">
        <f>Source!I54</f>
        <v>4.6280000000000001</v>
      </c>
      <c r="F33" s="24" t="str">
        <f>Source!U24</f>
        <v/>
      </c>
      <c r="G33" s="24">
        <f>Source!I54</f>
        <v>4.6280000000000001</v>
      </c>
      <c r="H33" s="43"/>
    </row>
    <row r="34" spans="1:8" ht="14" x14ac:dyDescent="0.25">
      <c r="A34" s="24">
        <v>15</v>
      </c>
      <c r="B34" s="24" t="str">
        <f>Source!E56</f>
        <v>15</v>
      </c>
      <c r="C34" s="43" t="str">
        <f>Source!G56</f>
        <v>Отходы изолированных проводов и кабелей</v>
      </c>
      <c r="D34" s="24" t="s">
        <v>21</v>
      </c>
      <c r="E34" s="44">
        <f>Source!I56</f>
        <v>3.6110000000000002</v>
      </c>
      <c r="F34" s="24" t="str">
        <f>Source!U24</f>
        <v/>
      </c>
      <c r="G34" s="24">
        <f>Source!I56</f>
        <v>3.6110000000000002</v>
      </c>
      <c r="H34" s="43"/>
    </row>
    <row r="35" spans="1:8" ht="14" x14ac:dyDescent="0.25">
      <c r="A35" s="24">
        <v>16</v>
      </c>
      <c r="B35" s="24" t="str">
        <f>Source!E58</f>
        <v>16</v>
      </c>
      <c r="C35" s="43" t="str">
        <f>Source!G58</f>
        <v>Лом и отходы изделий из полипропилена незагрязненные (кроме тары)</v>
      </c>
      <c r="D35" s="24" t="s">
        <v>21</v>
      </c>
      <c r="E35" s="44">
        <f>Source!I58</f>
        <v>1.6850000000000001</v>
      </c>
      <c r="F35" s="24" t="str">
        <f>Source!U24</f>
        <v/>
      </c>
      <c r="G35" s="24">
        <f>Source!I58</f>
        <v>1.6850000000000001</v>
      </c>
      <c r="H35" s="43"/>
    </row>
    <row r="36" spans="1:8" ht="28" x14ac:dyDescent="0.25">
      <c r="A36" s="24">
        <v>17</v>
      </c>
      <c r="B36" s="24" t="str">
        <f>Source!E60</f>
        <v>17</v>
      </c>
      <c r="C36" s="43" t="str">
        <f>Source!G60</f>
        <v>Прочая продукция из натуральной древесины, утратившая потребительские свойства, незагрязненная</v>
      </c>
      <c r="D36" s="24" t="s">
        <v>21</v>
      </c>
      <c r="E36" s="44">
        <f>Source!I60</f>
        <v>2.6</v>
      </c>
      <c r="F36" s="24" t="str">
        <f>Source!U24</f>
        <v/>
      </c>
      <c r="G36" s="24">
        <f>Source!I60</f>
        <v>2.6</v>
      </c>
      <c r="H36" s="43"/>
    </row>
    <row r="37" spans="1:8" ht="28" x14ac:dyDescent="0.25">
      <c r="A37" s="23">
        <v>18</v>
      </c>
      <c r="B37" s="23" t="str">
        <f>Source!E62</f>
        <v>18</v>
      </c>
      <c r="C37" s="41" t="str">
        <f>Source!G62</f>
        <v>Керамзит, утративший потребительские свойства, незагрязненный, практически неопасный</v>
      </c>
      <c r="D37" s="23" t="s">
        <v>21</v>
      </c>
      <c r="E37" s="42">
        <f>Source!I62</f>
        <v>318.56400000000002</v>
      </c>
      <c r="F37" s="23" t="str">
        <f>Source!U24</f>
        <v/>
      </c>
      <c r="G37" s="23">
        <f>Source!I62</f>
        <v>318.56400000000002</v>
      </c>
      <c r="H37" s="41"/>
    </row>
    <row r="40" spans="1:8" ht="14" x14ac:dyDescent="0.3">
      <c r="C40" s="45" t="s">
        <v>218</v>
      </c>
      <c r="D40" s="45" t="str">
        <f>IF(Source!X12&lt;&gt;"", Source!X12," ")</f>
        <v xml:space="preserve"> </v>
      </c>
      <c r="E40" s="46"/>
    </row>
    <row r="41" spans="1:8" ht="14" x14ac:dyDescent="0.3">
      <c r="C41" s="12"/>
      <c r="D41" s="46"/>
      <c r="E41" s="46"/>
    </row>
    <row r="42" spans="1:8" ht="14" x14ac:dyDescent="0.3">
      <c r="C42" s="47" t="s">
        <v>219</v>
      </c>
      <c r="D42" s="47" t="str">
        <f>IF(Source!AB12&lt;&gt;"", Source!AB12," ")</f>
        <v>Лукьянова А.Л.</v>
      </c>
      <c r="E42" s="46"/>
    </row>
  </sheetData>
  <mergeCells count="6">
    <mergeCell ref="A19:H19"/>
    <mergeCell ref="D5:E5"/>
    <mergeCell ref="D7:E7"/>
    <mergeCell ref="B12:E12"/>
    <mergeCell ref="B13:E13"/>
    <mergeCell ref="A18:H1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73"/>
  <sheetViews>
    <sheetView workbookViewId="0">
      <selection activeCell="A169" sqref="A169:AX169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165</v>
      </c>
      <c r="C12" s="1">
        <v>0</v>
      </c>
      <c r="D12" s="1">
        <f>ROW(A125)</f>
        <v>125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3">
        <v>52</v>
      </c>
      <c r="B18" s="3">
        <f t="shared" ref="B18:G18" si="0">B125</f>
        <v>165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09-01-03</v>
      </c>
      <c r="G18" s="3" t="str">
        <f t="shared" si="0"/>
        <v>09-01-03 Размещение и содержание строительного мусора</v>
      </c>
      <c r="H18" s="3"/>
      <c r="I18" s="3"/>
      <c r="J18" s="3"/>
      <c r="K18" s="3"/>
      <c r="L18" s="3"/>
      <c r="M18" s="3"/>
      <c r="N18" s="3"/>
      <c r="O18" s="3">
        <f t="shared" ref="O18:AT18" si="1">O125</f>
        <v>96538.04</v>
      </c>
      <c r="P18" s="3">
        <f t="shared" si="1"/>
        <v>0</v>
      </c>
      <c r="Q18" s="3">
        <f t="shared" si="1"/>
        <v>96538.04</v>
      </c>
      <c r="R18" s="3">
        <f t="shared" si="1"/>
        <v>0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96538.04</v>
      </c>
      <c r="AS18" s="3">
        <f t="shared" si="1"/>
        <v>0</v>
      </c>
      <c r="AT18" s="3">
        <f t="shared" si="1"/>
        <v>0</v>
      </c>
      <c r="AU18" s="3">
        <f t="shared" ref="AU18:BZ18" si="2">AU125</f>
        <v>96538.04</v>
      </c>
      <c r="AV18" s="3">
        <f t="shared" si="2"/>
        <v>0</v>
      </c>
      <c r="AW18" s="3">
        <f t="shared" si="2"/>
        <v>0</v>
      </c>
      <c r="AX18" s="3">
        <f t="shared" si="2"/>
        <v>0</v>
      </c>
      <c r="AY18" s="3">
        <f t="shared" si="2"/>
        <v>0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CA125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DG125</f>
        <v>961161.92</v>
      </c>
      <c r="DH18" s="4">
        <f t="shared" si="4"/>
        <v>0</v>
      </c>
      <c r="DI18" s="4">
        <f t="shared" si="4"/>
        <v>961161.92</v>
      </c>
      <c r="DJ18" s="4">
        <f t="shared" si="4"/>
        <v>0</v>
      </c>
      <c r="DK18" s="4">
        <f t="shared" si="4"/>
        <v>0</v>
      </c>
      <c r="DL18" s="4">
        <f t="shared" si="4"/>
        <v>0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0</v>
      </c>
      <c r="DQ18" s="4">
        <f t="shared" si="4"/>
        <v>0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961161.92</v>
      </c>
      <c r="EK18" s="4">
        <f t="shared" si="4"/>
        <v>0</v>
      </c>
      <c r="EL18" s="4">
        <f t="shared" si="4"/>
        <v>0</v>
      </c>
      <c r="EM18" s="4">
        <f t="shared" ref="EM18:FR18" si="5">EM125</f>
        <v>961161.92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FS125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ROW(A95)</f>
        <v>95</v>
      </c>
      <c r="E20" s="1"/>
      <c r="F20" s="1" t="s">
        <v>3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3">
        <v>52</v>
      </c>
      <c r="B22" s="3">
        <f t="shared" ref="B22:G22" si="7">B95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/>
      </c>
      <c r="G22" s="3" t="str">
        <f t="shared" si="7"/>
        <v>Размещение и содержание строительного мусора</v>
      </c>
      <c r="H22" s="3"/>
      <c r="I22" s="3"/>
      <c r="J22" s="3"/>
      <c r="K22" s="3"/>
      <c r="L22" s="3"/>
      <c r="M22" s="3"/>
      <c r="N22" s="3"/>
      <c r="O22" s="3">
        <f t="shared" ref="O22:AT22" si="8">O95</f>
        <v>96538.04</v>
      </c>
      <c r="P22" s="3">
        <f t="shared" si="8"/>
        <v>0</v>
      </c>
      <c r="Q22" s="3">
        <f t="shared" si="8"/>
        <v>96538.04</v>
      </c>
      <c r="R22" s="3">
        <f t="shared" si="8"/>
        <v>0</v>
      </c>
      <c r="S22" s="3">
        <f t="shared" si="8"/>
        <v>0</v>
      </c>
      <c r="T22" s="3">
        <f t="shared" si="8"/>
        <v>0</v>
      </c>
      <c r="U22" s="3">
        <f t="shared" si="8"/>
        <v>0</v>
      </c>
      <c r="V22" s="3">
        <f t="shared" si="8"/>
        <v>0</v>
      </c>
      <c r="W22" s="3">
        <f t="shared" si="8"/>
        <v>0</v>
      </c>
      <c r="X22" s="3">
        <f t="shared" si="8"/>
        <v>0</v>
      </c>
      <c r="Y22" s="3">
        <f t="shared" si="8"/>
        <v>0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96538.04</v>
      </c>
      <c r="AS22" s="3">
        <f t="shared" si="8"/>
        <v>0</v>
      </c>
      <c r="AT22" s="3">
        <f t="shared" si="8"/>
        <v>0</v>
      </c>
      <c r="AU22" s="3">
        <f t="shared" ref="AU22:BZ22" si="9">AU95</f>
        <v>96538.04</v>
      </c>
      <c r="AV22" s="3">
        <f t="shared" si="9"/>
        <v>0</v>
      </c>
      <c r="AW22" s="3">
        <f t="shared" si="9"/>
        <v>0</v>
      </c>
      <c r="AX22" s="3">
        <f t="shared" si="9"/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CA95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DG95</f>
        <v>961161.92</v>
      </c>
      <c r="DH22" s="4">
        <f t="shared" si="11"/>
        <v>0</v>
      </c>
      <c r="DI22" s="4">
        <f t="shared" si="11"/>
        <v>961161.92</v>
      </c>
      <c r="DJ22" s="4">
        <f t="shared" si="11"/>
        <v>0</v>
      </c>
      <c r="DK22" s="4">
        <f t="shared" si="11"/>
        <v>0</v>
      </c>
      <c r="DL22" s="4">
        <f t="shared" si="11"/>
        <v>0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0</v>
      </c>
      <c r="DQ22" s="4">
        <f t="shared" si="11"/>
        <v>0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961161.92</v>
      </c>
      <c r="EK22" s="4">
        <f t="shared" si="11"/>
        <v>0</v>
      </c>
      <c r="EL22" s="4">
        <f t="shared" si="11"/>
        <v>0</v>
      </c>
      <c r="EM22" s="4">
        <f t="shared" ref="EM22:FR22" si="12">EM95</f>
        <v>961161.92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FS95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ROW(A65)</f>
        <v>65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3">
        <v>52</v>
      </c>
      <c r="B26" s="3">
        <f t="shared" ref="B26:G26" si="14">B65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Размещение и содержание строительного мусора</v>
      </c>
      <c r="H26" s="3"/>
      <c r="I26" s="3"/>
      <c r="J26" s="3"/>
      <c r="K26" s="3"/>
      <c r="L26" s="3"/>
      <c r="M26" s="3"/>
      <c r="N26" s="3"/>
      <c r="O26" s="3">
        <f t="shared" ref="O26:AT26" si="15">O65</f>
        <v>96538.04</v>
      </c>
      <c r="P26" s="3">
        <f t="shared" si="15"/>
        <v>0</v>
      </c>
      <c r="Q26" s="3">
        <f t="shared" si="15"/>
        <v>96538.04</v>
      </c>
      <c r="R26" s="3">
        <f t="shared" si="15"/>
        <v>0</v>
      </c>
      <c r="S26" s="3">
        <f t="shared" si="15"/>
        <v>0</v>
      </c>
      <c r="T26" s="3">
        <f t="shared" si="15"/>
        <v>0</v>
      </c>
      <c r="U26" s="3">
        <f t="shared" si="15"/>
        <v>0</v>
      </c>
      <c r="V26" s="3">
        <f t="shared" si="15"/>
        <v>0</v>
      </c>
      <c r="W26" s="3">
        <f t="shared" si="15"/>
        <v>0</v>
      </c>
      <c r="X26" s="3">
        <f t="shared" si="15"/>
        <v>0</v>
      </c>
      <c r="Y26" s="3">
        <f t="shared" si="15"/>
        <v>0</v>
      </c>
      <c r="Z26" s="3">
        <f t="shared" si="15"/>
        <v>0</v>
      </c>
      <c r="AA26" s="3">
        <f t="shared" si="15"/>
        <v>0</v>
      </c>
      <c r="AB26" s="3">
        <f t="shared" si="15"/>
        <v>96538.04</v>
      </c>
      <c r="AC26" s="3">
        <f t="shared" si="15"/>
        <v>0</v>
      </c>
      <c r="AD26" s="3">
        <f t="shared" si="15"/>
        <v>96538.04</v>
      </c>
      <c r="AE26" s="3">
        <f t="shared" si="15"/>
        <v>0</v>
      </c>
      <c r="AF26" s="3">
        <f t="shared" si="15"/>
        <v>0</v>
      </c>
      <c r="AG26" s="3">
        <f t="shared" si="15"/>
        <v>0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0</v>
      </c>
      <c r="AL26" s="3">
        <f t="shared" si="15"/>
        <v>0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96538.04</v>
      </c>
      <c r="AS26" s="3">
        <f t="shared" si="15"/>
        <v>0</v>
      </c>
      <c r="AT26" s="3">
        <f t="shared" si="15"/>
        <v>0</v>
      </c>
      <c r="AU26" s="3">
        <f t="shared" ref="AU26:BZ26" si="16">AU65</f>
        <v>96538.04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CA65</f>
        <v>96538.04</v>
      </c>
      <c r="CB26" s="3">
        <f t="shared" si="17"/>
        <v>0</v>
      </c>
      <c r="CC26" s="3">
        <f t="shared" si="17"/>
        <v>0</v>
      </c>
      <c r="CD26" s="3">
        <f t="shared" si="17"/>
        <v>96538.04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DG65</f>
        <v>961161.92</v>
      </c>
      <c r="DH26" s="4">
        <f t="shared" si="18"/>
        <v>0</v>
      </c>
      <c r="DI26" s="4">
        <f t="shared" si="18"/>
        <v>961161.92</v>
      </c>
      <c r="DJ26" s="4">
        <f t="shared" si="18"/>
        <v>0</v>
      </c>
      <c r="DK26" s="4">
        <f t="shared" si="18"/>
        <v>0</v>
      </c>
      <c r="DL26" s="4">
        <f t="shared" si="18"/>
        <v>0</v>
      </c>
      <c r="DM26" s="4">
        <f t="shared" si="18"/>
        <v>0</v>
      </c>
      <c r="DN26" s="4">
        <f t="shared" si="18"/>
        <v>0</v>
      </c>
      <c r="DO26" s="4">
        <f t="shared" si="18"/>
        <v>0</v>
      </c>
      <c r="DP26" s="4">
        <f t="shared" si="18"/>
        <v>0</v>
      </c>
      <c r="DQ26" s="4">
        <f t="shared" si="18"/>
        <v>0</v>
      </c>
      <c r="DR26" s="4">
        <f t="shared" si="18"/>
        <v>0</v>
      </c>
      <c r="DS26" s="4">
        <f t="shared" si="18"/>
        <v>0</v>
      </c>
      <c r="DT26" s="4">
        <f t="shared" si="18"/>
        <v>961161.92</v>
      </c>
      <c r="DU26" s="4">
        <f t="shared" si="18"/>
        <v>0</v>
      </c>
      <c r="DV26" s="4">
        <f t="shared" si="18"/>
        <v>961161.92</v>
      </c>
      <c r="DW26" s="4">
        <f t="shared" si="18"/>
        <v>0</v>
      </c>
      <c r="DX26" s="4">
        <f t="shared" si="18"/>
        <v>0</v>
      </c>
      <c r="DY26" s="4">
        <f t="shared" si="18"/>
        <v>0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0</v>
      </c>
      <c r="ED26" s="4">
        <f t="shared" si="18"/>
        <v>0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961161.92</v>
      </c>
      <c r="EK26" s="4">
        <f t="shared" si="18"/>
        <v>0</v>
      </c>
      <c r="EL26" s="4">
        <f t="shared" si="18"/>
        <v>0</v>
      </c>
      <c r="EM26" s="4">
        <f t="shared" ref="EM26:FR26" si="19">EM65</f>
        <v>961161.92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FS65</f>
        <v>961161.92</v>
      </c>
      <c r="FT26" s="4">
        <f t="shared" si="20"/>
        <v>0</v>
      </c>
      <c r="FU26" s="4">
        <f t="shared" si="20"/>
        <v>0</v>
      </c>
      <c r="FV26" s="4">
        <f t="shared" si="20"/>
        <v>961161.92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74.972999999999999</v>
      </c>
      <c r="J28" s="2">
        <v>0</v>
      </c>
      <c r="K28" s="2">
        <v>74.972999999999999</v>
      </c>
      <c r="L28" s="2"/>
      <c r="M28" s="2"/>
      <c r="N28" s="2"/>
      <c r="O28" s="2">
        <f t="shared" ref="O28:O63" si="21">ROUND(CP28,2)</f>
        <v>2374.39</v>
      </c>
      <c r="P28" s="2">
        <f t="shared" ref="P28:P63" si="22">ROUND((ROUND((AC28*AW28*I28),2)*BC28),2)</f>
        <v>0</v>
      </c>
      <c r="Q28" s="2">
        <f t="shared" ref="Q28:Q63" si="23">(ROUND((ROUND(((ET28)*AV28*I28),2)*BB28),2)+ROUND((ROUND(((AE28-(EU28))*AV28*I28),2)*BS28),2))</f>
        <v>2374.39</v>
      </c>
      <c r="R28" s="2">
        <f t="shared" ref="R28:R63" si="24">ROUND((ROUND((AE28*AV28*I28),2)*BS28),2)</f>
        <v>0</v>
      </c>
      <c r="S28" s="2">
        <f t="shared" ref="S28:S63" si="25">ROUND((ROUND((AF28*AV28*I28),2)*BA28),2)</f>
        <v>0</v>
      </c>
      <c r="T28" s="2">
        <f t="shared" ref="T28:T63" si="26">ROUND(CU28*I28,2)</f>
        <v>0</v>
      </c>
      <c r="U28" s="2">
        <f t="shared" ref="U28:U63" si="27">CV28*I28</f>
        <v>0</v>
      </c>
      <c r="V28" s="2">
        <f t="shared" ref="V28:V63" si="28">CW28*I28</f>
        <v>0</v>
      </c>
      <c r="W28" s="2">
        <f t="shared" ref="W28:W63" si="29">ROUND(CX28*I28,2)</f>
        <v>0</v>
      </c>
      <c r="X28" s="2">
        <f t="shared" ref="X28:X63" si="30">ROUND(CY28,2)</f>
        <v>0</v>
      </c>
      <c r="Y28" s="2">
        <f t="shared" ref="Y28:Y63" si="31">ROUND(CZ28,2)</f>
        <v>0</v>
      </c>
      <c r="Z28" s="2"/>
      <c r="AA28" s="2">
        <v>56526439</v>
      </c>
      <c r="AB28" s="2">
        <f t="shared" ref="AB28:AB63" si="32">ROUND((AC28+AD28+AF28),6)</f>
        <v>31.67</v>
      </c>
      <c r="AC28" s="2">
        <f t="shared" ref="AC28:AC63" si="33">ROUND((ES28),6)</f>
        <v>0</v>
      </c>
      <c r="AD28" s="2">
        <f t="shared" ref="AD28:AD63" si="34">ROUND((((ET28)-(EU28))+AE28),6)</f>
        <v>31.67</v>
      </c>
      <c r="AE28" s="2">
        <f t="shared" ref="AE28:AE63" si="35">ROUND((EU28),6)</f>
        <v>0</v>
      </c>
      <c r="AF28" s="2">
        <f t="shared" ref="AF28:AF63" si="36">ROUND((EV28),6)</f>
        <v>0</v>
      </c>
      <c r="AG28" s="2">
        <f t="shared" ref="AG28:AG63" si="37">ROUND((AP28),6)</f>
        <v>0</v>
      </c>
      <c r="AH28" s="2">
        <f t="shared" ref="AH28:AH63" si="38">(EW28)</f>
        <v>0</v>
      </c>
      <c r="AI28" s="2">
        <f t="shared" ref="AI28:AI63" si="39">(EX28)</f>
        <v>0</v>
      </c>
      <c r="AJ28" s="2">
        <f t="shared" ref="AJ28:AJ63" si="40">(AS28)</f>
        <v>0</v>
      </c>
      <c r="AK28" s="2">
        <v>31.67</v>
      </c>
      <c r="AL28" s="2">
        <v>0</v>
      </c>
      <c r="AM28" s="2">
        <v>31.67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94</v>
      </c>
      <c r="AU28" s="2">
        <v>61</v>
      </c>
      <c r="AV28" s="2">
        <v>1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4</v>
      </c>
      <c r="BJ28" s="2" t="s">
        <v>22</v>
      </c>
      <c r="BK28" s="2"/>
      <c r="BL28" s="2"/>
      <c r="BM28" s="2">
        <v>188</v>
      </c>
      <c r="BN28" s="2">
        <v>0</v>
      </c>
      <c r="BO28" s="2" t="s">
        <v>19</v>
      </c>
      <c r="BP28" s="2">
        <v>1</v>
      </c>
      <c r="BQ28" s="2">
        <v>150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94</v>
      </c>
      <c r="CA28" s="2">
        <v>61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63" si="41">(P28+Q28+S28)</f>
        <v>2374.39</v>
      </c>
      <c r="CQ28" s="2">
        <f t="shared" ref="CQ28:CQ63" si="42">ROUND((ROUND((AC28*AW28*1),2)*BC28),2)</f>
        <v>0</v>
      </c>
      <c r="CR28" s="2">
        <f t="shared" ref="CR28:CR63" si="43">(ROUND((ROUND(((ET28)*AV28*1),2)*BB28),2)+ROUND((ROUND(((AE28-(EU28))*AV28*1),2)*BS28),2))</f>
        <v>31.67</v>
      </c>
      <c r="CS28" s="2">
        <f t="shared" ref="CS28:CS63" si="44">ROUND((ROUND((AE28*AV28*1),2)*BS28),2)</f>
        <v>0</v>
      </c>
      <c r="CT28" s="2">
        <f t="shared" ref="CT28:CT63" si="45">ROUND((ROUND((AF28*AV28*1),2)*BA28),2)</f>
        <v>0</v>
      </c>
      <c r="CU28" s="2">
        <f t="shared" ref="CU28:CU63" si="46">AG28</f>
        <v>0</v>
      </c>
      <c r="CV28" s="2">
        <f t="shared" ref="CV28:CV63" si="47">(AH28*AV28)</f>
        <v>0</v>
      </c>
      <c r="CW28" s="2">
        <f t="shared" ref="CW28:CW63" si="48">AI28</f>
        <v>0</v>
      </c>
      <c r="CX28" s="2">
        <f t="shared" ref="CX28:CX63" si="49">AJ28</f>
        <v>0</v>
      </c>
      <c r="CY28" s="2">
        <f t="shared" ref="CY28:CY63" si="50">(((S28+R28)*AT28)/100)</f>
        <v>0</v>
      </c>
      <c r="CZ28" s="2">
        <f t="shared" ref="CZ28:CZ63" si="51">(((S28+R28)*AU28)/100)</f>
        <v>0</v>
      </c>
      <c r="DA28" s="2"/>
      <c r="DB28" s="2"/>
      <c r="DC28" s="2" t="s">
        <v>3</v>
      </c>
      <c r="DD28" s="2" t="s">
        <v>3</v>
      </c>
      <c r="DE28" s="2" t="s">
        <v>3</v>
      </c>
      <c r="DF28" s="2" t="s">
        <v>3</v>
      </c>
      <c r="DG28" s="2" t="s">
        <v>3</v>
      </c>
      <c r="DH28" s="2" t="s">
        <v>3</v>
      </c>
      <c r="DI28" s="2" t="s">
        <v>3</v>
      </c>
      <c r="DJ28" s="2" t="s">
        <v>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55586412</v>
      </c>
      <c r="EF28" s="2">
        <v>150</v>
      </c>
      <c r="EG28" s="2" t="s">
        <v>23</v>
      </c>
      <c r="EH28" s="2">
        <v>0</v>
      </c>
      <c r="EI28" s="2" t="s">
        <v>3</v>
      </c>
      <c r="EJ28" s="2">
        <v>4</v>
      </c>
      <c r="EK28" s="2">
        <v>188</v>
      </c>
      <c r="EL28" s="2" t="s">
        <v>24</v>
      </c>
      <c r="EM28" s="2" t="s">
        <v>25</v>
      </c>
      <c r="EN28" s="2"/>
      <c r="EO28" s="2" t="s">
        <v>3</v>
      </c>
      <c r="EP28" s="2"/>
      <c r="EQ28" s="2">
        <v>0</v>
      </c>
      <c r="ER28" s="2">
        <v>31.67</v>
      </c>
      <c r="ES28" s="2">
        <v>0</v>
      </c>
      <c r="ET28" s="2">
        <v>31.67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94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247349083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3" si="52">ROUND(IF(AND(BH28=3,BI28=3,FS28&lt;&gt;0),P28,0),2)</f>
        <v>0</v>
      </c>
      <c r="GM28" s="2">
        <f t="shared" ref="GM28:GM63" si="53">ROUND(O28+X28+Y28,2)+GX28</f>
        <v>2374.39</v>
      </c>
      <c r="GN28" s="2">
        <f t="shared" ref="GN28:GN63" si="54">IF(OR(BI28=0,BI28=1),GM28-GX28,0)</f>
        <v>0</v>
      </c>
      <c r="GO28" s="2">
        <f t="shared" ref="GO28:GO63" si="55">IF(BI28=2,GM28-GX28,0)</f>
        <v>0</v>
      </c>
      <c r="GP28" s="2">
        <f t="shared" ref="GP28:GP63" si="56">IF(BI28=4,GM28-GX28,0)</f>
        <v>2374.39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3" si="57">ROUND((GT28),6)</f>
        <v>0</v>
      </c>
      <c r="GW28" s="2">
        <v>1</v>
      </c>
      <c r="GX28" s="2">
        <f t="shared" ref="GX28:GX63" si="58">ROUND(HC28*I28,2)</f>
        <v>0</v>
      </c>
      <c r="GY28" s="2"/>
      <c r="GZ28" s="2"/>
      <c r="HA28" s="2">
        <v>0</v>
      </c>
      <c r="HB28" s="2">
        <v>0</v>
      </c>
      <c r="HC28" s="2">
        <f t="shared" ref="HC28:HC6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18</v>
      </c>
      <c r="F29" t="s">
        <v>19</v>
      </c>
      <c r="G29" t="s">
        <v>20</v>
      </c>
      <c r="H29" t="s">
        <v>21</v>
      </c>
      <c r="I29">
        <v>74.972999999999999</v>
      </c>
      <c r="J29">
        <v>0</v>
      </c>
      <c r="K29">
        <v>74.972999999999999</v>
      </c>
      <c r="O29">
        <f t="shared" si="21"/>
        <v>102977.29</v>
      </c>
      <c r="P29">
        <f t="shared" si="22"/>
        <v>0</v>
      </c>
      <c r="Q29">
        <f t="shared" si="23"/>
        <v>102977.29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AA29">
        <v>56526441</v>
      </c>
      <c r="AB29">
        <f t="shared" si="32"/>
        <v>31.67</v>
      </c>
      <c r="AC29">
        <f t="shared" si="33"/>
        <v>0</v>
      </c>
      <c r="AD29">
        <f t="shared" si="34"/>
        <v>31.67</v>
      </c>
      <c r="AE29">
        <f t="shared" si="35"/>
        <v>0</v>
      </c>
      <c r="AF29">
        <f t="shared" si="36"/>
        <v>0</v>
      </c>
      <c r="AG29">
        <f t="shared" si="37"/>
        <v>0</v>
      </c>
      <c r="AH29">
        <f t="shared" si="38"/>
        <v>0</v>
      </c>
      <c r="AI29">
        <f t="shared" si="39"/>
        <v>0</v>
      </c>
      <c r="AJ29">
        <f t="shared" si="40"/>
        <v>0</v>
      </c>
      <c r="AK29">
        <v>31.67</v>
      </c>
      <c r="AL29">
        <v>0</v>
      </c>
      <c r="AM29">
        <v>31.67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94</v>
      </c>
      <c r="AU29">
        <v>61</v>
      </c>
      <c r="AV29">
        <v>1</v>
      </c>
      <c r="AW29">
        <v>1</v>
      </c>
      <c r="AZ29">
        <v>1</v>
      </c>
      <c r="BA29">
        <v>1</v>
      </c>
      <c r="BB29">
        <v>43.37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4</v>
      </c>
      <c r="BJ29" t="s">
        <v>22</v>
      </c>
      <c r="BM29">
        <v>188</v>
      </c>
      <c r="BN29">
        <v>0</v>
      </c>
      <c r="BO29" t="s">
        <v>19</v>
      </c>
      <c r="BP29">
        <v>1</v>
      </c>
      <c r="BQ29">
        <v>150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94</v>
      </c>
      <c r="CA29">
        <v>61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41"/>
        <v>102977.29</v>
      </c>
      <c r="CQ29">
        <f t="shared" si="42"/>
        <v>0</v>
      </c>
      <c r="CR29">
        <f t="shared" si="43"/>
        <v>1373.53</v>
      </c>
      <c r="CS29">
        <f t="shared" si="44"/>
        <v>0</v>
      </c>
      <c r="CT29">
        <f t="shared" si="45"/>
        <v>0</v>
      </c>
      <c r="CU29">
        <f t="shared" si="46"/>
        <v>0</v>
      </c>
      <c r="CV29">
        <f t="shared" si="47"/>
        <v>0</v>
      </c>
      <c r="CW29">
        <f t="shared" si="48"/>
        <v>0</v>
      </c>
      <c r="CX29">
        <f t="shared" si="49"/>
        <v>0</v>
      </c>
      <c r="CY29">
        <f t="shared" si="50"/>
        <v>0</v>
      </c>
      <c r="CZ29">
        <f t="shared" si="51"/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55586412</v>
      </c>
      <c r="EF29">
        <v>150</v>
      </c>
      <c r="EG29" t="s">
        <v>23</v>
      </c>
      <c r="EH29">
        <v>0</v>
      </c>
      <c r="EI29" t="s">
        <v>3</v>
      </c>
      <c r="EJ29">
        <v>4</v>
      </c>
      <c r="EK29">
        <v>188</v>
      </c>
      <c r="EL29" t="s">
        <v>24</v>
      </c>
      <c r="EM29" t="s">
        <v>25</v>
      </c>
      <c r="EO29" t="s">
        <v>3</v>
      </c>
      <c r="EQ29">
        <v>0</v>
      </c>
      <c r="ER29">
        <v>31.67</v>
      </c>
      <c r="ES29">
        <v>0</v>
      </c>
      <c r="ET29">
        <v>31.67</v>
      </c>
      <c r="EU29">
        <v>0</v>
      </c>
      <c r="EV29">
        <v>0</v>
      </c>
      <c r="EW29">
        <v>0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94</v>
      </c>
      <c r="FY29">
        <v>61</v>
      </c>
      <c r="GA29" t="s">
        <v>3</v>
      </c>
      <c r="GD29">
        <v>1</v>
      </c>
      <c r="GF29">
        <v>247349083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52"/>
        <v>0</v>
      </c>
      <c r="GM29">
        <f t="shared" si="53"/>
        <v>102977.29</v>
      </c>
      <c r="GN29">
        <f t="shared" si="54"/>
        <v>0</v>
      </c>
      <c r="GO29">
        <f t="shared" si="55"/>
        <v>0</v>
      </c>
      <c r="GP29">
        <f t="shared" si="56"/>
        <v>102977.29</v>
      </c>
      <c r="GR29">
        <v>0</v>
      </c>
      <c r="GS29">
        <v>3</v>
      </c>
      <c r="GT29">
        <v>0</v>
      </c>
      <c r="GU29" t="s">
        <v>3</v>
      </c>
      <c r="GV29">
        <f t="shared" si="57"/>
        <v>0</v>
      </c>
      <c r="GW29">
        <v>1</v>
      </c>
      <c r="GX29">
        <f t="shared" si="58"/>
        <v>0</v>
      </c>
      <c r="HA29">
        <v>0</v>
      </c>
      <c r="HB29">
        <v>0</v>
      </c>
      <c r="HC29">
        <f t="shared" si="59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5">
      <c r="A30" s="2">
        <v>17</v>
      </c>
      <c r="B30" s="2">
        <v>1</v>
      </c>
      <c r="C30" s="2">
        <f>ROW(SmtRes!A3)</f>
        <v>3</v>
      </c>
      <c r="D30" s="2">
        <f>ROW(EtalonRes!A3)</f>
        <v>3</v>
      </c>
      <c r="E30" s="2" t="s">
        <v>26</v>
      </c>
      <c r="F30" s="2" t="s">
        <v>27</v>
      </c>
      <c r="G30" s="2" t="s">
        <v>28</v>
      </c>
      <c r="H30" s="2" t="s">
        <v>21</v>
      </c>
      <c r="I30" s="2">
        <v>1545.61</v>
      </c>
      <c r="J30" s="2">
        <v>0</v>
      </c>
      <c r="K30" s="2">
        <v>1545.61</v>
      </c>
      <c r="L30" s="2"/>
      <c r="M30" s="2"/>
      <c r="N30" s="2"/>
      <c r="O30" s="2">
        <f t="shared" si="21"/>
        <v>48114.84</v>
      </c>
      <c r="P30" s="2">
        <f t="shared" si="22"/>
        <v>0</v>
      </c>
      <c r="Q30" s="2">
        <f t="shared" si="23"/>
        <v>48114.84</v>
      </c>
      <c r="R30" s="2">
        <f t="shared" si="24"/>
        <v>0</v>
      </c>
      <c r="S30" s="2">
        <f t="shared" si="25"/>
        <v>0</v>
      </c>
      <c r="T30" s="2">
        <f t="shared" si="26"/>
        <v>0</v>
      </c>
      <c r="U30" s="2">
        <f t="shared" si="27"/>
        <v>0</v>
      </c>
      <c r="V30" s="2">
        <f t="shared" si="28"/>
        <v>0</v>
      </c>
      <c r="W30" s="2">
        <f t="shared" si="29"/>
        <v>0</v>
      </c>
      <c r="X30" s="2">
        <f t="shared" si="30"/>
        <v>0</v>
      </c>
      <c r="Y30" s="2">
        <f t="shared" si="31"/>
        <v>0</v>
      </c>
      <c r="Z30" s="2"/>
      <c r="AA30" s="2">
        <v>56526439</v>
      </c>
      <c r="AB30" s="2">
        <f t="shared" si="32"/>
        <v>31.13</v>
      </c>
      <c r="AC30" s="2">
        <f t="shared" si="33"/>
        <v>0</v>
      </c>
      <c r="AD30" s="2">
        <f t="shared" si="34"/>
        <v>31.13</v>
      </c>
      <c r="AE30" s="2">
        <f t="shared" si="35"/>
        <v>0</v>
      </c>
      <c r="AF30" s="2">
        <f t="shared" si="36"/>
        <v>0</v>
      </c>
      <c r="AG30" s="2">
        <f t="shared" si="37"/>
        <v>0</v>
      </c>
      <c r="AH30" s="2">
        <f t="shared" si="38"/>
        <v>0</v>
      </c>
      <c r="AI30" s="2">
        <f t="shared" si="39"/>
        <v>0</v>
      </c>
      <c r="AJ30" s="2">
        <f t="shared" si="40"/>
        <v>0</v>
      </c>
      <c r="AK30" s="2">
        <v>31.13</v>
      </c>
      <c r="AL30" s="2">
        <v>0</v>
      </c>
      <c r="AM30" s="2">
        <v>31.13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94</v>
      </c>
      <c r="AU30" s="2">
        <v>61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4</v>
      </c>
      <c r="BJ30" s="2" t="s">
        <v>29</v>
      </c>
      <c r="BK30" s="2"/>
      <c r="BL30" s="2"/>
      <c r="BM30" s="2">
        <v>188</v>
      </c>
      <c r="BN30" s="2">
        <v>0</v>
      </c>
      <c r="BO30" s="2" t="s">
        <v>27</v>
      </c>
      <c r="BP30" s="2">
        <v>1</v>
      </c>
      <c r="BQ30" s="2">
        <v>150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94</v>
      </c>
      <c r="CA30" s="2">
        <v>61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41"/>
        <v>48114.84</v>
      </c>
      <c r="CQ30" s="2">
        <f t="shared" si="42"/>
        <v>0</v>
      </c>
      <c r="CR30" s="2">
        <f t="shared" si="43"/>
        <v>31.13</v>
      </c>
      <c r="CS30" s="2">
        <f t="shared" si="44"/>
        <v>0</v>
      </c>
      <c r="CT30" s="2">
        <f t="shared" si="45"/>
        <v>0</v>
      </c>
      <c r="CU30" s="2">
        <f t="shared" si="46"/>
        <v>0</v>
      </c>
      <c r="CV30" s="2">
        <f t="shared" si="47"/>
        <v>0</v>
      </c>
      <c r="CW30" s="2">
        <f t="shared" si="48"/>
        <v>0</v>
      </c>
      <c r="CX30" s="2">
        <f t="shared" si="49"/>
        <v>0</v>
      </c>
      <c r="CY30" s="2">
        <f t="shared" si="50"/>
        <v>0</v>
      </c>
      <c r="CZ30" s="2">
        <f t="shared" si="51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21</v>
      </c>
      <c r="DW30" s="2" t="s">
        <v>21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55586412</v>
      </c>
      <c r="EF30" s="2">
        <v>150</v>
      </c>
      <c r="EG30" s="2" t="s">
        <v>23</v>
      </c>
      <c r="EH30" s="2">
        <v>0</v>
      </c>
      <c r="EI30" s="2" t="s">
        <v>3</v>
      </c>
      <c r="EJ30" s="2">
        <v>4</v>
      </c>
      <c r="EK30" s="2">
        <v>188</v>
      </c>
      <c r="EL30" s="2" t="s">
        <v>24</v>
      </c>
      <c r="EM30" s="2" t="s">
        <v>25</v>
      </c>
      <c r="EN30" s="2"/>
      <c r="EO30" s="2" t="s">
        <v>3</v>
      </c>
      <c r="EP30" s="2"/>
      <c r="EQ30" s="2">
        <v>0</v>
      </c>
      <c r="ER30" s="2">
        <v>31.13</v>
      </c>
      <c r="ES30" s="2">
        <v>0</v>
      </c>
      <c r="ET30" s="2">
        <v>31.13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94</v>
      </c>
      <c r="FY30" s="2">
        <v>61</v>
      </c>
      <c r="FZ30" s="2"/>
      <c r="GA30" s="2" t="s">
        <v>3</v>
      </c>
      <c r="GB30" s="2"/>
      <c r="GC30" s="2"/>
      <c r="GD30" s="2">
        <v>1</v>
      </c>
      <c r="GE30" s="2"/>
      <c r="GF30" s="2">
        <v>1826450107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48114.84</v>
      </c>
      <c r="GN30" s="2">
        <f t="shared" si="54"/>
        <v>0</v>
      </c>
      <c r="GO30" s="2">
        <f t="shared" si="55"/>
        <v>0</v>
      </c>
      <c r="GP30" s="2">
        <f t="shared" si="56"/>
        <v>48114.84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>
        <v>17</v>
      </c>
      <c r="B31">
        <v>1</v>
      </c>
      <c r="C31">
        <f>ROW(SmtRes!A4)</f>
        <v>4</v>
      </c>
      <c r="D31">
        <f>ROW(EtalonRes!A4)</f>
        <v>4</v>
      </c>
      <c r="E31" t="s">
        <v>26</v>
      </c>
      <c r="F31" t="s">
        <v>27</v>
      </c>
      <c r="G31" t="s">
        <v>28</v>
      </c>
      <c r="H31" t="s">
        <v>21</v>
      </c>
      <c r="I31">
        <v>1545.61</v>
      </c>
      <c r="J31">
        <v>0</v>
      </c>
      <c r="K31">
        <v>1545.61</v>
      </c>
      <c r="O31">
        <f t="shared" si="21"/>
        <v>448911.46</v>
      </c>
      <c r="P31">
        <f t="shared" si="22"/>
        <v>0</v>
      </c>
      <c r="Q31">
        <f t="shared" si="23"/>
        <v>448911.46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AA31">
        <v>56526441</v>
      </c>
      <c r="AB31">
        <f t="shared" si="32"/>
        <v>31.13</v>
      </c>
      <c r="AC31">
        <f t="shared" si="33"/>
        <v>0</v>
      </c>
      <c r="AD31">
        <f t="shared" si="34"/>
        <v>31.13</v>
      </c>
      <c r="AE31">
        <f t="shared" si="35"/>
        <v>0</v>
      </c>
      <c r="AF31">
        <f t="shared" si="36"/>
        <v>0</v>
      </c>
      <c r="AG31">
        <f t="shared" si="37"/>
        <v>0</v>
      </c>
      <c r="AH31">
        <f t="shared" si="38"/>
        <v>0</v>
      </c>
      <c r="AI31">
        <f t="shared" si="39"/>
        <v>0</v>
      </c>
      <c r="AJ31">
        <f t="shared" si="40"/>
        <v>0</v>
      </c>
      <c r="AK31">
        <v>31.13</v>
      </c>
      <c r="AL31">
        <v>0</v>
      </c>
      <c r="AM31">
        <v>31.13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94</v>
      </c>
      <c r="AU31">
        <v>61</v>
      </c>
      <c r="AV31">
        <v>1</v>
      </c>
      <c r="AW31">
        <v>1</v>
      </c>
      <c r="AZ31">
        <v>1</v>
      </c>
      <c r="BA31">
        <v>1</v>
      </c>
      <c r="BB31">
        <v>9.33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4</v>
      </c>
      <c r="BJ31" t="s">
        <v>29</v>
      </c>
      <c r="BM31">
        <v>188</v>
      </c>
      <c r="BN31">
        <v>0</v>
      </c>
      <c r="BO31" t="s">
        <v>27</v>
      </c>
      <c r="BP31">
        <v>1</v>
      </c>
      <c r="BQ31">
        <v>150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61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41"/>
        <v>448911.46</v>
      </c>
      <c r="CQ31">
        <f t="shared" si="42"/>
        <v>0</v>
      </c>
      <c r="CR31">
        <f t="shared" si="43"/>
        <v>290.44</v>
      </c>
      <c r="CS31">
        <f t="shared" si="44"/>
        <v>0</v>
      </c>
      <c r="CT31">
        <f t="shared" si="45"/>
        <v>0</v>
      </c>
      <c r="CU31">
        <f t="shared" si="46"/>
        <v>0</v>
      </c>
      <c r="CV31">
        <f t="shared" si="47"/>
        <v>0</v>
      </c>
      <c r="CW31">
        <f t="shared" si="48"/>
        <v>0</v>
      </c>
      <c r="CX31">
        <f t="shared" si="49"/>
        <v>0</v>
      </c>
      <c r="CY31">
        <f t="shared" si="50"/>
        <v>0</v>
      </c>
      <c r="CZ31">
        <f t="shared" si="51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1013</v>
      </c>
      <c r="DV31" t="s">
        <v>21</v>
      </c>
      <c r="DW31" t="s">
        <v>21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55586412</v>
      </c>
      <c r="EF31">
        <v>150</v>
      </c>
      <c r="EG31" t="s">
        <v>23</v>
      </c>
      <c r="EH31">
        <v>0</v>
      </c>
      <c r="EI31" t="s">
        <v>3</v>
      </c>
      <c r="EJ31">
        <v>4</v>
      </c>
      <c r="EK31">
        <v>188</v>
      </c>
      <c r="EL31" t="s">
        <v>24</v>
      </c>
      <c r="EM31" t="s">
        <v>25</v>
      </c>
      <c r="EO31" t="s">
        <v>3</v>
      </c>
      <c r="EQ31">
        <v>0</v>
      </c>
      <c r="ER31">
        <v>31.13</v>
      </c>
      <c r="ES31">
        <v>0</v>
      </c>
      <c r="ET31">
        <v>31.13</v>
      </c>
      <c r="EU31">
        <v>0</v>
      </c>
      <c r="EV31">
        <v>0</v>
      </c>
      <c r="EW31">
        <v>0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94</v>
      </c>
      <c r="FY31">
        <v>61</v>
      </c>
      <c r="GA31" t="s">
        <v>3</v>
      </c>
      <c r="GD31">
        <v>1</v>
      </c>
      <c r="GF31">
        <v>1826450107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52"/>
        <v>0</v>
      </c>
      <c r="GM31">
        <f t="shared" si="53"/>
        <v>448911.46</v>
      </c>
      <c r="GN31">
        <f t="shared" si="54"/>
        <v>0</v>
      </c>
      <c r="GO31">
        <f t="shared" si="55"/>
        <v>0</v>
      </c>
      <c r="GP31">
        <f t="shared" si="56"/>
        <v>448911.46</v>
      </c>
      <c r="GR31">
        <v>0</v>
      </c>
      <c r="GS31">
        <v>3</v>
      </c>
      <c r="GT31">
        <v>0</v>
      </c>
      <c r="GU31" t="s">
        <v>3</v>
      </c>
      <c r="GV31">
        <f t="shared" si="57"/>
        <v>0</v>
      </c>
      <c r="GW31">
        <v>1</v>
      </c>
      <c r="GX31">
        <f t="shared" si="58"/>
        <v>0</v>
      </c>
      <c r="HA31">
        <v>0</v>
      </c>
      <c r="HB31">
        <v>0</v>
      </c>
      <c r="HC31">
        <f t="shared" si="59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5">
      <c r="A32" s="2">
        <v>17</v>
      </c>
      <c r="B32" s="2">
        <v>1</v>
      </c>
      <c r="C32" s="2">
        <f>ROW(SmtRes!A5)</f>
        <v>5</v>
      </c>
      <c r="D32" s="2">
        <f>ROW(EtalonRes!A5)</f>
        <v>5</v>
      </c>
      <c r="E32" s="2" t="s">
        <v>30</v>
      </c>
      <c r="F32" s="2" t="s">
        <v>31</v>
      </c>
      <c r="G32" s="2" t="s">
        <v>32</v>
      </c>
      <c r="H32" s="2" t="s">
        <v>21</v>
      </c>
      <c r="I32" s="2">
        <v>195.77</v>
      </c>
      <c r="J32" s="2">
        <v>0</v>
      </c>
      <c r="K32" s="2">
        <v>195.77</v>
      </c>
      <c r="L32" s="2"/>
      <c r="M32" s="2"/>
      <c r="N32" s="2"/>
      <c r="O32" s="2">
        <f t="shared" si="21"/>
        <v>7163.22</v>
      </c>
      <c r="P32" s="2">
        <f t="shared" si="22"/>
        <v>0</v>
      </c>
      <c r="Q32" s="2">
        <f t="shared" si="23"/>
        <v>7163.22</v>
      </c>
      <c r="R32" s="2">
        <f t="shared" si="24"/>
        <v>0</v>
      </c>
      <c r="S32" s="2">
        <f t="shared" si="25"/>
        <v>0</v>
      </c>
      <c r="T32" s="2">
        <f t="shared" si="26"/>
        <v>0</v>
      </c>
      <c r="U32" s="2">
        <f t="shared" si="27"/>
        <v>0</v>
      </c>
      <c r="V32" s="2">
        <f t="shared" si="28"/>
        <v>0</v>
      </c>
      <c r="W32" s="2">
        <f t="shared" si="29"/>
        <v>0</v>
      </c>
      <c r="X32" s="2">
        <f t="shared" si="30"/>
        <v>0</v>
      </c>
      <c r="Y32" s="2">
        <f t="shared" si="31"/>
        <v>0</v>
      </c>
      <c r="Z32" s="2"/>
      <c r="AA32" s="2">
        <v>56526439</v>
      </c>
      <c r="AB32" s="2">
        <f t="shared" si="32"/>
        <v>36.590000000000003</v>
      </c>
      <c r="AC32" s="2">
        <f t="shared" si="33"/>
        <v>0</v>
      </c>
      <c r="AD32" s="2">
        <f t="shared" si="34"/>
        <v>36.590000000000003</v>
      </c>
      <c r="AE32" s="2">
        <f t="shared" si="35"/>
        <v>0</v>
      </c>
      <c r="AF32" s="2">
        <f t="shared" si="36"/>
        <v>0</v>
      </c>
      <c r="AG32" s="2">
        <f t="shared" si="37"/>
        <v>0</v>
      </c>
      <c r="AH32" s="2">
        <f t="shared" si="38"/>
        <v>0</v>
      </c>
      <c r="AI32" s="2">
        <f t="shared" si="39"/>
        <v>0</v>
      </c>
      <c r="AJ32" s="2">
        <f t="shared" si="40"/>
        <v>0</v>
      </c>
      <c r="AK32" s="2">
        <v>36.590000000000003</v>
      </c>
      <c r="AL32" s="2">
        <v>0</v>
      </c>
      <c r="AM32" s="2">
        <v>36.590000000000003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94</v>
      </c>
      <c r="AU32" s="2">
        <v>61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4</v>
      </c>
      <c r="BJ32" s="2" t="s">
        <v>33</v>
      </c>
      <c r="BK32" s="2"/>
      <c r="BL32" s="2"/>
      <c r="BM32" s="2">
        <v>188</v>
      </c>
      <c r="BN32" s="2">
        <v>0</v>
      </c>
      <c r="BO32" s="2" t="s">
        <v>31</v>
      </c>
      <c r="BP32" s="2">
        <v>1</v>
      </c>
      <c r="BQ32" s="2">
        <v>150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94</v>
      </c>
      <c r="CA32" s="2">
        <v>61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41"/>
        <v>7163.22</v>
      </c>
      <c r="CQ32" s="2">
        <f t="shared" si="42"/>
        <v>0</v>
      </c>
      <c r="CR32" s="2">
        <f t="shared" si="43"/>
        <v>36.590000000000003</v>
      </c>
      <c r="CS32" s="2">
        <f t="shared" si="44"/>
        <v>0</v>
      </c>
      <c r="CT32" s="2">
        <f t="shared" si="45"/>
        <v>0</v>
      </c>
      <c r="CU32" s="2">
        <f t="shared" si="46"/>
        <v>0</v>
      </c>
      <c r="CV32" s="2">
        <f t="shared" si="47"/>
        <v>0</v>
      </c>
      <c r="CW32" s="2">
        <f t="shared" si="48"/>
        <v>0</v>
      </c>
      <c r="CX32" s="2">
        <f t="shared" si="49"/>
        <v>0</v>
      </c>
      <c r="CY32" s="2">
        <f t="shared" si="50"/>
        <v>0</v>
      </c>
      <c r="CZ32" s="2">
        <f t="shared" si="51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21</v>
      </c>
      <c r="DW32" s="2" t="s">
        <v>21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55586412</v>
      </c>
      <c r="EF32" s="2">
        <v>150</v>
      </c>
      <c r="EG32" s="2" t="s">
        <v>23</v>
      </c>
      <c r="EH32" s="2">
        <v>0</v>
      </c>
      <c r="EI32" s="2" t="s">
        <v>3</v>
      </c>
      <c r="EJ32" s="2">
        <v>4</v>
      </c>
      <c r="EK32" s="2">
        <v>188</v>
      </c>
      <c r="EL32" s="2" t="s">
        <v>24</v>
      </c>
      <c r="EM32" s="2" t="s">
        <v>25</v>
      </c>
      <c r="EN32" s="2"/>
      <c r="EO32" s="2" t="s">
        <v>3</v>
      </c>
      <c r="EP32" s="2"/>
      <c r="EQ32" s="2">
        <v>0</v>
      </c>
      <c r="ER32" s="2">
        <v>36.590000000000003</v>
      </c>
      <c r="ES32" s="2">
        <v>0</v>
      </c>
      <c r="ET32" s="2">
        <v>36.590000000000003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94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-1232021766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7163.22</v>
      </c>
      <c r="GN32" s="2">
        <f t="shared" si="54"/>
        <v>0</v>
      </c>
      <c r="GO32" s="2">
        <f t="shared" si="55"/>
        <v>0</v>
      </c>
      <c r="GP32" s="2">
        <f t="shared" si="56"/>
        <v>7163.22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>
        <v>17</v>
      </c>
      <c r="B33">
        <v>1</v>
      </c>
      <c r="C33">
        <f>ROW(SmtRes!A6)</f>
        <v>6</v>
      </c>
      <c r="D33">
        <f>ROW(EtalonRes!A6)</f>
        <v>6</v>
      </c>
      <c r="E33" t="s">
        <v>30</v>
      </c>
      <c r="F33" t="s">
        <v>31</v>
      </c>
      <c r="G33" t="s">
        <v>32</v>
      </c>
      <c r="H33" t="s">
        <v>21</v>
      </c>
      <c r="I33">
        <v>195.77</v>
      </c>
      <c r="J33">
        <v>0</v>
      </c>
      <c r="K33">
        <v>195.77</v>
      </c>
      <c r="O33">
        <f t="shared" si="21"/>
        <v>68552.02</v>
      </c>
      <c r="P33">
        <f t="shared" si="22"/>
        <v>0</v>
      </c>
      <c r="Q33">
        <f t="shared" si="23"/>
        <v>68552.02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AA33">
        <v>56526441</v>
      </c>
      <c r="AB33">
        <f t="shared" si="32"/>
        <v>36.590000000000003</v>
      </c>
      <c r="AC33">
        <f t="shared" si="33"/>
        <v>0</v>
      </c>
      <c r="AD33">
        <f t="shared" si="34"/>
        <v>36.590000000000003</v>
      </c>
      <c r="AE33">
        <f t="shared" si="35"/>
        <v>0</v>
      </c>
      <c r="AF33">
        <f t="shared" si="36"/>
        <v>0</v>
      </c>
      <c r="AG33">
        <f t="shared" si="37"/>
        <v>0</v>
      </c>
      <c r="AH33">
        <f t="shared" si="38"/>
        <v>0</v>
      </c>
      <c r="AI33">
        <f t="shared" si="39"/>
        <v>0</v>
      </c>
      <c r="AJ33">
        <f t="shared" si="40"/>
        <v>0</v>
      </c>
      <c r="AK33">
        <v>36.590000000000003</v>
      </c>
      <c r="AL33">
        <v>0</v>
      </c>
      <c r="AM33">
        <v>36.590000000000003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94</v>
      </c>
      <c r="AU33">
        <v>61</v>
      </c>
      <c r="AV33">
        <v>1</v>
      </c>
      <c r="AW33">
        <v>1</v>
      </c>
      <c r="AZ33">
        <v>1</v>
      </c>
      <c r="BA33">
        <v>1</v>
      </c>
      <c r="BB33">
        <v>9.57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4</v>
      </c>
      <c r="BJ33" t="s">
        <v>33</v>
      </c>
      <c r="BM33">
        <v>188</v>
      </c>
      <c r="BN33">
        <v>0</v>
      </c>
      <c r="BO33" t="s">
        <v>31</v>
      </c>
      <c r="BP33">
        <v>1</v>
      </c>
      <c r="BQ33">
        <v>150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61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41"/>
        <v>68552.02</v>
      </c>
      <c r="CQ33">
        <f t="shared" si="42"/>
        <v>0</v>
      </c>
      <c r="CR33">
        <f t="shared" si="43"/>
        <v>350.17</v>
      </c>
      <c r="CS33">
        <f t="shared" si="44"/>
        <v>0</v>
      </c>
      <c r="CT33">
        <f t="shared" si="45"/>
        <v>0</v>
      </c>
      <c r="CU33">
        <f t="shared" si="46"/>
        <v>0</v>
      </c>
      <c r="CV33">
        <f t="shared" si="47"/>
        <v>0</v>
      </c>
      <c r="CW33">
        <f t="shared" si="48"/>
        <v>0</v>
      </c>
      <c r="CX33">
        <f t="shared" si="49"/>
        <v>0</v>
      </c>
      <c r="CY33">
        <f t="shared" si="50"/>
        <v>0</v>
      </c>
      <c r="CZ33">
        <f t="shared" si="51"/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21</v>
      </c>
      <c r="DW33" t="s">
        <v>21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55586412</v>
      </c>
      <c r="EF33">
        <v>150</v>
      </c>
      <c r="EG33" t="s">
        <v>23</v>
      </c>
      <c r="EH33">
        <v>0</v>
      </c>
      <c r="EI33" t="s">
        <v>3</v>
      </c>
      <c r="EJ33">
        <v>4</v>
      </c>
      <c r="EK33">
        <v>188</v>
      </c>
      <c r="EL33" t="s">
        <v>24</v>
      </c>
      <c r="EM33" t="s">
        <v>25</v>
      </c>
      <c r="EO33" t="s">
        <v>3</v>
      </c>
      <c r="EQ33">
        <v>0</v>
      </c>
      <c r="ER33">
        <v>36.590000000000003</v>
      </c>
      <c r="ES33">
        <v>0</v>
      </c>
      <c r="ET33">
        <v>36.590000000000003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94</v>
      </c>
      <c r="FY33">
        <v>61</v>
      </c>
      <c r="GA33" t="s">
        <v>3</v>
      </c>
      <c r="GD33">
        <v>1</v>
      </c>
      <c r="GF33">
        <v>-1232021766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52"/>
        <v>0</v>
      </c>
      <c r="GM33">
        <f t="shared" si="53"/>
        <v>68552.02</v>
      </c>
      <c r="GN33">
        <f t="shared" si="54"/>
        <v>0</v>
      </c>
      <c r="GO33">
        <f t="shared" si="55"/>
        <v>0</v>
      </c>
      <c r="GP33">
        <f t="shared" si="56"/>
        <v>68552.02</v>
      </c>
      <c r="GR33">
        <v>0</v>
      </c>
      <c r="GS33">
        <v>3</v>
      </c>
      <c r="GT33">
        <v>0</v>
      </c>
      <c r="GU33" t="s">
        <v>3</v>
      </c>
      <c r="GV33">
        <f t="shared" si="57"/>
        <v>0</v>
      </c>
      <c r="GW33">
        <v>1</v>
      </c>
      <c r="GX33">
        <f t="shared" si="58"/>
        <v>0</v>
      </c>
      <c r="HA33">
        <v>0</v>
      </c>
      <c r="HB33">
        <v>0</v>
      </c>
      <c r="HC33">
        <f t="shared" si="59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5">
      <c r="A34" s="2">
        <v>17</v>
      </c>
      <c r="B34" s="2">
        <v>1</v>
      </c>
      <c r="C34" s="2">
        <f>ROW(SmtRes!A7)</f>
        <v>7</v>
      </c>
      <c r="D34" s="2">
        <f>ROW(EtalonRes!A7)</f>
        <v>7</v>
      </c>
      <c r="E34" s="2" t="s">
        <v>34</v>
      </c>
      <c r="F34" s="2" t="s">
        <v>35</v>
      </c>
      <c r="G34" s="2" t="s">
        <v>36</v>
      </c>
      <c r="H34" s="2" t="s">
        <v>21</v>
      </c>
      <c r="I34" s="2">
        <v>4.2480000000000002</v>
      </c>
      <c r="J34" s="2">
        <v>0</v>
      </c>
      <c r="K34" s="2">
        <v>4.2480000000000002</v>
      </c>
      <c r="L34" s="2"/>
      <c r="M34" s="2"/>
      <c r="N34" s="2"/>
      <c r="O34" s="2">
        <f t="shared" si="21"/>
        <v>417.58</v>
      </c>
      <c r="P34" s="2">
        <f t="shared" si="22"/>
        <v>0</v>
      </c>
      <c r="Q34" s="2">
        <f t="shared" si="23"/>
        <v>417.58</v>
      </c>
      <c r="R34" s="2">
        <f t="shared" si="24"/>
        <v>0</v>
      </c>
      <c r="S34" s="2">
        <f t="shared" si="25"/>
        <v>0</v>
      </c>
      <c r="T34" s="2">
        <f t="shared" si="26"/>
        <v>0</v>
      </c>
      <c r="U34" s="2">
        <f t="shared" si="27"/>
        <v>0</v>
      </c>
      <c r="V34" s="2">
        <f t="shared" si="28"/>
        <v>0</v>
      </c>
      <c r="W34" s="2">
        <f t="shared" si="29"/>
        <v>0</v>
      </c>
      <c r="X34" s="2">
        <f t="shared" si="30"/>
        <v>0</v>
      </c>
      <c r="Y34" s="2">
        <f t="shared" si="31"/>
        <v>0</v>
      </c>
      <c r="Z34" s="2"/>
      <c r="AA34" s="2">
        <v>56526439</v>
      </c>
      <c r="AB34" s="2">
        <f t="shared" si="32"/>
        <v>98.3</v>
      </c>
      <c r="AC34" s="2">
        <f t="shared" si="33"/>
        <v>0</v>
      </c>
      <c r="AD34" s="2">
        <f t="shared" si="34"/>
        <v>98.3</v>
      </c>
      <c r="AE34" s="2">
        <f t="shared" si="35"/>
        <v>0</v>
      </c>
      <c r="AF34" s="2">
        <f t="shared" si="36"/>
        <v>0</v>
      </c>
      <c r="AG34" s="2">
        <f t="shared" si="37"/>
        <v>0</v>
      </c>
      <c r="AH34" s="2">
        <f t="shared" si="38"/>
        <v>0</v>
      </c>
      <c r="AI34" s="2">
        <f t="shared" si="39"/>
        <v>0</v>
      </c>
      <c r="AJ34" s="2">
        <f t="shared" si="40"/>
        <v>0</v>
      </c>
      <c r="AK34" s="2">
        <v>98.3</v>
      </c>
      <c r="AL34" s="2">
        <v>0</v>
      </c>
      <c r="AM34" s="2">
        <v>98.3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94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4</v>
      </c>
      <c r="BJ34" s="2" t="s">
        <v>37</v>
      </c>
      <c r="BK34" s="2"/>
      <c r="BL34" s="2"/>
      <c r="BM34" s="2">
        <v>188</v>
      </c>
      <c r="BN34" s="2">
        <v>0</v>
      </c>
      <c r="BO34" s="2" t="s">
        <v>35</v>
      </c>
      <c r="BP34" s="2">
        <v>1</v>
      </c>
      <c r="BQ34" s="2">
        <v>150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94</v>
      </c>
      <c r="CA34" s="2">
        <v>61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41"/>
        <v>417.58</v>
      </c>
      <c r="CQ34" s="2">
        <f t="shared" si="42"/>
        <v>0</v>
      </c>
      <c r="CR34" s="2">
        <f t="shared" si="43"/>
        <v>98.3</v>
      </c>
      <c r="CS34" s="2">
        <f t="shared" si="44"/>
        <v>0</v>
      </c>
      <c r="CT34" s="2">
        <f t="shared" si="45"/>
        <v>0</v>
      </c>
      <c r="CU34" s="2">
        <f t="shared" si="46"/>
        <v>0</v>
      </c>
      <c r="CV34" s="2">
        <f t="shared" si="47"/>
        <v>0</v>
      </c>
      <c r="CW34" s="2">
        <f t="shared" si="48"/>
        <v>0</v>
      </c>
      <c r="CX34" s="2">
        <f t="shared" si="49"/>
        <v>0</v>
      </c>
      <c r="CY34" s="2">
        <f t="shared" si="50"/>
        <v>0</v>
      </c>
      <c r="CZ34" s="2">
        <f t="shared" si="51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21</v>
      </c>
      <c r="DW34" s="2" t="s">
        <v>21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55586412</v>
      </c>
      <c r="EF34" s="2">
        <v>150</v>
      </c>
      <c r="EG34" s="2" t="s">
        <v>23</v>
      </c>
      <c r="EH34" s="2">
        <v>0</v>
      </c>
      <c r="EI34" s="2" t="s">
        <v>3</v>
      </c>
      <c r="EJ34" s="2">
        <v>4</v>
      </c>
      <c r="EK34" s="2">
        <v>188</v>
      </c>
      <c r="EL34" s="2" t="s">
        <v>24</v>
      </c>
      <c r="EM34" s="2" t="s">
        <v>25</v>
      </c>
      <c r="EN34" s="2"/>
      <c r="EO34" s="2" t="s">
        <v>3</v>
      </c>
      <c r="EP34" s="2"/>
      <c r="EQ34" s="2">
        <v>0</v>
      </c>
      <c r="ER34" s="2">
        <v>98.3</v>
      </c>
      <c r="ES34" s="2">
        <v>0</v>
      </c>
      <c r="ET34" s="2">
        <v>98.3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94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151177787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417.58</v>
      </c>
      <c r="GN34" s="2">
        <f t="shared" si="54"/>
        <v>0</v>
      </c>
      <c r="GO34" s="2">
        <f t="shared" si="55"/>
        <v>0</v>
      </c>
      <c r="GP34" s="2">
        <f t="shared" si="56"/>
        <v>417.58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>
        <v>17</v>
      </c>
      <c r="B35">
        <v>1</v>
      </c>
      <c r="C35">
        <f>ROW(SmtRes!A8)</f>
        <v>8</v>
      </c>
      <c r="D35">
        <f>ROW(EtalonRes!A8)</f>
        <v>8</v>
      </c>
      <c r="E35" t="s">
        <v>34</v>
      </c>
      <c r="F35" t="s">
        <v>35</v>
      </c>
      <c r="G35" t="s">
        <v>36</v>
      </c>
      <c r="H35" t="s">
        <v>21</v>
      </c>
      <c r="I35">
        <v>4.2480000000000002</v>
      </c>
      <c r="J35">
        <v>0</v>
      </c>
      <c r="K35">
        <v>4.2480000000000002</v>
      </c>
      <c r="O35">
        <f t="shared" si="21"/>
        <v>4601.7299999999996</v>
      </c>
      <c r="P35">
        <f t="shared" si="22"/>
        <v>0</v>
      </c>
      <c r="Q35">
        <f t="shared" si="23"/>
        <v>4601.7299999999996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AA35">
        <v>56526441</v>
      </c>
      <c r="AB35">
        <f t="shared" si="32"/>
        <v>98.3</v>
      </c>
      <c r="AC35">
        <f t="shared" si="33"/>
        <v>0</v>
      </c>
      <c r="AD35">
        <f t="shared" si="34"/>
        <v>98.3</v>
      </c>
      <c r="AE35">
        <f t="shared" si="35"/>
        <v>0</v>
      </c>
      <c r="AF35">
        <f t="shared" si="36"/>
        <v>0</v>
      </c>
      <c r="AG35">
        <f t="shared" si="37"/>
        <v>0</v>
      </c>
      <c r="AH35">
        <f t="shared" si="38"/>
        <v>0</v>
      </c>
      <c r="AI35">
        <f t="shared" si="39"/>
        <v>0</v>
      </c>
      <c r="AJ35">
        <f t="shared" si="40"/>
        <v>0</v>
      </c>
      <c r="AK35">
        <v>98.3</v>
      </c>
      <c r="AL35">
        <v>0</v>
      </c>
      <c r="AM35">
        <v>98.3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94</v>
      </c>
      <c r="AU35">
        <v>61</v>
      </c>
      <c r="AV35">
        <v>1</v>
      </c>
      <c r="AW35">
        <v>1</v>
      </c>
      <c r="AZ35">
        <v>1</v>
      </c>
      <c r="BA35">
        <v>1</v>
      </c>
      <c r="BB35">
        <v>11.02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4</v>
      </c>
      <c r="BJ35" t="s">
        <v>37</v>
      </c>
      <c r="BM35">
        <v>188</v>
      </c>
      <c r="BN35">
        <v>0</v>
      </c>
      <c r="BO35" t="s">
        <v>35</v>
      </c>
      <c r="BP35">
        <v>1</v>
      </c>
      <c r="BQ35">
        <v>150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94</v>
      </c>
      <c r="CA35">
        <v>61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41"/>
        <v>4601.7299999999996</v>
      </c>
      <c r="CQ35">
        <f t="shared" si="42"/>
        <v>0</v>
      </c>
      <c r="CR35">
        <f t="shared" si="43"/>
        <v>1083.27</v>
      </c>
      <c r="CS35">
        <f t="shared" si="44"/>
        <v>0</v>
      </c>
      <c r="CT35">
        <f t="shared" si="45"/>
        <v>0</v>
      </c>
      <c r="CU35">
        <f t="shared" si="46"/>
        <v>0</v>
      </c>
      <c r="CV35">
        <f t="shared" si="47"/>
        <v>0</v>
      </c>
      <c r="CW35">
        <f t="shared" si="48"/>
        <v>0</v>
      </c>
      <c r="CX35">
        <f t="shared" si="49"/>
        <v>0</v>
      </c>
      <c r="CY35">
        <f t="shared" si="50"/>
        <v>0</v>
      </c>
      <c r="CZ35">
        <f t="shared" si="51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1013</v>
      </c>
      <c r="DV35" t="s">
        <v>21</v>
      </c>
      <c r="DW35" t="s">
        <v>21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55586412</v>
      </c>
      <c r="EF35">
        <v>150</v>
      </c>
      <c r="EG35" t="s">
        <v>23</v>
      </c>
      <c r="EH35">
        <v>0</v>
      </c>
      <c r="EI35" t="s">
        <v>3</v>
      </c>
      <c r="EJ35">
        <v>4</v>
      </c>
      <c r="EK35">
        <v>188</v>
      </c>
      <c r="EL35" t="s">
        <v>24</v>
      </c>
      <c r="EM35" t="s">
        <v>25</v>
      </c>
      <c r="EO35" t="s">
        <v>3</v>
      </c>
      <c r="EQ35">
        <v>0</v>
      </c>
      <c r="ER35">
        <v>98.3</v>
      </c>
      <c r="ES35">
        <v>0</v>
      </c>
      <c r="ET35">
        <v>98.3</v>
      </c>
      <c r="EU35">
        <v>0</v>
      </c>
      <c r="EV35">
        <v>0</v>
      </c>
      <c r="EW35">
        <v>0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94</v>
      </c>
      <c r="FY35">
        <v>61</v>
      </c>
      <c r="GA35" t="s">
        <v>3</v>
      </c>
      <c r="GD35">
        <v>1</v>
      </c>
      <c r="GF35">
        <v>151177787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52"/>
        <v>0</v>
      </c>
      <c r="GM35">
        <f t="shared" si="53"/>
        <v>4601.7299999999996</v>
      </c>
      <c r="GN35">
        <f t="shared" si="54"/>
        <v>0</v>
      </c>
      <c r="GO35">
        <f t="shared" si="55"/>
        <v>0</v>
      </c>
      <c r="GP35">
        <f t="shared" si="56"/>
        <v>4601.7299999999996</v>
      </c>
      <c r="GR35">
        <v>0</v>
      </c>
      <c r="GS35">
        <v>3</v>
      </c>
      <c r="GT35">
        <v>0</v>
      </c>
      <c r="GU35" t="s">
        <v>3</v>
      </c>
      <c r="GV35">
        <f t="shared" si="57"/>
        <v>0</v>
      </c>
      <c r="GW35">
        <v>1</v>
      </c>
      <c r="GX35">
        <f t="shared" si="58"/>
        <v>0</v>
      </c>
      <c r="HA35">
        <v>0</v>
      </c>
      <c r="HB35">
        <v>0</v>
      </c>
      <c r="HC35">
        <f t="shared" si="59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5">
      <c r="A36" s="2">
        <v>17</v>
      </c>
      <c r="B36" s="2">
        <v>1</v>
      </c>
      <c r="C36" s="2">
        <f>ROW(SmtRes!A9)</f>
        <v>9</v>
      </c>
      <c r="D36" s="2">
        <f>ROW(EtalonRes!A9)</f>
        <v>9</v>
      </c>
      <c r="E36" s="2" t="s">
        <v>38</v>
      </c>
      <c r="F36" s="2" t="s">
        <v>39</v>
      </c>
      <c r="G36" s="2" t="s">
        <v>40</v>
      </c>
      <c r="H36" s="2" t="s">
        <v>21</v>
      </c>
      <c r="I36" s="2">
        <v>3.5000000000000003E-2</v>
      </c>
      <c r="J36" s="2">
        <v>0</v>
      </c>
      <c r="K36" s="2">
        <v>3.5000000000000003E-2</v>
      </c>
      <c r="L36" s="2"/>
      <c r="M36" s="2"/>
      <c r="N36" s="2"/>
      <c r="O36" s="2">
        <f t="shared" si="21"/>
        <v>1.36</v>
      </c>
      <c r="P36" s="2">
        <f t="shared" si="22"/>
        <v>0</v>
      </c>
      <c r="Q36" s="2">
        <f t="shared" si="23"/>
        <v>1.36</v>
      </c>
      <c r="R36" s="2">
        <f t="shared" si="24"/>
        <v>0</v>
      </c>
      <c r="S36" s="2">
        <f t="shared" si="25"/>
        <v>0</v>
      </c>
      <c r="T36" s="2">
        <f t="shared" si="26"/>
        <v>0</v>
      </c>
      <c r="U36" s="2">
        <f t="shared" si="27"/>
        <v>0</v>
      </c>
      <c r="V36" s="2">
        <f t="shared" si="28"/>
        <v>0</v>
      </c>
      <c r="W36" s="2">
        <f t="shared" si="29"/>
        <v>0</v>
      </c>
      <c r="X36" s="2">
        <f t="shared" si="30"/>
        <v>0</v>
      </c>
      <c r="Y36" s="2">
        <f t="shared" si="31"/>
        <v>0</v>
      </c>
      <c r="Z36" s="2"/>
      <c r="AA36" s="2">
        <v>56526439</v>
      </c>
      <c r="AB36" s="2">
        <f t="shared" si="32"/>
        <v>38.770000000000003</v>
      </c>
      <c r="AC36" s="2">
        <f t="shared" si="33"/>
        <v>0</v>
      </c>
      <c r="AD36" s="2">
        <f t="shared" si="34"/>
        <v>38.770000000000003</v>
      </c>
      <c r="AE36" s="2">
        <f t="shared" si="35"/>
        <v>0</v>
      </c>
      <c r="AF36" s="2">
        <f t="shared" si="36"/>
        <v>0</v>
      </c>
      <c r="AG36" s="2">
        <f t="shared" si="37"/>
        <v>0</v>
      </c>
      <c r="AH36" s="2">
        <f t="shared" si="38"/>
        <v>0</v>
      </c>
      <c r="AI36" s="2">
        <f t="shared" si="39"/>
        <v>0</v>
      </c>
      <c r="AJ36" s="2">
        <f t="shared" si="40"/>
        <v>0</v>
      </c>
      <c r="AK36" s="2">
        <v>38.770000000000003</v>
      </c>
      <c r="AL36" s="2">
        <v>0</v>
      </c>
      <c r="AM36" s="2">
        <v>38.770000000000003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94</v>
      </c>
      <c r="AU36" s="2">
        <v>61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4</v>
      </c>
      <c r="BJ36" s="2" t="s">
        <v>41</v>
      </c>
      <c r="BK36" s="2"/>
      <c r="BL36" s="2"/>
      <c r="BM36" s="2">
        <v>188</v>
      </c>
      <c r="BN36" s="2">
        <v>0</v>
      </c>
      <c r="BO36" s="2" t="s">
        <v>39</v>
      </c>
      <c r="BP36" s="2">
        <v>1</v>
      </c>
      <c r="BQ36" s="2">
        <v>150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94</v>
      </c>
      <c r="CA36" s="2">
        <v>61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41"/>
        <v>1.36</v>
      </c>
      <c r="CQ36" s="2">
        <f t="shared" si="42"/>
        <v>0</v>
      </c>
      <c r="CR36" s="2">
        <f t="shared" si="43"/>
        <v>38.770000000000003</v>
      </c>
      <c r="CS36" s="2">
        <f t="shared" si="44"/>
        <v>0</v>
      </c>
      <c r="CT36" s="2">
        <f t="shared" si="45"/>
        <v>0</v>
      </c>
      <c r="CU36" s="2">
        <f t="shared" si="46"/>
        <v>0</v>
      </c>
      <c r="CV36" s="2">
        <f t="shared" si="47"/>
        <v>0</v>
      </c>
      <c r="CW36" s="2">
        <f t="shared" si="48"/>
        <v>0</v>
      </c>
      <c r="CX36" s="2">
        <f t="shared" si="49"/>
        <v>0</v>
      </c>
      <c r="CY36" s="2">
        <f t="shared" si="50"/>
        <v>0</v>
      </c>
      <c r="CZ36" s="2">
        <f t="shared" si="51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21</v>
      </c>
      <c r="DW36" s="2" t="s">
        <v>21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55586412</v>
      </c>
      <c r="EF36" s="2">
        <v>150</v>
      </c>
      <c r="EG36" s="2" t="s">
        <v>23</v>
      </c>
      <c r="EH36" s="2">
        <v>0</v>
      </c>
      <c r="EI36" s="2" t="s">
        <v>3</v>
      </c>
      <c r="EJ36" s="2">
        <v>4</v>
      </c>
      <c r="EK36" s="2">
        <v>188</v>
      </c>
      <c r="EL36" s="2" t="s">
        <v>24</v>
      </c>
      <c r="EM36" s="2" t="s">
        <v>25</v>
      </c>
      <c r="EN36" s="2"/>
      <c r="EO36" s="2" t="s">
        <v>3</v>
      </c>
      <c r="EP36" s="2"/>
      <c r="EQ36" s="2">
        <v>0</v>
      </c>
      <c r="ER36" s="2">
        <v>38.770000000000003</v>
      </c>
      <c r="ES36" s="2">
        <v>0</v>
      </c>
      <c r="ET36" s="2">
        <v>38.770000000000003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94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725869249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1.36</v>
      </c>
      <c r="GN36" s="2">
        <f t="shared" si="54"/>
        <v>0</v>
      </c>
      <c r="GO36" s="2">
        <f t="shared" si="55"/>
        <v>0</v>
      </c>
      <c r="GP36" s="2">
        <f t="shared" si="56"/>
        <v>1.36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>
        <v>17</v>
      </c>
      <c r="B37">
        <v>1</v>
      </c>
      <c r="C37">
        <f>ROW(SmtRes!A10)</f>
        <v>10</v>
      </c>
      <c r="D37">
        <f>ROW(EtalonRes!A10)</f>
        <v>10</v>
      </c>
      <c r="E37" t="s">
        <v>38</v>
      </c>
      <c r="F37" t="s">
        <v>39</v>
      </c>
      <c r="G37" t="s">
        <v>40</v>
      </c>
      <c r="H37" t="s">
        <v>21</v>
      </c>
      <c r="I37">
        <v>3.5000000000000003E-2</v>
      </c>
      <c r="J37">
        <v>0</v>
      </c>
      <c r="K37">
        <v>3.5000000000000003E-2</v>
      </c>
      <c r="O37">
        <f t="shared" si="21"/>
        <v>14.32</v>
      </c>
      <c r="P37">
        <f t="shared" si="22"/>
        <v>0</v>
      </c>
      <c r="Q37">
        <f t="shared" si="23"/>
        <v>14.32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v>56526441</v>
      </c>
      <c r="AB37">
        <f t="shared" si="32"/>
        <v>38.770000000000003</v>
      </c>
      <c r="AC37">
        <f t="shared" si="33"/>
        <v>0</v>
      </c>
      <c r="AD37">
        <f t="shared" si="34"/>
        <v>38.770000000000003</v>
      </c>
      <c r="AE37">
        <f t="shared" si="35"/>
        <v>0</v>
      </c>
      <c r="AF37">
        <f t="shared" si="36"/>
        <v>0</v>
      </c>
      <c r="AG37">
        <f t="shared" si="37"/>
        <v>0</v>
      </c>
      <c r="AH37">
        <f t="shared" si="38"/>
        <v>0</v>
      </c>
      <c r="AI37">
        <f t="shared" si="39"/>
        <v>0</v>
      </c>
      <c r="AJ37">
        <f t="shared" si="40"/>
        <v>0</v>
      </c>
      <c r="AK37">
        <v>38.770000000000003</v>
      </c>
      <c r="AL37">
        <v>0</v>
      </c>
      <c r="AM37">
        <v>38.770000000000003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94</v>
      </c>
      <c r="AU37">
        <v>61</v>
      </c>
      <c r="AV37">
        <v>1</v>
      </c>
      <c r="AW37">
        <v>1</v>
      </c>
      <c r="AZ37">
        <v>1</v>
      </c>
      <c r="BA37">
        <v>1</v>
      </c>
      <c r="BB37">
        <v>10.53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4</v>
      </c>
      <c r="BJ37" t="s">
        <v>41</v>
      </c>
      <c r="BM37">
        <v>188</v>
      </c>
      <c r="BN37">
        <v>0</v>
      </c>
      <c r="BO37" t="s">
        <v>39</v>
      </c>
      <c r="BP37">
        <v>1</v>
      </c>
      <c r="BQ37">
        <v>150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61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41"/>
        <v>14.32</v>
      </c>
      <c r="CQ37">
        <f t="shared" si="42"/>
        <v>0</v>
      </c>
      <c r="CR37">
        <f t="shared" si="43"/>
        <v>408.25</v>
      </c>
      <c r="CS37">
        <f t="shared" si="44"/>
        <v>0</v>
      </c>
      <c r="CT37">
        <f t="shared" si="45"/>
        <v>0</v>
      </c>
      <c r="CU37">
        <f t="shared" si="46"/>
        <v>0</v>
      </c>
      <c r="CV37">
        <f t="shared" si="47"/>
        <v>0</v>
      </c>
      <c r="CW37">
        <f t="shared" si="48"/>
        <v>0</v>
      </c>
      <c r="CX37">
        <f t="shared" si="49"/>
        <v>0</v>
      </c>
      <c r="CY37">
        <f t="shared" si="50"/>
        <v>0</v>
      </c>
      <c r="CZ37">
        <f t="shared" si="51"/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21</v>
      </c>
      <c r="DW37" t="s">
        <v>21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55586412</v>
      </c>
      <c r="EF37">
        <v>150</v>
      </c>
      <c r="EG37" t="s">
        <v>23</v>
      </c>
      <c r="EH37">
        <v>0</v>
      </c>
      <c r="EI37" t="s">
        <v>3</v>
      </c>
      <c r="EJ37">
        <v>4</v>
      </c>
      <c r="EK37">
        <v>188</v>
      </c>
      <c r="EL37" t="s">
        <v>24</v>
      </c>
      <c r="EM37" t="s">
        <v>25</v>
      </c>
      <c r="EO37" t="s">
        <v>3</v>
      </c>
      <c r="EQ37">
        <v>0</v>
      </c>
      <c r="ER37">
        <v>38.770000000000003</v>
      </c>
      <c r="ES37">
        <v>0</v>
      </c>
      <c r="ET37">
        <v>38.770000000000003</v>
      </c>
      <c r="EU37">
        <v>0</v>
      </c>
      <c r="EV37">
        <v>0</v>
      </c>
      <c r="EW37">
        <v>0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94</v>
      </c>
      <c r="FY37">
        <v>61</v>
      </c>
      <c r="GA37" t="s">
        <v>3</v>
      </c>
      <c r="GD37">
        <v>1</v>
      </c>
      <c r="GF37">
        <v>725869249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52"/>
        <v>0</v>
      </c>
      <c r="GM37">
        <f t="shared" si="53"/>
        <v>14.32</v>
      </c>
      <c r="GN37">
        <f t="shared" si="54"/>
        <v>0</v>
      </c>
      <c r="GO37">
        <f t="shared" si="55"/>
        <v>0</v>
      </c>
      <c r="GP37">
        <f t="shared" si="56"/>
        <v>14.32</v>
      </c>
      <c r="GR37">
        <v>0</v>
      </c>
      <c r="GS37">
        <v>3</v>
      </c>
      <c r="GT37">
        <v>0</v>
      </c>
      <c r="GU37" t="s">
        <v>3</v>
      </c>
      <c r="GV37">
        <f t="shared" si="57"/>
        <v>0</v>
      </c>
      <c r="GW37">
        <v>1</v>
      </c>
      <c r="GX37">
        <f t="shared" si="58"/>
        <v>0</v>
      </c>
      <c r="HA37">
        <v>0</v>
      </c>
      <c r="HB37">
        <v>0</v>
      </c>
      <c r="HC37">
        <f t="shared" si="59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5">
      <c r="A38" s="2">
        <v>17</v>
      </c>
      <c r="B38" s="2">
        <v>1</v>
      </c>
      <c r="C38" s="2">
        <f>ROW(SmtRes!A11)</f>
        <v>11</v>
      </c>
      <c r="D38" s="2">
        <f>ROW(EtalonRes!A11)</f>
        <v>11</v>
      </c>
      <c r="E38" s="2" t="s">
        <v>42</v>
      </c>
      <c r="F38" s="2" t="s">
        <v>43</v>
      </c>
      <c r="G38" s="2" t="s">
        <v>44</v>
      </c>
      <c r="H38" s="2" t="s">
        <v>21</v>
      </c>
      <c r="I38" s="2">
        <v>3.4870000000000001</v>
      </c>
      <c r="J38" s="2">
        <v>0</v>
      </c>
      <c r="K38" s="2">
        <v>3.4870000000000001</v>
      </c>
      <c r="L38" s="2"/>
      <c r="M38" s="2"/>
      <c r="N38" s="2"/>
      <c r="O38" s="2">
        <f t="shared" si="21"/>
        <v>135.19</v>
      </c>
      <c r="P38" s="2">
        <f t="shared" si="22"/>
        <v>0</v>
      </c>
      <c r="Q38" s="2">
        <f t="shared" si="23"/>
        <v>135.19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56526439</v>
      </c>
      <c r="AB38" s="2">
        <f t="shared" si="32"/>
        <v>38.770000000000003</v>
      </c>
      <c r="AC38" s="2">
        <f t="shared" si="33"/>
        <v>0</v>
      </c>
      <c r="AD38" s="2">
        <f t="shared" si="34"/>
        <v>38.770000000000003</v>
      </c>
      <c r="AE38" s="2">
        <f t="shared" si="35"/>
        <v>0</v>
      </c>
      <c r="AF38" s="2">
        <f t="shared" si="36"/>
        <v>0</v>
      </c>
      <c r="AG38" s="2">
        <f t="shared" si="37"/>
        <v>0</v>
      </c>
      <c r="AH38" s="2">
        <f t="shared" si="38"/>
        <v>0</v>
      </c>
      <c r="AI38" s="2">
        <f t="shared" si="39"/>
        <v>0</v>
      </c>
      <c r="AJ38" s="2">
        <f t="shared" si="40"/>
        <v>0</v>
      </c>
      <c r="AK38" s="2">
        <v>38.770000000000003</v>
      </c>
      <c r="AL38" s="2">
        <v>0</v>
      </c>
      <c r="AM38" s="2">
        <v>38.770000000000003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94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4</v>
      </c>
      <c r="BJ38" s="2" t="s">
        <v>45</v>
      </c>
      <c r="BK38" s="2"/>
      <c r="BL38" s="2"/>
      <c r="BM38" s="2">
        <v>188</v>
      </c>
      <c r="BN38" s="2">
        <v>0</v>
      </c>
      <c r="BO38" s="2" t="s">
        <v>43</v>
      </c>
      <c r="BP38" s="2">
        <v>1</v>
      </c>
      <c r="BQ38" s="2">
        <v>150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94</v>
      </c>
      <c r="CA38" s="2">
        <v>61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41"/>
        <v>135.19</v>
      </c>
      <c r="CQ38" s="2">
        <f t="shared" si="42"/>
        <v>0</v>
      </c>
      <c r="CR38" s="2">
        <f t="shared" si="43"/>
        <v>38.770000000000003</v>
      </c>
      <c r="CS38" s="2">
        <f t="shared" si="44"/>
        <v>0</v>
      </c>
      <c r="CT38" s="2">
        <f t="shared" si="45"/>
        <v>0</v>
      </c>
      <c r="CU38" s="2">
        <f t="shared" si="46"/>
        <v>0</v>
      </c>
      <c r="CV38" s="2">
        <f t="shared" si="47"/>
        <v>0</v>
      </c>
      <c r="CW38" s="2">
        <f t="shared" si="48"/>
        <v>0</v>
      </c>
      <c r="CX38" s="2">
        <f t="shared" si="49"/>
        <v>0</v>
      </c>
      <c r="CY38" s="2">
        <f t="shared" si="50"/>
        <v>0</v>
      </c>
      <c r="CZ38" s="2">
        <f t="shared" si="51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21</v>
      </c>
      <c r="DW38" s="2" t="s">
        <v>21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55586412</v>
      </c>
      <c r="EF38" s="2">
        <v>150</v>
      </c>
      <c r="EG38" s="2" t="s">
        <v>23</v>
      </c>
      <c r="EH38" s="2">
        <v>0</v>
      </c>
      <c r="EI38" s="2" t="s">
        <v>3</v>
      </c>
      <c r="EJ38" s="2">
        <v>4</v>
      </c>
      <c r="EK38" s="2">
        <v>188</v>
      </c>
      <c r="EL38" s="2" t="s">
        <v>24</v>
      </c>
      <c r="EM38" s="2" t="s">
        <v>25</v>
      </c>
      <c r="EN38" s="2"/>
      <c r="EO38" s="2" t="s">
        <v>3</v>
      </c>
      <c r="EP38" s="2"/>
      <c r="EQ38" s="2">
        <v>0</v>
      </c>
      <c r="ER38" s="2">
        <v>38.770000000000003</v>
      </c>
      <c r="ES38" s="2">
        <v>0</v>
      </c>
      <c r="ET38" s="2">
        <v>38.770000000000003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94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345636752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135.19</v>
      </c>
      <c r="GN38" s="2">
        <f t="shared" si="54"/>
        <v>0</v>
      </c>
      <c r="GO38" s="2">
        <f t="shared" si="55"/>
        <v>0</v>
      </c>
      <c r="GP38" s="2">
        <f t="shared" si="56"/>
        <v>135.19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>
        <v>17</v>
      </c>
      <c r="B39">
        <v>1</v>
      </c>
      <c r="C39">
        <f>ROW(SmtRes!A12)</f>
        <v>12</v>
      </c>
      <c r="D39">
        <f>ROW(EtalonRes!A12)</f>
        <v>12</v>
      </c>
      <c r="E39" t="s">
        <v>42</v>
      </c>
      <c r="F39" t="s">
        <v>43</v>
      </c>
      <c r="G39" t="s">
        <v>44</v>
      </c>
      <c r="H39" t="s">
        <v>21</v>
      </c>
      <c r="I39">
        <v>3.4870000000000001</v>
      </c>
      <c r="J39">
        <v>0</v>
      </c>
      <c r="K39">
        <v>3.4870000000000001</v>
      </c>
      <c r="O39">
        <f t="shared" si="21"/>
        <v>6685.15</v>
      </c>
      <c r="P39">
        <f t="shared" si="22"/>
        <v>0</v>
      </c>
      <c r="Q39">
        <f t="shared" si="23"/>
        <v>6685.15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56526441</v>
      </c>
      <c r="AB39">
        <f t="shared" si="32"/>
        <v>38.770000000000003</v>
      </c>
      <c r="AC39">
        <f t="shared" si="33"/>
        <v>0</v>
      </c>
      <c r="AD39">
        <f t="shared" si="34"/>
        <v>38.770000000000003</v>
      </c>
      <c r="AE39">
        <f t="shared" si="35"/>
        <v>0</v>
      </c>
      <c r="AF39">
        <f t="shared" si="36"/>
        <v>0</v>
      </c>
      <c r="AG39">
        <f t="shared" si="37"/>
        <v>0</v>
      </c>
      <c r="AH39">
        <f t="shared" si="38"/>
        <v>0</v>
      </c>
      <c r="AI39">
        <f t="shared" si="39"/>
        <v>0</v>
      </c>
      <c r="AJ39">
        <f t="shared" si="40"/>
        <v>0</v>
      </c>
      <c r="AK39">
        <v>38.770000000000003</v>
      </c>
      <c r="AL39">
        <v>0</v>
      </c>
      <c r="AM39">
        <v>38.770000000000003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94</v>
      </c>
      <c r="AU39">
        <v>61</v>
      </c>
      <c r="AV39">
        <v>1</v>
      </c>
      <c r="AW39">
        <v>1</v>
      </c>
      <c r="AZ39">
        <v>1</v>
      </c>
      <c r="BA39">
        <v>1</v>
      </c>
      <c r="BB39">
        <v>49.45</v>
      </c>
      <c r="BC39">
        <v>1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4</v>
      </c>
      <c r="BJ39" t="s">
        <v>45</v>
      </c>
      <c r="BM39">
        <v>188</v>
      </c>
      <c r="BN39">
        <v>0</v>
      </c>
      <c r="BO39" t="s">
        <v>43</v>
      </c>
      <c r="BP39">
        <v>1</v>
      </c>
      <c r="BQ39">
        <v>150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94</v>
      </c>
      <c r="CA39">
        <v>61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41"/>
        <v>6685.15</v>
      </c>
      <c r="CQ39">
        <f t="shared" si="42"/>
        <v>0</v>
      </c>
      <c r="CR39">
        <f t="shared" si="43"/>
        <v>1917.18</v>
      </c>
      <c r="CS39">
        <f t="shared" si="44"/>
        <v>0</v>
      </c>
      <c r="CT39">
        <f t="shared" si="45"/>
        <v>0</v>
      </c>
      <c r="CU39">
        <f t="shared" si="46"/>
        <v>0</v>
      </c>
      <c r="CV39">
        <f t="shared" si="47"/>
        <v>0</v>
      </c>
      <c r="CW39">
        <f t="shared" si="48"/>
        <v>0</v>
      </c>
      <c r="CX39">
        <f t="shared" si="49"/>
        <v>0</v>
      </c>
      <c r="CY39">
        <f t="shared" si="50"/>
        <v>0</v>
      </c>
      <c r="CZ39">
        <f t="shared" si="51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21</v>
      </c>
      <c r="DW39" t="s">
        <v>21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55586412</v>
      </c>
      <c r="EF39">
        <v>150</v>
      </c>
      <c r="EG39" t="s">
        <v>23</v>
      </c>
      <c r="EH39">
        <v>0</v>
      </c>
      <c r="EI39" t="s">
        <v>3</v>
      </c>
      <c r="EJ39">
        <v>4</v>
      </c>
      <c r="EK39">
        <v>188</v>
      </c>
      <c r="EL39" t="s">
        <v>24</v>
      </c>
      <c r="EM39" t="s">
        <v>25</v>
      </c>
      <c r="EO39" t="s">
        <v>3</v>
      </c>
      <c r="EQ39">
        <v>0</v>
      </c>
      <c r="ER39">
        <v>38.770000000000003</v>
      </c>
      <c r="ES39">
        <v>0</v>
      </c>
      <c r="ET39">
        <v>38.770000000000003</v>
      </c>
      <c r="EU39">
        <v>0</v>
      </c>
      <c r="EV39">
        <v>0</v>
      </c>
      <c r="EW39">
        <v>0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94</v>
      </c>
      <c r="FY39">
        <v>61</v>
      </c>
      <c r="GA39" t="s">
        <v>3</v>
      </c>
      <c r="GD39">
        <v>1</v>
      </c>
      <c r="GF39">
        <v>345636752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52"/>
        <v>0</v>
      </c>
      <c r="GM39">
        <f t="shared" si="53"/>
        <v>6685.15</v>
      </c>
      <c r="GN39">
        <f t="shared" si="54"/>
        <v>0</v>
      </c>
      <c r="GO39">
        <f t="shared" si="55"/>
        <v>0</v>
      </c>
      <c r="GP39">
        <f t="shared" si="56"/>
        <v>6685.15</v>
      </c>
      <c r="GR39">
        <v>0</v>
      </c>
      <c r="GS39">
        <v>3</v>
      </c>
      <c r="GT39">
        <v>0</v>
      </c>
      <c r="GU39" t="s">
        <v>3</v>
      </c>
      <c r="GV39">
        <f t="shared" si="57"/>
        <v>0</v>
      </c>
      <c r="GW39">
        <v>1</v>
      </c>
      <c r="GX39">
        <f t="shared" si="58"/>
        <v>0</v>
      </c>
      <c r="HA39">
        <v>0</v>
      </c>
      <c r="HB39">
        <v>0</v>
      </c>
      <c r="HC39">
        <f t="shared" si="59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5">
      <c r="A40" s="2">
        <v>17</v>
      </c>
      <c r="B40" s="2">
        <v>1</v>
      </c>
      <c r="C40" s="2">
        <f>ROW(SmtRes!A13)</f>
        <v>13</v>
      </c>
      <c r="D40" s="2">
        <f>ROW(EtalonRes!A13)</f>
        <v>13</v>
      </c>
      <c r="E40" s="2" t="s">
        <v>46</v>
      </c>
      <c r="F40" s="2" t="s">
        <v>47</v>
      </c>
      <c r="G40" s="2" t="s">
        <v>48</v>
      </c>
      <c r="H40" s="2" t="s">
        <v>21</v>
      </c>
      <c r="I40" s="2">
        <v>2.7E-2</v>
      </c>
      <c r="J40" s="2">
        <v>0</v>
      </c>
      <c r="K40" s="2">
        <v>2.7E-2</v>
      </c>
      <c r="L40" s="2"/>
      <c r="M40" s="2"/>
      <c r="N40" s="2"/>
      <c r="O40" s="2">
        <f t="shared" si="21"/>
        <v>0.98</v>
      </c>
      <c r="P40" s="2">
        <f t="shared" si="22"/>
        <v>0</v>
      </c>
      <c r="Q40" s="2">
        <f t="shared" si="23"/>
        <v>0.98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56526439</v>
      </c>
      <c r="AB40" s="2">
        <f t="shared" si="32"/>
        <v>36.299999999999997</v>
      </c>
      <c r="AC40" s="2">
        <f t="shared" si="33"/>
        <v>0</v>
      </c>
      <c r="AD40" s="2">
        <f t="shared" si="34"/>
        <v>36.299999999999997</v>
      </c>
      <c r="AE40" s="2">
        <f t="shared" si="35"/>
        <v>0</v>
      </c>
      <c r="AF40" s="2">
        <f t="shared" si="36"/>
        <v>0</v>
      </c>
      <c r="AG40" s="2">
        <f t="shared" si="37"/>
        <v>0</v>
      </c>
      <c r="AH40" s="2">
        <f t="shared" si="38"/>
        <v>0</v>
      </c>
      <c r="AI40" s="2">
        <f t="shared" si="39"/>
        <v>0</v>
      </c>
      <c r="AJ40" s="2">
        <f t="shared" si="40"/>
        <v>0</v>
      </c>
      <c r="AK40" s="2">
        <v>36.299999999999997</v>
      </c>
      <c r="AL40" s="2">
        <v>0</v>
      </c>
      <c r="AM40" s="2">
        <v>36.299999999999997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94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4</v>
      </c>
      <c r="BJ40" s="2" t="s">
        <v>49</v>
      </c>
      <c r="BK40" s="2"/>
      <c r="BL40" s="2"/>
      <c r="BM40" s="2">
        <v>188</v>
      </c>
      <c r="BN40" s="2">
        <v>0</v>
      </c>
      <c r="BO40" s="2" t="s">
        <v>47</v>
      </c>
      <c r="BP40" s="2">
        <v>1</v>
      </c>
      <c r="BQ40" s="2">
        <v>150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94</v>
      </c>
      <c r="CA40" s="2">
        <v>61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41"/>
        <v>0.98</v>
      </c>
      <c r="CQ40" s="2">
        <f t="shared" si="42"/>
        <v>0</v>
      </c>
      <c r="CR40" s="2">
        <f t="shared" si="43"/>
        <v>36.299999999999997</v>
      </c>
      <c r="CS40" s="2">
        <f t="shared" si="44"/>
        <v>0</v>
      </c>
      <c r="CT40" s="2">
        <f t="shared" si="45"/>
        <v>0</v>
      </c>
      <c r="CU40" s="2">
        <f t="shared" si="46"/>
        <v>0</v>
      </c>
      <c r="CV40" s="2">
        <f t="shared" si="47"/>
        <v>0</v>
      </c>
      <c r="CW40" s="2">
        <f t="shared" si="48"/>
        <v>0</v>
      </c>
      <c r="CX40" s="2">
        <f t="shared" si="49"/>
        <v>0</v>
      </c>
      <c r="CY40" s="2">
        <f t="shared" si="50"/>
        <v>0</v>
      </c>
      <c r="CZ40" s="2">
        <f t="shared" si="51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21</v>
      </c>
      <c r="DW40" s="2" t="s">
        <v>21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55586412</v>
      </c>
      <c r="EF40" s="2">
        <v>150</v>
      </c>
      <c r="EG40" s="2" t="s">
        <v>23</v>
      </c>
      <c r="EH40" s="2">
        <v>0</v>
      </c>
      <c r="EI40" s="2" t="s">
        <v>3</v>
      </c>
      <c r="EJ40" s="2">
        <v>4</v>
      </c>
      <c r="EK40" s="2">
        <v>188</v>
      </c>
      <c r="EL40" s="2" t="s">
        <v>24</v>
      </c>
      <c r="EM40" s="2" t="s">
        <v>25</v>
      </c>
      <c r="EN40" s="2"/>
      <c r="EO40" s="2" t="s">
        <v>3</v>
      </c>
      <c r="EP40" s="2"/>
      <c r="EQ40" s="2">
        <v>0</v>
      </c>
      <c r="ER40" s="2">
        <v>36.299999999999997</v>
      </c>
      <c r="ES40" s="2">
        <v>0</v>
      </c>
      <c r="ET40" s="2">
        <v>36.299999999999997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94</v>
      </c>
      <c r="FY40" s="2">
        <v>61</v>
      </c>
      <c r="FZ40" s="2"/>
      <c r="GA40" s="2" t="s">
        <v>3</v>
      </c>
      <c r="GB40" s="2"/>
      <c r="GC40" s="2"/>
      <c r="GD40" s="2">
        <v>1</v>
      </c>
      <c r="GE40" s="2"/>
      <c r="GF40" s="2">
        <v>2133145450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0.98</v>
      </c>
      <c r="GN40" s="2">
        <f t="shared" si="54"/>
        <v>0</v>
      </c>
      <c r="GO40" s="2">
        <f t="shared" si="55"/>
        <v>0</v>
      </c>
      <c r="GP40" s="2">
        <f t="shared" si="56"/>
        <v>0.98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>
        <v>17</v>
      </c>
      <c r="B41">
        <v>1</v>
      </c>
      <c r="C41">
        <f>ROW(SmtRes!A14)</f>
        <v>14</v>
      </c>
      <c r="D41">
        <f>ROW(EtalonRes!A14)</f>
        <v>14</v>
      </c>
      <c r="E41" t="s">
        <v>46</v>
      </c>
      <c r="F41" t="s">
        <v>47</v>
      </c>
      <c r="G41" t="s">
        <v>48</v>
      </c>
      <c r="H41" t="s">
        <v>21</v>
      </c>
      <c r="I41">
        <v>2.7E-2</v>
      </c>
      <c r="J41">
        <v>0</v>
      </c>
      <c r="K41">
        <v>2.7E-2</v>
      </c>
      <c r="O41">
        <f t="shared" si="21"/>
        <v>10.050000000000001</v>
      </c>
      <c r="P41">
        <f t="shared" si="22"/>
        <v>0</v>
      </c>
      <c r="Q41">
        <f t="shared" si="23"/>
        <v>10.050000000000001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56526441</v>
      </c>
      <c r="AB41">
        <f t="shared" si="32"/>
        <v>36.299999999999997</v>
      </c>
      <c r="AC41">
        <f t="shared" si="33"/>
        <v>0</v>
      </c>
      <c r="AD41">
        <f t="shared" si="34"/>
        <v>36.299999999999997</v>
      </c>
      <c r="AE41">
        <f t="shared" si="35"/>
        <v>0</v>
      </c>
      <c r="AF41">
        <f t="shared" si="36"/>
        <v>0</v>
      </c>
      <c r="AG41">
        <f t="shared" si="37"/>
        <v>0</v>
      </c>
      <c r="AH41">
        <f t="shared" si="38"/>
        <v>0</v>
      </c>
      <c r="AI41">
        <f t="shared" si="39"/>
        <v>0</v>
      </c>
      <c r="AJ41">
        <f t="shared" si="40"/>
        <v>0</v>
      </c>
      <c r="AK41">
        <v>36.299999999999997</v>
      </c>
      <c r="AL41">
        <v>0</v>
      </c>
      <c r="AM41">
        <v>36.299999999999997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94</v>
      </c>
      <c r="AU41">
        <v>61</v>
      </c>
      <c r="AV41">
        <v>1</v>
      </c>
      <c r="AW41">
        <v>1</v>
      </c>
      <c r="AZ41">
        <v>1</v>
      </c>
      <c r="BA41">
        <v>1</v>
      </c>
      <c r="BB41">
        <v>10.25</v>
      </c>
      <c r="BC41">
        <v>1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4</v>
      </c>
      <c r="BJ41" t="s">
        <v>49</v>
      </c>
      <c r="BM41">
        <v>188</v>
      </c>
      <c r="BN41">
        <v>0</v>
      </c>
      <c r="BO41" t="s">
        <v>47</v>
      </c>
      <c r="BP41">
        <v>1</v>
      </c>
      <c r="BQ41">
        <v>150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94</v>
      </c>
      <c r="CA41">
        <v>61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41"/>
        <v>10.050000000000001</v>
      </c>
      <c r="CQ41">
        <f t="shared" si="42"/>
        <v>0</v>
      </c>
      <c r="CR41">
        <f t="shared" si="43"/>
        <v>372.08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 t="shared" si="50"/>
        <v>0</v>
      </c>
      <c r="CZ41">
        <f t="shared" si="51"/>
        <v>0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21</v>
      </c>
      <c r="DW41" t="s">
        <v>21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55586412</v>
      </c>
      <c r="EF41">
        <v>150</v>
      </c>
      <c r="EG41" t="s">
        <v>23</v>
      </c>
      <c r="EH41">
        <v>0</v>
      </c>
      <c r="EI41" t="s">
        <v>3</v>
      </c>
      <c r="EJ41">
        <v>4</v>
      </c>
      <c r="EK41">
        <v>188</v>
      </c>
      <c r="EL41" t="s">
        <v>24</v>
      </c>
      <c r="EM41" t="s">
        <v>25</v>
      </c>
      <c r="EO41" t="s">
        <v>3</v>
      </c>
      <c r="EQ41">
        <v>0</v>
      </c>
      <c r="ER41">
        <v>36.299999999999997</v>
      </c>
      <c r="ES41">
        <v>0</v>
      </c>
      <c r="ET41">
        <v>36.299999999999997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94</v>
      </c>
      <c r="FY41">
        <v>61</v>
      </c>
      <c r="GA41" t="s">
        <v>3</v>
      </c>
      <c r="GD41">
        <v>1</v>
      </c>
      <c r="GF41">
        <v>2133145450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52"/>
        <v>0</v>
      </c>
      <c r="GM41">
        <f t="shared" si="53"/>
        <v>10.050000000000001</v>
      </c>
      <c r="GN41">
        <f t="shared" si="54"/>
        <v>0</v>
      </c>
      <c r="GO41">
        <f t="shared" si="55"/>
        <v>0</v>
      </c>
      <c r="GP41">
        <f t="shared" si="56"/>
        <v>10.050000000000001</v>
      </c>
      <c r="GR41">
        <v>0</v>
      </c>
      <c r="GS41">
        <v>3</v>
      </c>
      <c r="GT41">
        <v>0</v>
      </c>
      <c r="GU41" t="s">
        <v>3</v>
      </c>
      <c r="GV41">
        <f t="shared" si="57"/>
        <v>0</v>
      </c>
      <c r="GW41">
        <v>1</v>
      </c>
      <c r="GX41">
        <f t="shared" si="58"/>
        <v>0</v>
      </c>
      <c r="HA41">
        <v>0</v>
      </c>
      <c r="HB41">
        <v>0</v>
      </c>
      <c r="HC41">
        <f t="shared" si="59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5">
      <c r="A42" s="2">
        <v>17</v>
      </c>
      <c r="B42" s="2">
        <v>1</v>
      </c>
      <c r="C42" s="2">
        <f>ROW(SmtRes!A15)</f>
        <v>15</v>
      </c>
      <c r="D42" s="2">
        <f>ROW(EtalonRes!A15)</f>
        <v>15</v>
      </c>
      <c r="E42" s="2" t="s">
        <v>50</v>
      </c>
      <c r="F42" s="2" t="s">
        <v>19</v>
      </c>
      <c r="G42" s="2" t="s">
        <v>51</v>
      </c>
      <c r="H42" s="2" t="s">
        <v>21</v>
      </c>
      <c r="I42" s="2">
        <v>0.65300000000000002</v>
      </c>
      <c r="J42" s="2">
        <v>0</v>
      </c>
      <c r="K42" s="2">
        <v>0.65300000000000002</v>
      </c>
      <c r="L42" s="2"/>
      <c r="M42" s="2"/>
      <c r="N42" s="2"/>
      <c r="O42" s="2">
        <f t="shared" si="21"/>
        <v>20.68</v>
      </c>
      <c r="P42" s="2">
        <f t="shared" si="22"/>
        <v>0</v>
      </c>
      <c r="Q42" s="2">
        <f t="shared" si="23"/>
        <v>20.68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56526439</v>
      </c>
      <c r="AB42" s="2">
        <f t="shared" si="32"/>
        <v>31.67</v>
      </c>
      <c r="AC42" s="2">
        <f t="shared" si="33"/>
        <v>0</v>
      </c>
      <c r="AD42" s="2">
        <f t="shared" si="34"/>
        <v>31.67</v>
      </c>
      <c r="AE42" s="2">
        <f t="shared" si="35"/>
        <v>0</v>
      </c>
      <c r="AF42" s="2">
        <f t="shared" si="36"/>
        <v>0</v>
      </c>
      <c r="AG42" s="2">
        <f t="shared" si="37"/>
        <v>0</v>
      </c>
      <c r="AH42" s="2">
        <f t="shared" si="38"/>
        <v>0</v>
      </c>
      <c r="AI42" s="2">
        <f t="shared" si="39"/>
        <v>0</v>
      </c>
      <c r="AJ42" s="2">
        <f t="shared" si="40"/>
        <v>0</v>
      </c>
      <c r="AK42" s="2">
        <v>31.67</v>
      </c>
      <c r="AL42" s="2">
        <v>0</v>
      </c>
      <c r="AM42" s="2">
        <v>31.67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94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4</v>
      </c>
      <c r="BJ42" s="2" t="s">
        <v>22</v>
      </c>
      <c r="BK42" s="2"/>
      <c r="BL42" s="2"/>
      <c r="BM42" s="2">
        <v>188</v>
      </c>
      <c r="BN42" s="2">
        <v>0</v>
      </c>
      <c r="BO42" s="2" t="s">
        <v>19</v>
      </c>
      <c r="BP42" s="2">
        <v>1</v>
      </c>
      <c r="BQ42" s="2">
        <v>150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94</v>
      </c>
      <c r="CA42" s="2">
        <v>61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41"/>
        <v>20.68</v>
      </c>
      <c r="CQ42" s="2">
        <f t="shared" si="42"/>
        <v>0</v>
      </c>
      <c r="CR42" s="2">
        <f t="shared" si="43"/>
        <v>31.67</v>
      </c>
      <c r="CS42" s="2">
        <f t="shared" si="44"/>
        <v>0</v>
      </c>
      <c r="CT42" s="2">
        <f t="shared" si="45"/>
        <v>0</v>
      </c>
      <c r="CU42" s="2">
        <f t="shared" si="46"/>
        <v>0</v>
      </c>
      <c r="CV42" s="2">
        <f t="shared" si="47"/>
        <v>0</v>
      </c>
      <c r="CW42" s="2">
        <f t="shared" si="48"/>
        <v>0</v>
      </c>
      <c r="CX42" s="2">
        <f t="shared" si="49"/>
        <v>0</v>
      </c>
      <c r="CY42" s="2">
        <f t="shared" si="50"/>
        <v>0</v>
      </c>
      <c r="CZ42" s="2">
        <f t="shared" si="51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21</v>
      </c>
      <c r="DW42" s="2" t="s">
        <v>21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55586412</v>
      </c>
      <c r="EF42" s="2">
        <v>150</v>
      </c>
      <c r="EG42" s="2" t="s">
        <v>23</v>
      </c>
      <c r="EH42" s="2">
        <v>0</v>
      </c>
      <c r="EI42" s="2" t="s">
        <v>3</v>
      </c>
      <c r="EJ42" s="2">
        <v>4</v>
      </c>
      <c r="EK42" s="2">
        <v>188</v>
      </c>
      <c r="EL42" s="2" t="s">
        <v>24</v>
      </c>
      <c r="EM42" s="2" t="s">
        <v>25</v>
      </c>
      <c r="EN42" s="2"/>
      <c r="EO42" s="2" t="s">
        <v>3</v>
      </c>
      <c r="EP42" s="2"/>
      <c r="EQ42" s="2">
        <v>0</v>
      </c>
      <c r="ER42" s="2">
        <v>31.67</v>
      </c>
      <c r="ES42" s="2">
        <v>0</v>
      </c>
      <c r="ET42" s="2">
        <v>31.67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94</v>
      </c>
      <c r="FY42" s="2">
        <v>61</v>
      </c>
      <c r="FZ42" s="2"/>
      <c r="GA42" s="2" t="s">
        <v>3</v>
      </c>
      <c r="GB42" s="2"/>
      <c r="GC42" s="2"/>
      <c r="GD42" s="2">
        <v>1</v>
      </c>
      <c r="GE42" s="2"/>
      <c r="GF42" s="2">
        <v>-1845533248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20.68</v>
      </c>
      <c r="GN42" s="2">
        <f t="shared" si="54"/>
        <v>0</v>
      </c>
      <c r="GO42" s="2">
        <f t="shared" si="55"/>
        <v>0</v>
      </c>
      <c r="GP42" s="2">
        <f t="shared" si="56"/>
        <v>20.68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>
        <v>17</v>
      </c>
      <c r="B43">
        <v>1</v>
      </c>
      <c r="C43">
        <f>ROW(SmtRes!A16)</f>
        <v>16</v>
      </c>
      <c r="D43">
        <f>ROW(EtalonRes!A16)</f>
        <v>16</v>
      </c>
      <c r="E43" t="s">
        <v>50</v>
      </c>
      <c r="F43" t="s">
        <v>19</v>
      </c>
      <c r="G43" t="s">
        <v>51</v>
      </c>
      <c r="H43" t="s">
        <v>21</v>
      </c>
      <c r="I43">
        <v>0.65300000000000002</v>
      </c>
      <c r="J43">
        <v>0</v>
      </c>
      <c r="K43">
        <v>0.65300000000000002</v>
      </c>
      <c r="O43">
        <f t="shared" si="21"/>
        <v>896.89</v>
      </c>
      <c r="P43">
        <f t="shared" si="22"/>
        <v>0</v>
      </c>
      <c r="Q43">
        <f t="shared" si="23"/>
        <v>896.89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56526441</v>
      </c>
      <c r="AB43">
        <f t="shared" si="32"/>
        <v>31.67</v>
      </c>
      <c r="AC43">
        <f t="shared" si="33"/>
        <v>0</v>
      </c>
      <c r="AD43">
        <f t="shared" si="34"/>
        <v>31.67</v>
      </c>
      <c r="AE43">
        <f t="shared" si="35"/>
        <v>0</v>
      </c>
      <c r="AF43">
        <f t="shared" si="36"/>
        <v>0</v>
      </c>
      <c r="AG43">
        <f t="shared" si="37"/>
        <v>0</v>
      </c>
      <c r="AH43">
        <f t="shared" si="38"/>
        <v>0</v>
      </c>
      <c r="AI43">
        <f t="shared" si="39"/>
        <v>0</v>
      </c>
      <c r="AJ43">
        <f t="shared" si="40"/>
        <v>0</v>
      </c>
      <c r="AK43">
        <v>31.67</v>
      </c>
      <c r="AL43">
        <v>0</v>
      </c>
      <c r="AM43">
        <v>31.67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94</v>
      </c>
      <c r="AU43">
        <v>61</v>
      </c>
      <c r="AV43">
        <v>1</v>
      </c>
      <c r="AW43">
        <v>1</v>
      </c>
      <c r="AZ43">
        <v>1</v>
      </c>
      <c r="BA43">
        <v>1</v>
      </c>
      <c r="BB43">
        <v>43.37</v>
      </c>
      <c r="BC43">
        <v>1</v>
      </c>
      <c r="BD43" t="s">
        <v>3</v>
      </c>
      <c r="BE43" t="s">
        <v>3</v>
      </c>
      <c r="BF43" t="s">
        <v>3</v>
      </c>
      <c r="BG43" t="s">
        <v>3</v>
      </c>
      <c r="BH43">
        <v>0</v>
      </c>
      <c r="BI43">
        <v>4</v>
      </c>
      <c r="BJ43" t="s">
        <v>22</v>
      </c>
      <c r="BM43">
        <v>188</v>
      </c>
      <c r="BN43">
        <v>0</v>
      </c>
      <c r="BO43" t="s">
        <v>19</v>
      </c>
      <c r="BP43">
        <v>1</v>
      </c>
      <c r="BQ43">
        <v>150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94</v>
      </c>
      <c r="CA43">
        <v>61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41"/>
        <v>896.89</v>
      </c>
      <c r="CQ43">
        <f t="shared" si="42"/>
        <v>0</v>
      </c>
      <c r="CR43">
        <f t="shared" si="43"/>
        <v>1373.53</v>
      </c>
      <c r="CS43">
        <f t="shared" si="44"/>
        <v>0</v>
      </c>
      <c r="CT43">
        <f t="shared" si="45"/>
        <v>0</v>
      </c>
      <c r="CU43">
        <f t="shared" si="46"/>
        <v>0</v>
      </c>
      <c r="CV43">
        <f t="shared" si="47"/>
        <v>0</v>
      </c>
      <c r="CW43">
        <f t="shared" si="48"/>
        <v>0</v>
      </c>
      <c r="CX43">
        <f t="shared" si="49"/>
        <v>0</v>
      </c>
      <c r="CY43">
        <f t="shared" si="50"/>
        <v>0</v>
      </c>
      <c r="CZ43">
        <f t="shared" si="51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1013</v>
      </c>
      <c r="DV43" t="s">
        <v>21</v>
      </c>
      <c r="DW43" t="s">
        <v>21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55586412</v>
      </c>
      <c r="EF43">
        <v>150</v>
      </c>
      <c r="EG43" t="s">
        <v>23</v>
      </c>
      <c r="EH43">
        <v>0</v>
      </c>
      <c r="EI43" t="s">
        <v>3</v>
      </c>
      <c r="EJ43">
        <v>4</v>
      </c>
      <c r="EK43">
        <v>188</v>
      </c>
      <c r="EL43" t="s">
        <v>24</v>
      </c>
      <c r="EM43" t="s">
        <v>25</v>
      </c>
      <c r="EO43" t="s">
        <v>3</v>
      </c>
      <c r="EQ43">
        <v>0</v>
      </c>
      <c r="ER43">
        <v>31.67</v>
      </c>
      <c r="ES43">
        <v>0</v>
      </c>
      <c r="ET43">
        <v>31.67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94</v>
      </c>
      <c r="FY43">
        <v>61</v>
      </c>
      <c r="GA43" t="s">
        <v>3</v>
      </c>
      <c r="GD43">
        <v>1</v>
      </c>
      <c r="GF43">
        <v>-1845533248</v>
      </c>
      <c r="GG43">
        <v>2</v>
      </c>
      <c r="GH43">
        <v>1</v>
      </c>
      <c r="GI43">
        <v>2</v>
      </c>
      <c r="GJ43">
        <v>0</v>
      </c>
      <c r="GK43">
        <v>0</v>
      </c>
      <c r="GL43">
        <f t="shared" si="52"/>
        <v>0</v>
      </c>
      <c r="GM43">
        <f t="shared" si="53"/>
        <v>896.89</v>
      </c>
      <c r="GN43">
        <f t="shared" si="54"/>
        <v>0</v>
      </c>
      <c r="GO43">
        <f t="shared" si="55"/>
        <v>0</v>
      </c>
      <c r="GP43">
        <f t="shared" si="56"/>
        <v>896.89</v>
      </c>
      <c r="GR43">
        <v>0</v>
      </c>
      <c r="GS43">
        <v>3</v>
      </c>
      <c r="GT43">
        <v>0</v>
      </c>
      <c r="GU43" t="s">
        <v>3</v>
      </c>
      <c r="GV43">
        <f t="shared" si="57"/>
        <v>0</v>
      </c>
      <c r="GW43">
        <v>1</v>
      </c>
      <c r="GX43">
        <f t="shared" si="58"/>
        <v>0</v>
      </c>
      <c r="HA43">
        <v>0</v>
      </c>
      <c r="HB43">
        <v>0</v>
      </c>
      <c r="HC43">
        <f t="shared" si="59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5">
      <c r="A44" s="2">
        <v>17</v>
      </c>
      <c r="B44" s="2">
        <v>1</v>
      </c>
      <c r="C44" s="2">
        <f>ROW(SmtRes!A17)</f>
        <v>17</v>
      </c>
      <c r="D44" s="2">
        <f>ROW(EtalonRes!A17)</f>
        <v>17</v>
      </c>
      <c r="E44" s="2" t="s">
        <v>52</v>
      </c>
      <c r="F44" s="2" t="s">
        <v>53</v>
      </c>
      <c r="G44" s="2" t="s">
        <v>54</v>
      </c>
      <c r="H44" s="2" t="s">
        <v>21</v>
      </c>
      <c r="I44" s="2">
        <v>3.8730000000000002</v>
      </c>
      <c r="J44" s="2">
        <v>0</v>
      </c>
      <c r="K44" s="2">
        <v>3.8730000000000002</v>
      </c>
      <c r="L44" s="2"/>
      <c r="M44" s="2"/>
      <c r="N44" s="2"/>
      <c r="O44" s="2">
        <f t="shared" si="21"/>
        <v>184.01</v>
      </c>
      <c r="P44" s="2">
        <f t="shared" si="22"/>
        <v>0</v>
      </c>
      <c r="Q44" s="2">
        <f t="shared" si="23"/>
        <v>184.01</v>
      </c>
      <c r="R44" s="2">
        <f t="shared" si="24"/>
        <v>0</v>
      </c>
      <c r="S44" s="2">
        <f t="shared" si="25"/>
        <v>0</v>
      </c>
      <c r="T44" s="2">
        <f t="shared" si="26"/>
        <v>0</v>
      </c>
      <c r="U44" s="2">
        <f t="shared" si="27"/>
        <v>0</v>
      </c>
      <c r="V44" s="2">
        <f t="shared" si="28"/>
        <v>0</v>
      </c>
      <c r="W44" s="2">
        <f t="shared" si="29"/>
        <v>0</v>
      </c>
      <c r="X44" s="2">
        <f t="shared" si="30"/>
        <v>0</v>
      </c>
      <c r="Y44" s="2">
        <f t="shared" si="31"/>
        <v>0</v>
      </c>
      <c r="Z44" s="2"/>
      <c r="AA44" s="2">
        <v>56526439</v>
      </c>
      <c r="AB44" s="2">
        <f t="shared" si="32"/>
        <v>47.51</v>
      </c>
      <c r="AC44" s="2">
        <f t="shared" si="33"/>
        <v>0</v>
      </c>
      <c r="AD44" s="2">
        <f t="shared" si="34"/>
        <v>47.51</v>
      </c>
      <c r="AE44" s="2">
        <f t="shared" si="35"/>
        <v>0</v>
      </c>
      <c r="AF44" s="2">
        <f t="shared" si="36"/>
        <v>0</v>
      </c>
      <c r="AG44" s="2">
        <f t="shared" si="37"/>
        <v>0</v>
      </c>
      <c r="AH44" s="2">
        <f t="shared" si="38"/>
        <v>0</v>
      </c>
      <c r="AI44" s="2">
        <f t="shared" si="39"/>
        <v>0</v>
      </c>
      <c r="AJ44" s="2">
        <f t="shared" si="40"/>
        <v>0</v>
      </c>
      <c r="AK44" s="2">
        <v>47.51</v>
      </c>
      <c r="AL44" s="2">
        <v>0</v>
      </c>
      <c r="AM44" s="2">
        <v>47.51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94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4</v>
      </c>
      <c r="BJ44" s="2" t="s">
        <v>55</v>
      </c>
      <c r="BK44" s="2"/>
      <c r="BL44" s="2"/>
      <c r="BM44" s="2">
        <v>188</v>
      </c>
      <c r="BN44" s="2">
        <v>0</v>
      </c>
      <c r="BO44" s="2" t="s">
        <v>53</v>
      </c>
      <c r="BP44" s="2">
        <v>1</v>
      </c>
      <c r="BQ44" s="2">
        <v>150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94</v>
      </c>
      <c r="CA44" s="2">
        <v>61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41"/>
        <v>184.01</v>
      </c>
      <c r="CQ44" s="2">
        <f t="shared" si="42"/>
        <v>0</v>
      </c>
      <c r="CR44" s="2">
        <f t="shared" si="43"/>
        <v>47.51</v>
      </c>
      <c r="CS44" s="2">
        <f t="shared" si="44"/>
        <v>0</v>
      </c>
      <c r="CT44" s="2">
        <f t="shared" si="45"/>
        <v>0</v>
      </c>
      <c r="CU44" s="2">
        <f t="shared" si="46"/>
        <v>0</v>
      </c>
      <c r="CV44" s="2">
        <f t="shared" si="47"/>
        <v>0</v>
      </c>
      <c r="CW44" s="2">
        <f t="shared" si="48"/>
        <v>0</v>
      </c>
      <c r="CX44" s="2">
        <f t="shared" si="49"/>
        <v>0</v>
      </c>
      <c r="CY44" s="2">
        <f t="shared" si="50"/>
        <v>0</v>
      </c>
      <c r="CZ44" s="2">
        <f t="shared" si="51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21</v>
      </c>
      <c r="DW44" s="2" t="s">
        <v>21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55586412</v>
      </c>
      <c r="EF44" s="2">
        <v>150</v>
      </c>
      <c r="EG44" s="2" t="s">
        <v>23</v>
      </c>
      <c r="EH44" s="2">
        <v>0</v>
      </c>
      <c r="EI44" s="2" t="s">
        <v>3</v>
      </c>
      <c r="EJ44" s="2">
        <v>4</v>
      </c>
      <c r="EK44" s="2">
        <v>188</v>
      </c>
      <c r="EL44" s="2" t="s">
        <v>24</v>
      </c>
      <c r="EM44" s="2" t="s">
        <v>25</v>
      </c>
      <c r="EN44" s="2"/>
      <c r="EO44" s="2" t="s">
        <v>3</v>
      </c>
      <c r="EP44" s="2"/>
      <c r="EQ44" s="2">
        <v>0</v>
      </c>
      <c r="ER44" s="2">
        <v>47.51</v>
      </c>
      <c r="ES44" s="2">
        <v>0</v>
      </c>
      <c r="ET44" s="2">
        <v>47.51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94</v>
      </c>
      <c r="FY44" s="2">
        <v>61</v>
      </c>
      <c r="FZ44" s="2"/>
      <c r="GA44" s="2" t="s">
        <v>3</v>
      </c>
      <c r="GB44" s="2"/>
      <c r="GC44" s="2"/>
      <c r="GD44" s="2">
        <v>1</v>
      </c>
      <c r="GE44" s="2"/>
      <c r="GF44" s="2">
        <v>-1940098193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184.01</v>
      </c>
      <c r="GN44" s="2">
        <f t="shared" si="54"/>
        <v>0</v>
      </c>
      <c r="GO44" s="2">
        <f t="shared" si="55"/>
        <v>0</v>
      </c>
      <c r="GP44" s="2">
        <f t="shared" si="56"/>
        <v>184.01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>
        <v>17</v>
      </c>
      <c r="B45">
        <v>1</v>
      </c>
      <c r="C45">
        <f>ROW(SmtRes!A18)</f>
        <v>18</v>
      </c>
      <c r="D45">
        <f>ROW(EtalonRes!A18)</f>
        <v>18</v>
      </c>
      <c r="E45" t="s">
        <v>52</v>
      </c>
      <c r="F45" t="s">
        <v>53</v>
      </c>
      <c r="G45" t="s">
        <v>54</v>
      </c>
      <c r="H45" t="s">
        <v>21</v>
      </c>
      <c r="I45">
        <v>3.8730000000000002</v>
      </c>
      <c r="J45">
        <v>0</v>
      </c>
      <c r="K45">
        <v>3.8730000000000002</v>
      </c>
      <c r="O45">
        <f t="shared" si="21"/>
        <v>6536.04</v>
      </c>
      <c r="P45">
        <f t="shared" si="22"/>
        <v>0</v>
      </c>
      <c r="Q45">
        <f t="shared" si="23"/>
        <v>6536.04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v>56526441</v>
      </c>
      <c r="AB45">
        <f t="shared" si="32"/>
        <v>47.51</v>
      </c>
      <c r="AC45">
        <f t="shared" si="33"/>
        <v>0</v>
      </c>
      <c r="AD45">
        <f t="shared" si="34"/>
        <v>47.51</v>
      </c>
      <c r="AE45">
        <f t="shared" si="35"/>
        <v>0</v>
      </c>
      <c r="AF45">
        <f t="shared" si="36"/>
        <v>0</v>
      </c>
      <c r="AG45">
        <f t="shared" si="37"/>
        <v>0</v>
      </c>
      <c r="AH45">
        <f t="shared" si="38"/>
        <v>0</v>
      </c>
      <c r="AI45">
        <f t="shared" si="39"/>
        <v>0</v>
      </c>
      <c r="AJ45">
        <f t="shared" si="40"/>
        <v>0</v>
      </c>
      <c r="AK45">
        <v>47.51</v>
      </c>
      <c r="AL45">
        <v>0</v>
      </c>
      <c r="AM45">
        <v>47.51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94</v>
      </c>
      <c r="AU45">
        <v>61</v>
      </c>
      <c r="AV45">
        <v>1</v>
      </c>
      <c r="AW45">
        <v>1</v>
      </c>
      <c r="AZ45">
        <v>1</v>
      </c>
      <c r="BA45">
        <v>1</v>
      </c>
      <c r="BB45">
        <v>35.520000000000003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4</v>
      </c>
      <c r="BJ45" t="s">
        <v>55</v>
      </c>
      <c r="BM45">
        <v>188</v>
      </c>
      <c r="BN45">
        <v>0</v>
      </c>
      <c r="BO45" t="s">
        <v>53</v>
      </c>
      <c r="BP45">
        <v>1</v>
      </c>
      <c r="BQ45">
        <v>150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94</v>
      </c>
      <c r="CA45">
        <v>61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41"/>
        <v>6536.04</v>
      </c>
      <c r="CQ45">
        <f t="shared" si="42"/>
        <v>0</v>
      </c>
      <c r="CR45">
        <f t="shared" si="43"/>
        <v>1687.56</v>
      </c>
      <c r="CS45">
        <f t="shared" si="44"/>
        <v>0</v>
      </c>
      <c r="CT45">
        <f t="shared" si="45"/>
        <v>0</v>
      </c>
      <c r="CU45">
        <f t="shared" si="46"/>
        <v>0</v>
      </c>
      <c r="CV45">
        <f t="shared" si="47"/>
        <v>0</v>
      </c>
      <c r="CW45">
        <f t="shared" si="48"/>
        <v>0</v>
      </c>
      <c r="CX45">
        <f t="shared" si="49"/>
        <v>0</v>
      </c>
      <c r="CY45">
        <f t="shared" si="50"/>
        <v>0</v>
      </c>
      <c r="CZ45">
        <f t="shared" si="51"/>
        <v>0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21</v>
      </c>
      <c r="DW45" t="s">
        <v>21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55586412</v>
      </c>
      <c r="EF45">
        <v>150</v>
      </c>
      <c r="EG45" t="s">
        <v>23</v>
      </c>
      <c r="EH45">
        <v>0</v>
      </c>
      <c r="EI45" t="s">
        <v>3</v>
      </c>
      <c r="EJ45">
        <v>4</v>
      </c>
      <c r="EK45">
        <v>188</v>
      </c>
      <c r="EL45" t="s">
        <v>24</v>
      </c>
      <c r="EM45" t="s">
        <v>25</v>
      </c>
      <c r="EO45" t="s">
        <v>3</v>
      </c>
      <c r="EQ45">
        <v>0</v>
      </c>
      <c r="ER45">
        <v>47.51</v>
      </c>
      <c r="ES45">
        <v>0</v>
      </c>
      <c r="ET45">
        <v>47.51</v>
      </c>
      <c r="EU45">
        <v>0</v>
      </c>
      <c r="EV45">
        <v>0</v>
      </c>
      <c r="EW45">
        <v>0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94</v>
      </c>
      <c r="FY45">
        <v>61</v>
      </c>
      <c r="GA45" t="s">
        <v>3</v>
      </c>
      <c r="GD45">
        <v>1</v>
      </c>
      <c r="GF45">
        <v>-1940098193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52"/>
        <v>0</v>
      </c>
      <c r="GM45">
        <f t="shared" si="53"/>
        <v>6536.04</v>
      </c>
      <c r="GN45">
        <f t="shared" si="54"/>
        <v>0</v>
      </c>
      <c r="GO45">
        <f t="shared" si="55"/>
        <v>0</v>
      </c>
      <c r="GP45">
        <f t="shared" si="56"/>
        <v>6536.04</v>
      </c>
      <c r="GR45">
        <v>0</v>
      </c>
      <c r="GS45">
        <v>3</v>
      </c>
      <c r="GT45">
        <v>0</v>
      </c>
      <c r="GU45" t="s">
        <v>3</v>
      </c>
      <c r="GV45">
        <f t="shared" si="57"/>
        <v>0</v>
      </c>
      <c r="GW45">
        <v>1</v>
      </c>
      <c r="GX45">
        <f t="shared" si="58"/>
        <v>0</v>
      </c>
      <c r="HA45">
        <v>0</v>
      </c>
      <c r="HB45">
        <v>0</v>
      </c>
      <c r="HC45">
        <f t="shared" si="59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5">
      <c r="A46" s="2">
        <v>17</v>
      </c>
      <c r="B46" s="2">
        <v>1</v>
      </c>
      <c r="C46" s="2">
        <f>ROW(SmtRes!A19)</f>
        <v>19</v>
      </c>
      <c r="D46" s="2">
        <f>ROW(EtalonRes!A19)</f>
        <v>19</v>
      </c>
      <c r="E46" s="2" t="s">
        <v>56</v>
      </c>
      <c r="F46" s="2" t="s">
        <v>57</v>
      </c>
      <c r="G46" s="2" t="s">
        <v>58</v>
      </c>
      <c r="H46" s="2" t="s">
        <v>21</v>
      </c>
      <c r="I46" s="2">
        <v>666.67899999999997</v>
      </c>
      <c r="J46" s="2">
        <v>0</v>
      </c>
      <c r="K46" s="2">
        <v>666.67899999999997</v>
      </c>
      <c r="L46" s="2"/>
      <c r="M46" s="2"/>
      <c r="N46" s="2"/>
      <c r="O46" s="2">
        <f t="shared" si="21"/>
        <v>15046.95</v>
      </c>
      <c r="P46" s="2">
        <f t="shared" si="22"/>
        <v>0</v>
      </c>
      <c r="Q46" s="2">
        <f t="shared" si="23"/>
        <v>15046.95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56526439</v>
      </c>
      <c r="AB46" s="2">
        <f t="shared" si="32"/>
        <v>22.57</v>
      </c>
      <c r="AC46" s="2">
        <f t="shared" si="33"/>
        <v>0</v>
      </c>
      <c r="AD46" s="2">
        <f t="shared" si="34"/>
        <v>22.57</v>
      </c>
      <c r="AE46" s="2">
        <f t="shared" si="35"/>
        <v>0</v>
      </c>
      <c r="AF46" s="2">
        <f t="shared" si="36"/>
        <v>0</v>
      </c>
      <c r="AG46" s="2">
        <f t="shared" si="37"/>
        <v>0</v>
      </c>
      <c r="AH46" s="2">
        <f t="shared" si="38"/>
        <v>0</v>
      </c>
      <c r="AI46" s="2">
        <f t="shared" si="39"/>
        <v>0</v>
      </c>
      <c r="AJ46" s="2">
        <f t="shared" si="40"/>
        <v>0</v>
      </c>
      <c r="AK46" s="2">
        <v>22.57</v>
      </c>
      <c r="AL46" s="2">
        <v>0</v>
      </c>
      <c r="AM46" s="2">
        <v>22.57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94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4</v>
      </c>
      <c r="BJ46" s="2" t="s">
        <v>59</v>
      </c>
      <c r="BK46" s="2"/>
      <c r="BL46" s="2"/>
      <c r="BM46" s="2">
        <v>188</v>
      </c>
      <c r="BN46" s="2">
        <v>0</v>
      </c>
      <c r="BO46" s="2" t="s">
        <v>57</v>
      </c>
      <c r="BP46" s="2">
        <v>1</v>
      </c>
      <c r="BQ46" s="2">
        <v>150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94</v>
      </c>
      <c r="CA46" s="2">
        <v>61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41"/>
        <v>15046.95</v>
      </c>
      <c r="CQ46" s="2">
        <f t="shared" si="42"/>
        <v>0</v>
      </c>
      <c r="CR46" s="2">
        <f t="shared" si="43"/>
        <v>22.57</v>
      </c>
      <c r="CS46" s="2">
        <f t="shared" si="44"/>
        <v>0</v>
      </c>
      <c r="CT46" s="2">
        <f t="shared" si="45"/>
        <v>0</v>
      </c>
      <c r="CU46" s="2">
        <f t="shared" si="46"/>
        <v>0</v>
      </c>
      <c r="CV46" s="2">
        <f t="shared" si="47"/>
        <v>0</v>
      </c>
      <c r="CW46" s="2">
        <f t="shared" si="48"/>
        <v>0</v>
      </c>
      <c r="CX46" s="2">
        <f t="shared" si="49"/>
        <v>0</v>
      </c>
      <c r="CY46" s="2">
        <f t="shared" si="50"/>
        <v>0</v>
      </c>
      <c r="CZ46" s="2">
        <f t="shared" si="51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21</v>
      </c>
      <c r="DW46" s="2" t="s">
        <v>21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55586412</v>
      </c>
      <c r="EF46" s="2">
        <v>150</v>
      </c>
      <c r="EG46" s="2" t="s">
        <v>23</v>
      </c>
      <c r="EH46" s="2">
        <v>0</v>
      </c>
      <c r="EI46" s="2" t="s">
        <v>3</v>
      </c>
      <c r="EJ46" s="2">
        <v>4</v>
      </c>
      <c r="EK46" s="2">
        <v>188</v>
      </c>
      <c r="EL46" s="2" t="s">
        <v>24</v>
      </c>
      <c r="EM46" s="2" t="s">
        <v>25</v>
      </c>
      <c r="EN46" s="2"/>
      <c r="EO46" s="2" t="s">
        <v>3</v>
      </c>
      <c r="EP46" s="2"/>
      <c r="EQ46" s="2">
        <v>0</v>
      </c>
      <c r="ER46" s="2">
        <v>22.57</v>
      </c>
      <c r="ES46" s="2">
        <v>0</v>
      </c>
      <c r="ET46" s="2">
        <v>22.57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94</v>
      </c>
      <c r="FY46" s="2">
        <v>61</v>
      </c>
      <c r="FZ46" s="2"/>
      <c r="GA46" s="2" t="s">
        <v>3</v>
      </c>
      <c r="GB46" s="2"/>
      <c r="GC46" s="2"/>
      <c r="GD46" s="2">
        <v>1</v>
      </c>
      <c r="GE46" s="2"/>
      <c r="GF46" s="2">
        <v>-653583103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15046.95</v>
      </c>
      <c r="GN46" s="2">
        <f t="shared" si="54"/>
        <v>0</v>
      </c>
      <c r="GO46" s="2">
        <f t="shared" si="55"/>
        <v>0</v>
      </c>
      <c r="GP46" s="2">
        <f t="shared" si="56"/>
        <v>15046.95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>
        <v>17</v>
      </c>
      <c r="B47">
        <v>1</v>
      </c>
      <c r="C47">
        <f>ROW(SmtRes!A20)</f>
        <v>20</v>
      </c>
      <c r="D47">
        <f>ROW(EtalonRes!A20)</f>
        <v>20</v>
      </c>
      <c r="E47" t="s">
        <v>56</v>
      </c>
      <c r="F47" t="s">
        <v>57</v>
      </c>
      <c r="G47" t="s">
        <v>58</v>
      </c>
      <c r="H47" t="s">
        <v>21</v>
      </c>
      <c r="I47">
        <v>666.67899999999997</v>
      </c>
      <c r="J47">
        <v>0</v>
      </c>
      <c r="K47">
        <v>666.67899999999997</v>
      </c>
      <c r="O47">
        <f t="shared" si="21"/>
        <v>97504.24</v>
      </c>
      <c r="P47">
        <f t="shared" si="22"/>
        <v>0</v>
      </c>
      <c r="Q47">
        <f t="shared" si="23"/>
        <v>97504.24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56526441</v>
      </c>
      <c r="AB47">
        <f t="shared" si="32"/>
        <v>22.57</v>
      </c>
      <c r="AC47">
        <f t="shared" si="33"/>
        <v>0</v>
      </c>
      <c r="AD47">
        <f t="shared" si="34"/>
        <v>22.57</v>
      </c>
      <c r="AE47">
        <f t="shared" si="35"/>
        <v>0</v>
      </c>
      <c r="AF47">
        <f t="shared" si="36"/>
        <v>0</v>
      </c>
      <c r="AG47">
        <f t="shared" si="37"/>
        <v>0</v>
      </c>
      <c r="AH47">
        <f t="shared" si="38"/>
        <v>0</v>
      </c>
      <c r="AI47">
        <f t="shared" si="39"/>
        <v>0</v>
      </c>
      <c r="AJ47">
        <f t="shared" si="40"/>
        <v>0</v>
      </c>
      <c r="AK47">
        <v>22.57</v>
      </c>
      <c r="AL47">
        <v>0</v>
      </c>
      <c r="AM47">
        <v>22.57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94</v>
      </c>
      <c r="AU47">
        <v>61</v>
      </c>
      <c r="AV47">
        <v>1</v>
      </c>
      <c r="AW47">
        <v>1</v>
      </c>
      <c r="AZ47">
        <v>1</v>
      </c>
      <c r="BA47">
        <v>1</v>
      </c>
      <c r="BB47">
        <v>6.48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4</v>
      </c>
      <c r="BJ47" t="s">
        <v>59</v>
      </c>
      <c r="BM47">
        <v>188</v>
      </c>
      <c r="BN47">
        <v>0</v>
      </c>
      <c r="BO47" t="s">
        <v>57</v>
      </c>
      <c r="BP47">
        <v>1</v>
      </c>
      <c r="BQ47">
        <v>150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94</v>
      </c>
      <c r="CA47">
        <v>61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41"/>
        <v>97504.24</v>
      </c>
      <c r="CQ47">
        <f t="shared" si="42"/>
        <v>0</v>
      </c>
      <c r="CR47">
        <f t="shared" si="43"/>
        <v>146.25</v>
      </c>
      <c r="CS47">
        <f t="shared" si="44"/>
        <v>0</v>
      </c>
      <c r="CT47">
        <f t="shared" si="45"/>
        <v>0</v>
      </c>
      <c r="CU47">
        <f t="shared" si="46"/>
        <v>0</v>
      </c>
      <c r="CV47">
        <f t="shared" si="47"/>
        <v>0</v>
      </c>
      <c r="CW47">
        <f t="shared" si="48"/>
        <v>0</v>
      </c>
      <c r="CX47">
        <f t="shared" si="49"/>
        <v>0</v>
      </c>
      <c r="CY47">
        <f t="shared" si="50"/>
        <v>0</v>
      </c>
      <c r="CZ47">
        <f t="shared" si="51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1013</v>
      </c>
      <c r="DV47" t="s">
        <v>21</v>
      </c>
      <c r="DW47" t="s">
        <v>21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55586412</v>
      </c>
      <c r="EF47">
        <v>150</v>
      </c>
      <c r="EG47" t="s">
        <v>23</v>
      </c>
      <c r="EH47">
        <v>0</v>
      </c>
      <c r="EI47" t="s">
        <v>3</v>
      </c>
      <c r="EJ47">
        <v>4</v>
      </c>
      <c r="EK47">
        <v>188</v>
      </c>
      <c r="EL47" t="s">
        <v>24</v>
      </c>
      <c r="EM47" t="s">
        <v>25</v>
      </c>
      <c r="EO47" t="s">
        <v>3</v>
      </c>
      <c r="EQ47">
        <v>0</v>
      </c>
      <c r="ER47">
        <v>22.57</v>
      </c>
      <c r="ES47">
        <v>0</v>
      </c>
      <c r="ET47">
        <v>22.57</v>
      </c>
      <c r="EU47">
        <v>0</v>
      </c>
      <c r="EV47">
        <v>0</v>
      </c>
      <c r="EW47">
        <v>0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94</v>
      </c>
      <c r="FY47">
        <v>61</v>
      </c>
      <c r="GA47" t="s">
        <v>3</v>
      </c>
      <c r="GD47">
        <v>1</v>
      </c>
      <c r="GF47">
        <v>-653583103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52"/>
        <v>0</v>
      </c>
      <c r="GM47">
        <f t="shared" si="53"/>
        <v>97504.24</v>
      </c>
      <c r="GN47">
        <f t="shared" si="54"/>
        <v>0</v>
      </c>
      <c r="GO47">
        <f t="shared" si="55"/>
        <v>0</v>
      </c>
      <c r="GP47">
        <f t="shared" si="56"/>
        <v>97504.24</v>
      </c>
      <c r="GR47">
        <v>0</v>
      </c>
      <c r="GS47">
        <v>3</v>
      </c>
      <c r="GT47">
        <v>0</v>
      </c>
      <c r="GU47" t="s">
        <v>3</v>
      </c>
      <c r="GV47">
        <f t="shared" si="57"/>
        <v>0</v>
      </c>
      <c r="GW47">
        <v>1</v>
      </c>
      <c r="GX47">
        <f t="shared" si="58"/>
        <v>0</v>
      </c>
      <c r="HA47">
        <v>0</v>
      </c>
      <c r="HB47">
        <v>0</v>
      </c>
      <c r="HC47">
        <f t="shared" si="59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5">
      <c r="A48" s="2">
        <v>17</v>
      </c>
      <c r="B48" s="2">
        <v>1</v>
      </c>
      <c r="C48" s="2">
        <f>ROW(SmtRes!A21)</f>
        <v>21</v>
      </c>
      <c r="D48" s="2">
        <f>ROW(EtalonRes!A21)</f>
        <v>21</v>
      </c>
      <c r="E48" s="2" t="s">
        <v>60</v>
      </c>
      <c r="F48" s="2" t="s">
        <v>61</v>
      </c>
      <c r="G48" s="2" t="s">
        <v>62</v>
      </c>
      <c r="H48" s="2" t="s">
        <v>21</v>
      </c>
      <c r="I48" s="2">
        <v>146.251</v>
      </c>
      <c r="J48" s="2">
        <v>0</v>
      </c>
      <c r="K48" s="2">
        <v>146.251</v>
      </c>
      <c r="L48" s="2"/>
      <c r="M48" s="2"/>
      <c r="N48" s="2"/>
      <c r="O48" s="2">
        <f t="shared" si="21"/>
        <v>3175.11</v>
      </c>
      <c r="P48" s="2">
        <f t="shared" si="22"/>
        <v>0</v>
      </c>
      <c r="Q48" s="2">
        <f t="shared" si="23"/>
        <v>3175.11</v>
      </c>
      <c r="R48" s="2">
        <f t="shared" si="24"/>
        <v>0</v>
      </c>
      <c r="S48" s="2">
        <f t="shared" si="25"/>
        <v>0</v>
      </c>
      <c r="T48" s="2">
        <f t="shared" si="26"/>
        <v>0</v>
      </c>
      <c r="U48" s="2">
        <f t="shared" si="27"/>
        <v>0</v>
      </c>
      <c r="V48" s="2">
        <f t="shared" si="28"/>
        <v>0</v>
      </c>
      <c r="W48" s="2">
        <f t="shared" si="29"/>
        <v>0</v>
      </c>
      <c r="X48" s="2">
        <f t="shared" si="30"/>
        <v>0</v>
      </c>
      <c r="Y48" s="2">
        <f t="shared" si="31"/>
        <v>0</v>
      </c>
      <c r="Z48" s="2"/>
      <c r="AA48" s="2">
        <v>56526439</v>
      </c>
      <c r="AB48" s="2">
        <f t="shared" si="32"/>
        <v>21.71</v>
      </c>
      <c r="AC48" s="2">
        <f t="shared" si="33"/>
        <v>0</v>
      </c>
      <c r="AD48" s="2">
        <f t="shared" si="34"/>
        <v>21.71</v>
      </c>
      <c r="AE48" s="2">
        <f t="shared" si="35"/>
        <v>0</v>
      </c>
      <c r="AF48" s="2">
        <f t="shared" si="36"/>
        <v>0</v>
      </c>
      <c r="AG48" s="2">
        <f t="shared" si="37"/>
        <v>0</v>
      </c>
      <c r="AH48" s="2">
        <f t="shared" si="38"/>
        <v>0</v>
      </c>
      <c r="AI48" s="2">
        <f t="shared" si="39"/>
        <v>0</v>
      </c>
      <c r="AJ48" s="2">
        <f t="shared" si="40"/>
        <v>0</v>
      </c>
      <c r="AK48" s="2">
        <v>21.71</v>
      </c>
      <c r="AL48" s="2">
        <v>0</v>
      </c>
      <c r="AM48" s="2">
        <v>21.71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94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4</v>
      </c>
      <c r="BJ48" s="2" t="s">
        <v>63</v>
      </c>
      <c r="BK48" s="2"/>
      <c r="BL48" s="2"/>
      <c r="BM48" s="2">
        <v>188</v>
      </c>
      <c r="BN48" s="2">
        <v>0</v>
      </c>
      <c r="BO48" s="2" t="s">
        <v>61</v>
      </c>
      <c r="BP48" s="2">
        <v>1</v>
      </c>
      <c r="BQ48" s="2">
        <v>150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94</v>
      </c>
      <c r="CA48" s="2">
        <v>61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41"/>
        <v>3175.11</v>
      </c>
      <c r="CQ48" s="2">
        <f t="shared" si="42"/>
        <v>0</v>
      </c>
      <c r="CR48" s="2">
        <f t="shared" si="43"/>
        <v>21.71</v>
      </c>
      <c r="CS48" s="2">
        <f t="shared" si="44"/>
        <v>0</v>
      </c>
      <c r="CT48" s="2">
        <f t="shared" si="45"/>
        <v>0</v>
      </c>
      <c r="CU48" s="2">
        <f t="shared" si="46"/>
        <v>0</v>
      </c>
      <c r="CV48" s="2">
        <f t="shared" si="47"/>
        <v>0</v>
      </c>
      <c r="CW48" s="2">
        <f t="shared" si="48"/>
        <v>0</v>
      </c>
      <c r="CX48" s="2">
        <f t="shared" si="49"/>
        <v>0</v>
      </c>
      <c r="CY48" s="2">
        <f t="shared" si="50"/>
        <v>0</v>
      </c>
      <c r="CZ48" s="2">
        <f t="shared" si="51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21</v>
      </c>
      <c r="DW48" s="2" t="s">
        <v>21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55586412</v>
      </c>
      <c r="EF48" s="2">
        <v>150</v>
      </c>
      <c r="EG48" s="2" t="s">
        <v>23</v>
      </c>
      <c r="EH48" s="2">
        <v>0</v>
      </c>
      <c r="EI48" s="2" t="s">
        <v>3</v>
      </c>
      <c r="EJ48" s="2">
        <v>4</v>
      </c>
      <c r="EK48" s="2">
        <v>188</v>
      </c>
      <c r="EL48" s="2" t="s">
        <v>24</v>
      </c>
      <c r="EM48" s="2" t="s">
        <v>25</v>
      </c>
      <c r="EN48" s="2"/>
      <c r="EO48" s="2" t="s">
        <v>3</v>
      </c>
      <c r="EP48" s="2"/>
      <c r="EQ48" s="2">
        <v>0</v>
      </c>
      <c r="ER48" s="2">
        <v>21.71</v>
      </c>
      <c r="ES48" s="2">
        <v>0</v>
      </c>
      <c r="ET48" s="2">
        <v>21.71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94</v>
      </c>
      <c r="FY48" s="2">
        <v>61</v>
      </c>
      <c r="FZ48" s="2"/>
      <c r="GA48" s="2" t="s">
        <v>3</v>
      </c>
      <c r="GB48" s="2"/>
      <c r="GC48" s="2"/>
      <c r="GD48" s="2">
        <v>1</v>
      </c>
      <c r="GE48" s="2"/>
      <c r="GF48" s="2">
        <v>1920650122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3175.11</v>
      </c>
      <c r="GN48" s="2">
        <f t="shared" si="54"/>
        <v>0</v>
      </c>
      <c r="GO48" s="2">
        <f t="shared" si="55"/>
        <v>0</v>
      </c>
      <c r="GP48" s="2">
        <f t="shared" si="56"/>
        <v>3175.11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>
        <v>17</v>
      </c>
      <c r="B49">
        <v>1</v>
      </c>
      <c r="C49">
        <f>ROW(SmtRes!A22)</f>
        <v>22</v>
      </c>
      <c r="D49">
        <f>ROW(EtalonRes!A22)</f>
        <v>22</v>
      </c>
      <c r="E49" t="s">
        <v>60</v>
      </c>
      <c r="F49" t="s">
        <v>61</v>
      </c>
      <c r="G49" t="s">
        <v>62</v>
      </c>
      <c r="H49" t="s">
        <v>21</v>
      </c>
      <c r="I49">
        <v>146.251</v>
      </c>
      <c r="J49">
        <v>0</v>
      </c>
      <c r="K49">
        <v>146.251</v>
      </c>
      <c r="O49">
        <f t="shared" si="21"/>
        <v>44642.05</v>
      </c>
      <c r="P49">
        <f t="shared" si="22"/>
        <v>0</v>
      </c>
      <c r="Q49">
        <f t="shared" si="23"/>
        <v>44642.05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v>56526441</v>
      </c>
      <c r="AB49">
        <f t="shared" si="32"/>
        <v>21.71</v>
      </c>
      <c r="AC49">
        <f t="shared" si="33"/>
        <v>0</v>
      </c>
      <c r="AD49">
        <f t="shared" si="34"/>
        <v>21.71</v>
      </c>
      <c r="AE49">
        <f t="shared" si="35"/>
        <v>0</v>
      </c>
      <c r="AF49">
        <f t="shared" si="36"/>
        <v>0</v>
      </c>
      <c r="AG49">
        <f t="shared" si="37"/>
        <v>0</v>
      </c>
      <c r="AH49">
        <f t="shared" si="38"/>
        <v>0</v>
      </c>
      <c r="AI49">
        <f t="shared" si="39"/>
        <v>0</v>
      </c>
      <c r="AJ49">
        <f t="shared" si="40"/>
        <v>0</v>
      </c>
      <c r="AK49">
        <v>21.71</v>
      </c>
      <c r="AL49">
        <v>0</v>
      </c>
      <c r="AM49">
        <v>21.71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94</v>
      </c>
      <c r="AU49">
        <v>61</v>
      </c>
      <c r="AV49">
        <v>1</v>
      </c>
      <c r="AW49">
        <v>1</v>
      </c>
      <c r="AZ49">
        <v>1</v>
      </c>
      <c r="BA49">
        <v>1</v>
      </c>
      <c r="BB49">
        <v>14.06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4</v>
      </c>
      <c r="BJ49" t="s">
        <v>63</v>
      </c>
      <c r="BM49">
        <v>188</v>
      </c>
      <c r="BN49">
        <v>0</v>
      </c>
      <c r="BO49" t="s">
        <v>61</v>
      </c>
      <c r="BP49">
        <v>1</v>
      </c>
      <c r="BQ49">
        <v>150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94</v>
      </c>
      <c r="CA49">
        <v>61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41"/>
        <v>44642.05</v>
      </c>
      <c r="CQ49">
        <f t="shared" si="42"/>
        <v>0</v>
      </c>
      <c r="CR49">
        <f t="shared" si="43"/>
        <v>305.24</v>
      </c>
      <c r="CS49">
        <f t="shared" si="44"/>
        <v>0</v>
      </c>
      <c r="CT49">
        <f t="shared" si="45"/>
        <v>0</v>
      </c>
      <c r="CU49">
        <f t="shared" si="46"/>
        <v>0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 t="shared" si="50"/>
        <v>0</v>
      </c>
      <c r="CZ49">
        <f t="shared" si="51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1013</v>
      </c>
      <c r="DV49" t="s">
        <v>21</v>
      </c>
      <c r="DW49" t="s">
        <v>21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55586412</v>
      </c>
      <c r="EF49">
        <v>150</v>
      </c>
      <c r="EG49" t="s">
        <v>23</v>
      </c>
      <c r="EH49">
        <v>0</v>
      </c>
      <c r="EI49" t="s">
        <v>3</v>
      </c>
      <c r="EJ49">
        <v>4</v>
      </c>
      <c r="EK49">
        <v>188</v>
      </c>
      <c r="EL49" t="s">
        <v>24</v>
      </c>
      <c r="EM49" t="s">
        <v>25</v>
      </c>
      <c r="EO49" t="s">
        <v>3</v>
      </c>
      <c r="EQ49">
        <v>0</v>
      </c>
      <c r="ER49">
        <v>21.71</v>
      </c>
      <c r="ES49">
        <v>0</v>
      </c>
      <c r="ET49">
        <v>21.71</v>
      </c>
      <c r="EU49">
        <v>0</v>
      </c>
      <c r="EV49">
        <v>0</v>
      </c>
      <c r="EW49">
        <v>0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94</v>
      </c>
      <c r="FY49">
        <v>61</v>
      </c>
      <c r="GA49" t="s">
        <v>3</v>
      </c>
      <c r="GD49">
        <v>1</v>
      </c>
      <c r="GF49">
        <v>1920650122</v>
      </c>
      <c r="GG49">
        <v>2</v>
      </c>
      <c r="GH49">
        <v>1</v>
      </c>
      <c r="GI49">
        <v>2</v>
      </c>
      <c r="GJ49">
        <v>0</v>
      </c>
      <c r="GK49">
        <v>0</v>
      </c>
      <c r="GL49">
        <f t="shared" si="52"/>
        <v>0</v>
      </c>
      <c r="GM49">
        <f t="shared" si="53"/>
        <v>44642.05</v>
      </c>
      <c r="GN49">
        <f t="shared" si="54"/>
        <v>0</v>
      </c>
      <c r="GO49">
        <f t="shared" si="55"/>
        <v>0</v>
      </c>
      <c r="GP49">
        <f t="shared" si="56"/>
        <v>44642.05</v>
      </c>
      <c r="GR49">
        <v>0</v>
      </c>
      <c r="GS49">
        <v>3</v>
      </c>
      <c r="GT49">
        <v>0</v>
      </c>
      <c r="GU49" t="s">
        <v>3</v>
      </c>
      <c r="GV49">
        <f t="shared" si="57"/>
        <v>0</v>
      </c>
      <c r="GW49">
        <v>1</v>
      </c>
      <c r="GX49">
        <f t="shared" si="58"/>
        <v>0</v>
      </c>
      <c r="HA49">
        <v>0</v>
      </c>
      <c r="HB49">
        <v>0</v>
      </c>
      <c r="HC49">
        <f t="shared" si="59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5">
      <c r="A50" s="2">
        <v>17</v>
      </c>
      <c r="B50" s="2">
        <v>1</v>
      </c>
      <c r="C50" s="2">
        <f>ROW(SmtRes!A23)</f>
        <v>23</v>
      </c>
      <c r="D50" s="2">
        <f>ROW(EtalonRes!A23)</f>
        <v>23</v>
      </c>
      <c r="E50" s="2" t="s">
        <v>64</v>
      </c>
      <c r="F50" s="2" t="s">
        <v>65</v>
      </c>
      <c r="G50" s="2" t="s">
        <v>66</v>
      </c>
      <c r="H50" s="2" t="s">
        <v>21</v>
      </c>
      <c r="I50" s="2">
        <v>0.309</v>
      </c>
      <c r="J50" s="2">
        <v>0</v>
      </c>
      <c r="K50" s="2">
        <v>0.309</v>
      </c>
      <c r="L50" s="2"/>
      <c r="M50" s="2"/>
      <c r="N50" s="2"/>
      <c r="O50" s="2">
        <f t="shared" si="21"/>
        <v>6.71</v>
      </c>
      <c r="P50" s="2">
        <f t="shared" si="22"/>
        <v>0</v>
      </c>
      <c r="Q50" s="2">
        <f t="shared" si="23"/>
        <v>6.71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56526439</v>
      </c>
      <c r="AB50" s="2">
        <f t="shared" si="32"/>
        <v>21.71</v>
      </c>
      <c r="AC50" s="2">
        <f t="shared" si="33"/>
        <v>0</v>
      </c>
      <c r="AD50" s="2">
        <f t="shared" si="34"/>
        <v>21.71</v>
      </c>
      <c r="AE50" s="2">
        <f t="shared" si="35"/>
        <v>0</v>
      </c>
      <c r="AF50" s="2">
        <f t="shared" si="36"/>
        <v>0</v>
      </c>
      <c r="AG50" s="2">
        <f t="shared" si="37"/>
        <v>0</v>
      </c>
      <c r="AH50" s="2">
        <f t="shared" si="38"/>
        <v>0</v>
      </c>
      <c r="AI50" s="2">
        <f t="shared" si="39"/>
        <v>0</v>
      </c>
      <c r="AJ50" s="2">
        <f t="shared" si="40"/>
        <v>0</v>
      </c>
      <c r="AK50" s="2">
        <v>21.71</v>
      </c>
      <c r="AL50" s="2">
        <v>0</v>
      </c>
      <c r="AM50" s="2">
        <v>21.71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94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4</v>
      </c>
      <c r="BJ50" s="2" t="s">
        <v>67</v>
      </c>
      <c r="BK50" s="2"/>
      <c r="BL50" s="2"/>
      <c r="BM50" s="2">
        <v>188</v>
      </c>
      <c r="BN50" s="2">
        <v>0</v>
      </c>
      <c r="BO50" s="2" t="s">
        <v>65</v>
      </c>
      <c r="BP50" s="2">
        <v>1</v>
      </c>
      <c r="BQ50" s="2">
        <v>150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94</v>
      </c>
      <c r="CA50" s="2">
        <v>61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41"/>
        <v>6.71</v>
      </c>
      <c r="CQ50" s="2">
        <f t="shared" si="42"/>
        <v>0</v>
      </c>
      <c r="CR50" s="2">
        <f t="shared" si="43"/>
        <v>21.71</v>
      </c>
      <c r="CS50" s="2">
        <f t="shared" si="44"/>
        <v>0</v>
      </c>
      <c r="CT50" s="2">
        <f t="shared" si="45"/>
        <v>0</v>
      </c>
      <c r="CU50" s="2">
        <f t="shared" si="46"/>
        <v>0</v>
      </c>
      <c r="CV50" s="2">
        <f t="shared" si="47"/>
        <v>0</v>
      </c>
      <c r="CW50" s="2">
        <f t="shared" si="48"/>
        <v>0</v>
      </c>
      <c r="CX50" s="2">
        <f t="shared" si="49"/>
        <v>0</v>
      </c>
      <c r="CY50" s="2">
        <f t="shared" si="50"/>
        <v>0</v>
      </c>
      <c r="CZ50" s="2">
        <f t="shared" si="51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21</v>
      </c>
      <c r="DW50" s="2" t="s">
        <v>21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55586412</v>
      </c>
      <c r="EF50" s="2">
        <v>150</v>
      </c>
      <c r="EG50" s="2" t="s">
        <v>23</v>
      </c>
      <c r="EH50" s="2">
        <v>0</v>
      </c>
      <c r="EI50" s="2" t="s">
        <v>3</v>
      </c>
      <c r="EJ50" s="2">
        <v>4</v>
      </c>
      <c r="EK50" s="2">
        <v>188</v>
      </c>
      <c r="EL50" s="2" t="s">
        <v>24</v>
      </c>
      <c r="EM50" s="2" t="s">
        <v>25</v>
      </c>
      <c r="EN50" s="2"/>
      <c r="EO50" s="2" t="s">
        <v>3</v>
      </c>
      <c r="EP50" s="2"/>
      <c r="EQ50" s="2">
        <v>0</v>
      </c>
      <c r="ER50" s="2">
        <v>21.71</v>
      </c>
      <c r="ES50" s="2">
        <v>0</v>
      </c>
      <c r="ET50" s="2">
        <v>21.71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94</v>
      </c>
      <c r="FY50" s="2">
        <v>61</v>
      </c>
      <c r="FZ50" s="2"/>
      <c r="GA50" s="2" t="s">
        <v>3</v>
      </c>
      <c r="GB50" s="2"/>
      <c r="GC50" s="2"/>
      <c r="GD50" s="2">
        <v>1</v>
      </c>
      <c r="GE50" s="2"/>
      <c r="GF50" s="2">
        <v>296692353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6.71</v>
      </c>
      <c r="GN50" s="2">
        <f t="shared" si="54"/>
        <v>0</v>
      </c>
      <c r="GO50" s="2">
        <f t="shared" si="55"/>
        <v>0</v>
      </c>
      <c r="GP50" s="2">
        <f t="shared" si="56"/>
        <v>6.71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>
        <v>17</v>
      </c>
      <c r="B51">
        <v>1</v>
      </c>
      <c r="C51">
        <f>ROW(SmtRes!A24)</f>
        <v>24</v>
      </c>
      <c r="D51">
        <f>ROW(EtalonRes!A24)</f>
        <v>24</v>
      </c>
      <c r="E51" t="s">
        <v>64</v>
      </c>
      <c r="F51" t="s">
        <v>65</v>
      </c>
      <c r="G51" t="s">
        <v>66</v>
      </c>
      <c r="H51" t="s">
        <v>21</v>
      </c>
      <c r="I51">
        <v>0.309</v>
      </c>
      <c r="J51">
        <v>0</v>
      </c>
      <c r="K51">
        <v>0.309</v>
      </c>
      <c r="O51">
        <f t="shared" si="21"/>
        <v>75.819999999999993</v>
      </c>
      <c r="P51">
        <f t="shared" si="22"/>
        <v>0</v>
      </c>
      <c r="Q51">
        <f t="shared" si="23"/>
        <v>75.819999999999993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56526441</v>
      </c>
      <c r="AB51">
        <f t="shared" si="32"/>
        <v>21.71</v>
      </c>
      <c r="AC51">
        <f t="shared" si="33"/>
        <v>0</v>
      </c>
      <c r="AD51">
        <f t="shared" si="34"/>
        <v>21.71</v>
      </c>
      <c r="AE51">
        <f t="shared" si="35"/>
        <v>0</v>
      </c>
      <c r="AF51">
        <f t="shared" si="36"/>
        <v>0</v>
      </c>
      <c r="AG51">
        <f t="shared" si="37"/>
        <v>0</v>
      </c>
      <c r="AH51">
        <f t="shared" si="38"/>
        <v>0</v>
      </c>
      <c r="AI51">
        <f t="shared" si="39"/>
        <v>0</v>
      </c>
      <c r="AJ51">
        <f t="shared" si="40"/>
        <v>0</v>
      </c>
      <c r="AK51">
        <v>21.71</v>
      </c>
      <c r="AL51">
        <v>0</v>
      </c>
      <c r="AM51">
        <v>21.71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94</v>
      </c>
      <c r="AU51">
        <v>61</v>
      </c>
      <c r="AV51">
        <v>1</v>
      </c>
      <c r="AW51">
        <v>1</v>
      </c>
      <c r="AZ51">
        <v>1</v>
      </c>
      <c r="BA51">
        <v>1</v>
      </c>
      <c r="BB51">
        <v>11.3</v>
      </c>
      <c r="BC51">
        <v>1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4</v>
      </c>
      <c r="BJ51" t="s">
        <v>67</v>
      </c>
      <c r="BM51">
        <v>188</v>
      </c>
      <c r="BN51">
        <v>0</v>
      </c>
      <c r="BO51" t="s">
        <v>65</v>
      </c>
      <c r="BP51">
        <v>1</v>
      </c>
      <c r="BQ51">
        <v>150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94</v>
      </c>
      <c r="CA51">
        <v>61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41"/>
        <v>75.819999999999993</v>
      </c>
      <c r="CQ51">
        <f t="shared" si="42"/>
        <v>0</v>
      </c>
      <c r="CR51">
        <f t="shared" si="43"/>
        <v>245.32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 t="shared" si="50"/>
        <v>0</v>
      </c>
      <c r="CZ51">
        <f t="shared" si="51"/>
        <v>0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1013</v>
      </c>
      <c r="DV51" t="s">
        <v>21</v>
      </c>
      <c r="DW51" t="s">
        <v>21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55586412</v>
      </c>
      <c r="EF51">
        <v>150</v>
      </c>
      <c r="EG51" t="s">
        <v>23</v>
      </c>
      <c r="EH51">
        <v>0</v>
      </c>
      <c r="EI51" t="s">
        <v>3</v>
      </c>
      <c r="EJ51">
        <v>4</v>
      </c>
      <c r="EK51">
        <v>188</v>
      </c>
      <c r="EL51" t="s">
        <v>24</v>
      </c>
      <c r="EM51" t="s">
        <v>25</v>
      </c>
      <c r="EO51" t="s">
        <v>3</v>
      </c>
      <c r="EQ51">
        <v>0</v>
      </c>
      <c r="ER51">
        <v>21.71</v>
      </c>
      <c r="ES51">
        <v>0</v>
      </c>
      <c r="ET51">
        <v>21.71</v>
      </c>
      <c r="EU51">
        <v>0</v>
      </c>
      <c r="EV51">
        <v>0</v>
      </c>
      <c r="EW51">
        <v>0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94</v>
      </c>
      <c r="FY51">
        <v>61</v>
      </c>
      <c r="GA51" t="s">
        <v>3</v>
      </c>
      <c r="GD51">
        <v>1</v>
      </c>
      <c r="GF51">
        <v>296692353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52"/>
        <v>0</v>
      </c>
      <c r="GM51">
        <f t="shared" si="53"/>
        <v>75.819999999999993</v>
      </c>
      <c r="GN51">
        <f t="shared" si="54"/>
        <v>0</v>
      </c>
      <c r="GO51">
        <f t="shared" si="55"/>
        <v>0</v>
      </c>
      <c r="GP51">
        <f t="shared" si="56"/>
        <v>75.819999999999993</v>
      </c>
      <c r="GR51">
        <v>0</v>
      </c>
      <c r="GS51">
        <v>3</v>
      </c>
      <c r="GT51">
        <v>0</v>
      </c>
      <c r="GU51" t="s">
        <v>3</v>
      </c>
      <c r="GV51">
        <f t="shared" si="57"/>
        <v>0</v>
      </c>
      <c r="GW51">
        <v>1</v>
      </c>
      <c r="GX51">
        <f t="shared" si="58"/>
        <v>0</v>
      </c>
      <c r="HA51">
        <v>0</v>
      </c>
      <c r="HB51">
        <v>0</v>
      </c>
      <c r="HC51">
        <f t="shared" si="59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5">
      <c r="A52" s="2">
        <v>17</v>
      </c>
      <c r="B52" s="2">
        <v>1</v>
      </c>
      <c r="C52" s="2">
        <f>ROW(SmtRes!A25)</f>
        <v>25</v>
      </c>
      <c r="D52" s="2">
        <f>ROW(EtalonRes!A25)</f>
        <v>25</v>
      </c>
      <c r="E52" s="2" t="s">
        <v>68</v>
      </c>
      <c r="F52" s="2" t="s">
        <v>69</v>
      </c>
      <c r="G52" s="2" t="s">
        <v>70</v>
      </c>
      <c r="H52" s="2" t="s">
        <v>21</v>
      </c>
      <c r="I52" s="2">
        <v>206.09100000000001</v>
      </c>
      <c r="J52" s="2">
        <v>0</v>
      </c>
      <c r="K52" s="2">
        <v>206.09100000000001</v>
      </c>
      <c r="L52" s="2"/>
      <c r="M52" s="2"/>
      <c r="N52" s="2"/>
      <c r="O52" s="2">
        <f t="shared" si="21"/>
        <v>4474.24</v>
      </c>
      <c r="P52" s="2">
        <f t="shared" si="22"/>
        <v>0</v>
      </c>
      <c r="Q52" s="2">
        <f t="shared" si="23"/>
        <v>4474.24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56526439</v>
      </c>
      <c r="AB52" s="2">
        <f t="shared" si="32"/>
        <v>21.71</v>
      </c>
      <c r="AC52" s="2">
        <f t="shared" si="33"/>
        <v>0</v>
      </c>
      <c r="AD52" s="2">
        <f t="shared" si="34"/>
        <v>21.71</v>
      </c>
      <c r="AE52" s="2">
        <f t="shared" si="35"/>
        <v>0</v>
      </c>
      <c r="AF52" s="2">
        <f t="shared" si="36"/>
        <v>0</v>
      </c>
      <c r="AG52" s="2">
        <f t="shared" si="37"/>
        <v>0</v>
      </c>
      <c r="AH52" s="2">
        <f t="shared" si="38"/>
        <v>0</v>
      </c>
      <c r="AI52" s="2">
        <f t="shared" si="39"/>
        <v>0</v>
      </c>
      <c r="AJ52" s="2">
        <f t="shared" si="40"/>
        <v>0</v>
      </c>
      <c r="AK52" s="2">
        <v>21.71</v>
      </c>
      <c r="AL52" s="2">
        <v>0</v>
      </c>
      <c r="AM52" s="2">
        <v>21.71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94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4</v>
      </c>
      <c r="BJ52" s="2" t="s">
        <v>71</v>
      </c>
      <c r="BK52" s="2"/>
      <c r="BL52" s="2"/>
      <c r="BM52" s="2">
        <v>188</v>
      </c>
      <c r="BN52" s="2">
        <v>0</v>
      </c>
      <c r="BO52" s="2" t="s">
        <v>69</v>
      </c>
      <c r="BP52" s="2">
        <v>1</v>
      </c>
      <c r="BQ52" s="2">
        <v>150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94</v>
      </c>
      <c r="CA52" s="2">
        <v>61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41"/>
        <v>4474.24</v>
      </c>
      <c r="CQ52" s="2">
        <f t="shared" si="42"/>
        <v>0</v>
      </c>
      <c r="CR52" s="2">
        <f t="shared" si="43"/>
        <v>21.71</v>
      </c>
      <c r="CS52" s="2">
        <f t="shared" si="44"/>
        <v>0</v>
      </c>
      <c r="CT52" s="2">
        <f t="shared" si="45"/>
        <v>0</v>
      </c>
      <c r="CU52" s="2">
        <f t="shared" si="46"/>
        <v>0</v>
      </c>
      <c r="CV52" s="2">
        <f t="shared" si="47"/>
        <v>0</v>
      </c>
      <c r="CW52" s="2">
        <f t="shared" si="48"/>
        <v>0</v>
      </c>
      <c r="CX52" s="2">
        <f t="shared" si="49"/>
        <v>0</v>
      </c>
      <c r="CY52" s="2">
        <f t="shared" si="50"/>
        <v>0</v>
      </c>
      <c r="CZ52" s="2">
        <f t="shared" si="51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21</v>
      </c>
      <c r="DW52" s="2" t="s">
        <v>21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55586412</v>
      </c>
      <c r="EF52" s="2">
        <v>150</v>
      </c>
      <c r="EG52" s="2" t="s">
        <v>23</v>
      </c>
      <c r="EH52" s="2">
        <v>0</v>
      </c>
      <c r="EI52" s="2" t="s">
        <v>3</v>
      </c>
      <c r="EJ52" s="2">
        <v>4</v>
      </c>
      <c r="EK52" s="2">
        <v>188</v>
      </c>
      <c r="EL52" s="2" t="s">
        <v>24</v>
      </c>
      <c r="EM52" s="2" t="s">
        <v>25</v>
      </c>
      <c r="EN52" s="2"/>
      <c r="EO52" s="2" t="s">
        <v>3</v>
      </c>
      <c r="EP52" s="2"/>
      <c r="EQ52" s="2">
        <v>0</v>
      </c>
      <c r="ER52" s="2">
        <v>21.71</v>
      </c>
      <c r="ES52" s="2">
        <v>0</v>
      </c>
      <c r="ET52" s="2">
        <v>21.71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94</v>
      </c>
      <c r="FY52" s="2">
        <v>61</v>
      </c>
      <c r="FZ52" s="2"/>
      <c r="GA52" s="2" t="s">
        <v>3</v>
      </c>
      <c r="GB52" s="2"/>
      <c r="GC52" s="2"/>
      <c r="GD52" s="2">
        <v>1</v>
      </c>
      <c r="GE52" s="2"/>
      <c r="GF52" s="2">
        <v>-236432062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4474.24</v>
      </c>
      <c r="GN52" s="2">
        <f t="shared" si="54"/>
        <v>0</v>
      </c>
      <c r="GO52" s="2">
        <f t="shared" si="55"/>
        <v>0</v>
      </c>
      <c r="GP52" s="2">
        <f t="shared" si="56"/>
        <v>4474.24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>
        <v>17</v>
      </c>
      <c r="B53">
        <v>1</v>
      </c>
      <c r="C53">
        <f>ROW(SmtRes!A26)</f>
        <v>26</v>
      </c>
      <c r="D53">
        <f>ROW(EtalonRes!A26)</f>
        <v>26</v>
      </c>
      <c r="E53" t="s">
        <v>68</v>
      </c>
      <c r="F53" t="s">
        <v>69</v>
      </c>
      <c r="G53" t="s">
        <v>70</v>
      </c>
      <c r="H53" t="s">
        <v>21</v>
      </c>
      <c r="I53">
        <v>206.09100000000001</v>
      </c>
      <c r="J53">
        <v>0</v>
      </c>
      <c r="K53">
        <v>206.09100000000001</v>
      </c>
      <c r="O53">
        <f t="shared" si="21"/>
        <v>52975</v>
      </c>
      <c r="P53">
        <f t="shared" si="22"/>
        <v>0</v>
      </c>
      <c r="Q53">
        <f t="shared" si="23"/>
        <v>52975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56526441</v>
      </c>
      <c r="AB53">
        <f t="shared" si="32"/>
        <v>21.71</v>
      </c>
      <c r="AC53">
        <f t="shared" si="33"/>
        <v>0</v>
      </c>
      <c r="AD53">
        <f t="shared" si="34"/>
        <v>21.71</v>
      </c>
      <c r="AE53">
        <f t="shared" si="35"/>
        <v>0</v>
      </c>
      <c r="AF53">
        <f t="shared" si="36"/>
        <v>0</v>
      </c>
      <c r="AG53">
        <f t="shared" si="37"/>
        <v>0</v>
      </c>
      <c r="AH53">
        <f t="shared" si="38"/>
        <v>0</v>
      </c>
      <c r="AI53">
        <f t="shared" si="39"/>
        <v>0</v>
      </c>
      <c r="AJ53">
        <f t="shared" si="40"/>
        <v>0</v>
      </c>
      <c r="AK53">
        <v>21.71</v>
      </c>
      <c r="AL53">
        <v>0</v>
      </c>
      <c r="AM53">
        <v>21.71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94</v>
      </c>
      <c r="AU53">
        <v>61</v>
      </c>
      <c r="AV53">
        <v>1</v>
      </c>
      <c r="AW53">
        <v>1</v>
      </c>
      <c r="AZ53">
        <v>1</v>
      </c>
      <c r="BA53">
        <v>1</v>
      </c>
      <c r="BB53">
        <v>11.84</v>
      </c>
      <c r="BC53">
        <v>1</v>
      </c>
      <c r="BD53" t="s">
        <v>3</v>
      </c>
      <c r="BE53" t="s">
        <v>3</v>
      </c>
      <c r="BF53" t="s">
        <v>3</v>
      </c>
      <c r="BG53" t="s">
        <v>3</v>
      </c>
      <c r="BH53">
        <v>0</v>
      </c>
      <c r="BI53">
        <v>4</v>
      </c>
      <c r="BJ53" t="s">
        <v>71</v>
      </c>
      <c r="BM53">
        <v>188</v>
      </c>
      <c r="BN53">
        <v>0</v>
      </c>
      <c r="BO53" t="s">
        <v>69</v>
      </c>
      <c r="BP53">
        <v>1</v>
      </c>
      <c r="BQ53">
        <v>150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94</v>
      </c>
      <c r="CA53">
        <v>61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41"/>
        <v>52975</v>
      </c>
      <c r="CQ53">
        <f t="shared" si="42"/>
        <v>0</v>
      </c>
      <c r="CR53">
        <f t="shared" si="43"/>
        <v>257.05</v>
      </c>
      <c r="CS53">
        <f t="shared" si="44"/>
        <v>0</v>
      </c>
      <c r="CT53">
        <f t="shared" si="45"/>
        <v>0</v>
      </c>
      <c r="CU53">
        <f t="shared" si="46"/>
        <v>0</v>
      </c>
      <c r="CV53">
        <f t="shared" si="47"/>
        <v>0</v>
      </c>
      <c r="CW53">
        <f t="shared" si="48"/>
        <v>0</v>
      </c>
      <c r="CX53">
        <f t="shared" si="49"/>
        <v>0</v>
      </c>
      <c r="CY53">
        <f t="shared" si="50"/>
        <v>0</v>
      </c>
      <c r="CZ53">
        <f t="shared" si="51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1013</v>
      </c>
      <c r="DV53" t="s">
        <v>21</v>
      </c>
      <c r="DW53" t="s">
        <v>21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55586412</v>
      </c>
      <c r="EF53">
        <v>150</v>
      </c>
      <c r="EG53" t="s">
        <v>23</v>
      </c>
      <c r="EH53">
        <v>0</v>
      </c>
      <c r="EI53" t="s">
        <v>3</v>
      </c>
      <c r="EJ53">
        <v>4</v>
      </c>
      <c r="EK53">
        <v>188</v>
      </c>
      <c r="EL53" t="s">
        <v>24</v>
      </c>
      <c r="EM53" t="s">
        <v>25</v>
      </c>
      <c r="EO53" t="s">
        <v>3</v>
      </c>
      <c r="EQ53">
        <v>0</v>
      </c>
      <c r="ER53">
        <v>21.71</v>
      </c>
      <c r="ES53">
        <v>0</v>
      </c>
      <c r="ET53">
        <v>21.71</v>
      </c>
      <c r="EU53">
        <v>0</v>
      </c>
      <c r="EV53">
        <v>0</v>
      </c>
      <c r="EW53">
        <v>0</v>
      </c>
      <c r="EX53">
        <v>0</v>
      </c>
      <c r="EY53">
        <v>0</v>
      </c>
      <c r="FQ53">
        <v>0</v>
      </c>
      <c r="FR53">
        <v>0</v>
      </c>
      <c r="FS53">
        <v>0</v>
      </c>
      <c r="FX53">
        <v>94</v>
      </c>
      <c r="FY53">
        <v>61</v>
      </c>
      <c r="GA53" t="s">
        <v>3</v>
      </c>
      <c r="GD53">
        <v>1</v>
      </c>
      <c r="GF53">
        <v>-236432062</v>
      </c>
      <c r="GG53">
        <v>2</v>
      </c>
      <c r="GH53">
        <v>1</v>
      </c>
      <c r="GI53">
        <v>2</v>
      </c>
      <c r="GJ53">
        <v>0</v>
      </c>
      <c r="GK53">
        <v>0</v>
      </c>
      <c r="GL53">
        <f t="shared" si="52"/>
        <v>0</v>
      </c>
      <c r="GM53">
        <f t="shared" si="53"/>
        <v>52975</v>
      </c>
      <c r="GN53">
        <f t="shared" si="54"/>
        <v>0</v>
      </c>
      <c r="GO53">
        <f t="shared" si="55"/>
        <v>0</v>
      </c>
      <c r="GP53">
        <f t="shared" si="56"/>
        <v>52975</v>
      </c>
      <c r="GR53">
        <v>0</v>
      </c>
      <c r="GS53">
        <v>3</v>
      </c>
      <c r="GT53">
        <v>0</v>
      </c>
      <c r="GU53" t="s">
        <v>3</v>
      </c>
      <c r="GV53">
        <f t="shared" si="57"/>
        <v>0</v>
      </c>
      <c r="GW53">
        <v>1</v>
      </c>
      <c r="GX53">
        <f t="shared" si="58"/>
        <v>0</v>
      </c>
      <c r="HA53">
        <v>0</v>
      </c>
      <c r="HB53">
        <v>0</v>
      </c>
      <c r="HC53">
        <f t="shared" si="59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5">
      <c r="A54" s="2">
        <v>17</v>
      </c>
      <c r="B54" s="2">
        <v>1</v>
      </c>
      <c r="C54" s="2">
        <f>ROW(SmtRes!A27)</f>
        <v>27</v>
      </c>
      <c r="D54" s="2">
        <f>ROW(EtalonRes!A27)</f>
        <v>27</v>
      </c>
      <c r="E54" s="2" t="s">
        <v>72</v>
      </c>
      <c r="F54" s="2" t="s">
        <v>73</v>
      </c>
      <c r="G54" s="2" t="s">
        <v>74</v>
      </c>
      <c r="H54" s="2" t="s">
        <v>21</v>
      </c>
      <c r="I54" s="2">
        <v>4.6280000000000001</v>
      </c>
      <c r="J54" s="2">
        <v>0</v>
      </c>
      <c r="K54" s="2">
        <v>4.6280000000000001</v>
      </c>
      <c r="L54" s="2"/>
      <c r="M54" s="2"/>
      <c r="N54" s="2"/>
      <c r="O54" s="2">
        <f t="shared" si="21"/>
        <v>100.47</v>
      </c>
      <c r="P54" s="2">
        <f t="shared" si="22"/>
        <v>0</v>
      </c>
      <c r="Q54" s="2">
        <f t="shared" si="23"/>
        <v>100.47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56526439</v>
      </c>
      <c r="AB54" s="2">
        <f t="shared" si="32"/>
        <v>21.71</v>
      </c>
      <c r="AC54" s="2">
        <f t="shared" si="33"/>
        <v>0</v>
      </c>
      <c r="AD54" s="2">
        <f t="shared" si="34"/>
        <v>21.71</v>
      </c>
      <c r="AE54" s="2">
        <f t="shared" si="35"/>
        <v>0</v>
      </c>
      <c r="AF54" s="2">
        <f t="shared" si="36"/>
        <v>0</v>
      </c>
      <c r="AG54" s="2">
        <f t="shared" si="37"/>
        <v>0</v>
      </c>
      <c r="AH54" s="2">
        <f t="shared" si="38"/>
        <v>0</v>
      </c>
      <c r="AI54" s="2">
        <f t="shared" si="39"/>
        <v>0</v>
      </c>
      <c r="AJ54" s="2">
        <f t="shared" si="40"/>
        <v>0</v>
      </c>
      <c r="AK54" s="2">
        <v>21.71</v>
      </c>
      <c r="AL54" s="2">
        <v>0</v>
      </c>
      <c r="AM54" s="2">
        <v>21.71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94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4</v>
      </c>
      <c r="BJ54" s="2" t="s">
        <v>75</v>
      </c>
      <c r="BK54" s="2"/>
      <c r="BL54" s="2"/>
      <c r="BM54" s="2">
        <v>188</v>
      </c>
      <c r="BN54" s="2">
        <v>0</v>
      </c>
      <c r="BO54" s="2" t="s">
        <v>73</v>
      </c>
      <c r="BP54" s="2">
        <v>1</v>
      </c>
      <c r="BQ54" s="2">
        <v>150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94</v>
      </c>
      <c r="CA54" s="2">
        <v>61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41"/>
        <v>100.47</v>
      </c>
      <c r="CQ54" s="2">
        <f t="shared" si="42"/>
        <v>0</v>
      </c>
      <c r="CR54" s="2">
        <f t="shared" si="43"/>
        <v>21.71</v>
      </c>
      <c r="CS54" s="2">
        <f t="shared" si="44"/>
        <v>0</v>
      </c>
      <c r="CT54" s="2">
        <f t="shared" si="45"/>
        <v>0</v>
      </c>
      <c r="CU54" s="2">
        <f t="shared" si="46"/>
        <v>0</v>
      </c>
      <c r="CV54" s="2">
        <f t="shared" si="47"/>
        <v>0</v>
      </c>
      <c r="CW54" s="2">
        <f t="shared" si="48"/>
        <v>0</v>
      </c>
      <c r="CX54" s="2">
        <f t="shared" si="49"/>
        <v>0</v>
      </c>
      <c r="CY54" s="2">
        <f t="shared" si="50"/>
        <v>0</v>
      </c>
      <c r="CZ54" s="2">
        <f t="shared" si="51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21</v>
      </c>
      <c r="DW54" s="2" t="s">
        <v>21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55586412</v>
      </c>
      <c r="EF54" s="2">
        <v>150</v>
      </c>
      <c r="EG54" s="2" t="s">
        <v>23</v>
      </c>
      <c r="EH54" s="2">
        <v>0</v>
      </c>
      <c r="EI54" s="2" t="s">
        <v>3</v>
      </c>
      <c r="EJ54" s="2">
        <v>4</v>
      </c>
      <c r="EK54" s="2">
        <v>188</v>
      </c>
      <c r="EL54" s="2" t="s">
        <v>24</v>
      </c>
      <c r="EM54" s="2" t="s">
        <v>25</v>
      </c>
      <c r="EN54" s="2"/>
      <c r="EO54" s="2" t="s">
        <v>3</v>
      </c>
      <c r="EP54" s="2"/>
      <c r="EQ54" s="2">
        <v>0</v>
      </c>
      <c r="ER54" s="2">
        <v>21.71</v>
      </c>
      <c r="ES54" s="2">
        <v>0</v>
      </c>
      <c r="ET54" s="2">
        <v>21.71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94</v>
      </c>
      <c r="FY54" s="2">
        <v>61</v>
      </c>
      <c r="FZ54" s="2"/>
      <c r="GA54" s="2" t="s">
        <v>3</v>
      </c>
      <c r="GB54" s="2"/>
      <c r="GC54" s="2"/>
      <c r="GD54" s="2">
        <v>1</v>
      </c>
      <c r="GE54" s="2"/>
      <c r="GF54" s="2">
        <v>553176133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100.47</v>
      </c>
      <c r="GN54" s="2">
        <f t="shared" si="54"/>
        <v>0</v>
      </c>
      <c r="GO54" s="2">
        <f t="shared" si="55"/>
        <v>0</v>
      </c>
      <c r="GP54" s="2">
        <f t="shared" si="56"/>
        <v>100.47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>
        <v>17</v>
      </c>
      <c r="B55">
        <v>1</v>
      </c>
      <c r="C55">
        <f>ROW(SmtRes!A28)</f>
        <v>28</v>
      </c>
      <c r="D55">
        <f>ROW(EtalonRes!A28)</f>
        <v>28</v>
      </c>
      <c r="E55" t="s">
        <v>72</v>
      </c>
      <c r="F55" t="s">
        <v>73</v>
      </c>
      <c r="G55" t="s">
        <v>74</v>
      </c>
      <c r="H55" t="s">
        <v>21</v>
      </c>
      <c r="I55">
        <v>4.6280000000000001</v>
      </c>
      <c r="J55">
        <v>0</v>
      </c>
      <c r="K55">
        <v>4.6280000000000001</v>
      </c>
      <c r="O55">
        <f t="shared" si="21"/>
        <v>904.23</v>
      </c>
      <c r="P55">
        <f t="shared" si="22"/>
        <v>0</v>
      </c>
      <c r="Q55">
        <f t="shared" si="23"/>
        <v>904.23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56526441</v>
      </c>
      <c r="AB55">
        <f t="shared" si="32"/>
        <v>21.71</v>
      </c>
      <c r="AC55">
        <f t="shared" si="33"/>
        <v>0</v>
      </c>
      <c r="AD55">
        <f t="shared" si="34"/>
        <v>21.71</v>
      </c>
      <c r="AE55">
        <f t="shared" si="35"/>
        <v>0</v>
      </c>
      <c r="AF55">
        <f t="shared" si="36"/>
        <v>0</v>
      </c>
      <c r="AG55">
        <f t="shared" si="37"/>
        <v>0</v>
      </c>
      <c r="AH55">
        <f t="shared" si="38"/>
        <v>0</v>
      </c>
      <c r="AI55">
        <f t="shared" si="39"/>
        <v>0</v>
      </c>
      <c r="AJ55">
        <f t="shared" si="40"/>
        <v>0</v>
      </c>
      <c r="AK55">
        <v>21.71</v>
      </c>
      <c r="AL55">
        <v>0</v>
      </c>
      <c r="AM55">
        <v>21.71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94</v>
      </c>
      <c r="AU55">
        <v>61</v>
      </c>
      <c r="AV55">
        <v>1</v>
      </c>
      <c r="AW55">
        <v>1</v>
      </c>
      <c r="AZ55">
        <v>1</v>
      </c>
      <c r="BA55">
        <v>1</v>
      </c>
      <c r="BB55">
        <v>9</v>
      </c>
      <c r="BC55">
        <v>1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4</v>
      </c>
      <c r="BJ55" t="s">
        <v>75</v>
      </c>
      <c r="BM55">
        <v>188</v>
      </c>
      <c r="BN55">
        <v>0</v>
      </c>
      <c r="BO55" t="s">
        <v>73</v>
      </c>
      <c r="BP55">
        <v>1</v>
      </c>
      <c r="BQ55">
        <v>150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94</v>
      </c>
      <c r="CA55">
        <v>61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3</v>
      </c>
      <c r="CO55">
        <v>0</v>
      </c>
      <c r="CP55">
        <f t="shared" si="41"/>
        <v>904.23</v>
      </c>
      <c r="CQ55">
        <f t="shared" si="42"/>
        <v>0</v>
      </c>
      <c r="CR55">
        <f t="shared" si="43"/>
        <v>195.39</v>
      </c>
      <c r="CS55">
        <f t="shared" si="44"/>
        <v>0</v>
      </c>
      <c r="CT55">
        <f t="shared" si="45"/>
        <v>0</v>
      </c>
      <c r="CU55">
        <f t="shared" si="46"/>
        <v>0</v>
      </c>
      <c r="CV55">
        <f t="shared" si="47"/>
        <v>0</v>
      </c>
      <c r="CW55">
        <f t="shared" si="48"/>
        <v>0</v>
      </c>
      <c r="CX55">
        <f t="shared" si="49"/>
        <v>0</v>
      </c>
      <c r="CY55">
        <f t="shared" si="50"/>
        <v>0</v>
      </c>
      <c r="CZ55">
        <f t="shared" si="51"/>
        <v>0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21</v>
      </c>
      <c r="DW55" t="s">
        <v>21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55586412</v>
      </c>
      <c r="EF55">
        <v>150</v>
      </c>
      <c r="EG55" t="s">
        <v>23</v>
      </c>
      <c r="EH55">
        <v>0</v>
      </c>
      <c r="EI55" t="s">
        <v>3</v>
      </c>
      <c r="EJ55">
        <v>4</v>
      </c>
      <c r="EK55">
        <v>188</v>
      </c>
      <c r="EL55" t="s">
        <v>24</v>
      </c>
      <c r="EM55" t="s">
        <v>25</v>
      </c>
      <c r="EO55" t="s">
        <v>3</v>
      </c>
      <c r="EQ55">
        <v>0</v>
      </c>
      <c r="ER55">
        <v>21.71</v>
      </c>
      <c r="ES55">
        <v>0</v>
      </c>
      <c r="ET55">
        <v>21.71</v>
      </c>
      <c r="EU55">
        <v>0</v>
      </c>
      <c r="EV55">
        <v>0</v>
      </c>
      <c r="EW55">
        <v>0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94</v>
      </c>
      <c r="FY55">
        <v>61</v>
      </c>
      <c r="GA55" t="s">
        <v>3</v>
      </c>
      <c r="GD55">
        <v>1</v>
      </c>
      <c r="GF55">
        <v>553176133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52"/>
        <v>0</v>
      </c>
      <c r="GM55">
        <f t="shared" si="53"/>
        <v>904.23</v>
      </c>
      <c r="GN55">
        <f t="shared" si="54"/>
        <v>0</v>
      </c>
      <c r="GO55">
        <f t="shared" si="55"/>
        <v>0</v>
      </c>
      <c r="GP55">
        <f t="shared" si="56"/>
        <v>904.23</v>
      </c>
      <c r="GR55">
        <v>0</v>
      </c>
      <c r="GS55">
        <v>3</v>
      </c>
      <c r="GT55">
        <v>0</v>
      </c>
      <c r="GU55" t="s">
        <v>3</v>
      </c>
      <c r="GV55">
        <f t="shared" si="57"/>
        <v>0</v>
      </c>
      <c r="GW55">
        <v>1</v>
      </c>
      <c r="GX55">
        <f t="shared" si="58"/>
        <v>0</v>
      </c>
      <c r="HA55">
        <v>0</v>
      </c>
      <c r="HB55">
        <v>0</v>
      </c>
      <c r="HC55">
        <f t="shared" si="59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5">
      <c r="A56" s="2">
        <v>17</v>
      </c>
      <c r="B56" s="2">
        <v>1</v>
      </c>
      <c r="C56" s="2">
        <f>ROW(SmtRes!A29)</f>
        <v>29</v>
      </c>
      <c r="D56" s="2">
        <f>ROW(EtalonRes!A29)</f>
        <v>29</v>
      </c>
      <c r="E56" s="2" t="s">
        <v>76</v>
      </c>
      <c r="F56" s="2" t="s">
        <v>77</v>
      </c>
      <c r="G56" s="2" t="s">
        <v>78</v>
      </c>
      <c r="H56" s="2" t="s">
        <v>21</v>
      </c>
      <c r="I56" s="2">
        <v>3.6110000000000002</v>
      </c>
      <c r="J56" s="2">
        <v>0</v>
      </c>
      <c r="K56" s="2">
        <v>3.6110000000000002</v>
      </c>
      <c r="L56" s="2"/>
      <c r="M56" s="2"/>
      <c r="N56" s="2"/>
      <c r="O56" s="2">
        <f t="shared" si="21"/>
        <v>88.07</v>
      </c>
      <c r="P56" s="2">
        <f t="shared" si="22"/>
        <v>0</v>
      </c>
      <c r="Q56" s="2">
        <f t="shared" si="23"/>
        <v>88.07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56526439</v>
      </c>
      <c r="AB56" s="2">
        <f t="shared" si="32"/>
        <v>24.39</v>
      </c>
      <c r="AC56" s="2">
        <f t="shared" si="33"/>
        <v>0</v>
      </c>
      <c r="AD56" s="2">
        <f t="shared" si="34"/>
        <v>24.39</v>
      </c>
      <c r="AE56" s="2">
        <f t="shared" si="35"/>
        <v>0</v>
      </c>
      <c r="AF56" s="2">
        <f t="shared" si="36"/>
        <v>0</v>
      </c>
      <c r="AG56" s="2">
        <f t="shared" si="37"/>
        <v>0</v>
      </c>
      <c r="AH56" s="2">
        <f t="shared" si="38"/>
        <v>0</v>
      </c>
      <c r="AI56" s="2">
        <f t="shared" si="39"/>
        <v>0</v>
      </c>
      <c r="AJ56" s="2">
        <f t="shared" si="40"/>
        <v>0</v>
      </c>
      <c r="AK56" s="2">
        <v>24.39</v>
      </c>
      <c r="AL56" s="2">
        <v>0</v>
      </c>
      <c r="AM56" s="2">
        <v>24.39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94</v>
      </c>
      <c r="AU56" s="2">
        <v>61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4</v>
      </c>
      <c r="BJ56" s="2" t="s">
        <v>79</v>
      </c>
      <c r="BK56" s="2"/>
      <c r="BL56" s="2"/>
      <c r="BM56" s="2">
        <v>188</v>
      </c>
      <c r="BN56" s="2">
        <v>0</v>
      </c>
      <c r="BO56" s="2" t="s">
        <v>77</v>
      </c>
      <c r="BP56" s="2">
        <v>1</v>
      </c>
      <c r="BQ56" s="2">
        <v>150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94</v>
      </c>
      <c r="CA56" s="2">
        <v>61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41"/>
        <v>88.07</v>
      </c>
      <c r="CQ56" s="2">
        <f t="shared" si="42"/>
        <v>0</v>
      </c>
      <c r="CR56" s="2">
        <f t="shared" si="43"/>
        <v>24.39</v>
      </c>
      <c r="CS56" s="2">
        <f t="shared" si="44"/>
        <v>0</v>
      </c>
      <c r="CT56" s="2">
        <f t="shared" si="45"/>
        <v>0</v>
      </c>
      <c r="CU56" s="2">
        <f t="shared" si="46"/>
        <v>0</v>
      </c>
      <c r="CV56" s="2">
        <f t="shared" si="47"/>
        <v>0</v>
      </c>
      <c r="CW56" s="2">
        <f t="shared" si="48"/>
        <v>0</v>
      </c>
      <c r="CX56" s="2">
        <f t="shared" si="49"/>
        <v>0</v>
      </c>
      <c r="CY56" s="2">
        <f t="shared" si="50"/>
        <v>0</v>
      </c>
      <c r="CZ56" s="2">
        <f t="shared" si="51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21</v>
      </c>
      <c r="DW56" s="2" t="s">
        <v>21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55586412</v>
      </c>
      <c r="EF56" s="2">
        <v>150</v>
      </c>
      <c r="EG56" s="2" t="s">
        <v>23</v>
      </c>
      <c r="EH56" s="2">
        <v>0</v>
      </c>
      <c r="EI56" s="2" t="s">
        <v>3</v>
      </c>
      <c r="EJ56" s="2">
        <v>4</v>
      </c>
      <c r="EK56" s="2">
        <v>188</v>
      </c>
      <c r="EL56" s="2" t="s">
        <v>24</v>
      </c>
      <c r="EM56" s="2" t="s">
        <v>25</v>
      </c>
      <c r="EN56" s="2"/>
      <c r="EO56" s="2" t="s">
        <v>3</v>
      </c>
      <c r="EP56" s="2"/>
      <c r="EQ56" s="2">
        <v>0</v>
      </c>
      <c r="ER56" s="2">
        <v>24.39</v>
      </c>
      <c r="ES56" s="2">
        <v>0</v>
      </c>
      <c r="ET56" s="2">
        <v>24.39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94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-2084735050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88.07</v>
      </c>
      <c r="GN56" s="2">
        <f t="shared" si="54"/>
        <v>0</v>
      </c>
      <c r="GO56" s="2">
        <f t="shared" si="55"/>
        <v>0</v>
      </c>
      <c r="GP56" s="2">
        <f t="shared" si="56"/>
        <v>88.07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>
        <v>17</v>
      </c>
      <c r="B57">
        <v>1</v>
      </c>
      <c r="C57">
        <f>ROW(SmtRes!A30)</f>
        <v>30</v>
      </c>
      <c r="D57">
        <f>ROW(EtalonRes!A30)</f>
        <v>30</v>
      </c>
      <c r="E57" t="s">
        <v>76</v>
      </c>
      <c r="F57" t="s">
        <v>77</v>
      </c>
      <c r="G57" t="s">
        <v>78</v>
      </c>
      <c r="H57" t="s">
        <v>21</v>
      </c>
      <c r="I57">
        <v>3.6110000000000002</v>
      </c>
      <c r="J57">
        <v>0</v>
      </c>
      <c r="K57">
        <v>3.6110000000000002</v>
      </c>
      <c r="O57">
        <f t="shared" si="21"/>
        <v>902.72</v>
      </c>
      <c r="P57">
        <f t="shared" si="22"/>
        <v>0</v>
      </c>
      <c r="Q57">
        <f t="shared" si="23"/>
        <v>902.72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56526441</v>
      </c>
      <c r="AB57">
        <f t="shared" si="32"/>
        <v>24.39</v>
      </c>
      <c r="AC57">
        <f t="shared" si="33"/>
        <v>0</v>
      </c>
      <c r="AD57">
        <f t="shared" si="34"/>
        <v>24.39</v>
      </c>
      <c r="AE57">
        <f t="shared" si="35"/>
        <v>0</v>
      </c>
      <c r="AF57">
        <f t="shared" si="36"/>
        <v>0</v>
      </c>
      <c r="AG57">
        <f t="shared" si="37"/>
        <v>0</v>
      </c>
      <c r="AH57">
        <f t="shared" si="38"/>
        <v>0</v>
      </c>
      <c r="AI57">
        <f t="shared" si="39"/>
        <v>0</v>
      </c>
      <c r="AJ57">
        <f t="shared" si="40"/>
        <v>0</v>
      </c>
      <c r="AK57">
        <v>24.39</v>
      </c>
      <c r="AL57">
        <v>0</v>
      </c>
      <c r="AM57">
        <v>24.39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94</v>
      </c>
      <c r="AU57">
        <v>61</v>
      </c>
      <c r="AV57">
        <v>1</v>
      </c>
      <c r="AW57">
        <v>1</v>
      </c>
      <c r="AZ57">
        <v>1</v>
      </c>
      <c r="BA57">
        <v>1</v>
      </c>
      <c r="BB57">
        <v>10.25</v>
      </c>
      <c r="BC57">
        <v>1</v>
      </c>
      <c r="BD57" t="s">
        <v>3</v>
      </c>
      <c r="BE57" t="s">
        <v>3</v>
      </c>
      <c r="BF57" t="s">
        <v>3</v>
      </c>
      <c r="BG57" t="s">
        <v>3</v>
      </c>
      <c r="BH57">
        <v>0</v>
      </c>
      <c r="BI57">
        <v>4</v>
      </c>
      <c r="BJ57" t="s">
        <v>79</v>
      </c>
      <c r="BM57">
        <v>188</v>
      </c>
      <c r="BN57">
        <v>0</v>
      </c>
      <c r="BO57" t="s">
        <v>77</v>
      </c>
      <c r="BP57">
        <v>1</v>
      </c>
      <c r="BQ57">
        <v>150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94</v>
      </c>
      <c r="CA57">
        <v>61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41"/>
        <v>902.72</v>
      </c>
      <c r="CQ57">
        <f t="shared" si="42"/>
        <v>0</v>
      </c>
      <c r="CR57">
        <f t="shared" si="43"/>
        <v>250</v>
      </c>
      <c r="CS57">
        <f t="shared" si="44"/>
        <v>0</v>
      </c>
      <c r="CT57">
        <f t="shared" si="45"/>
        <v>0</v>
      </c>
      <c r="CU57">
        <f t="shared" si="46"/>
        <v>0</v>
      </c>
      <c r="CV57">
        <f t="shared" si="47"/>
        <v>0</v>
      </c>
      <c r="CW57">
        <f t="shared" si="48"/>
        <v>0</v>
      </c>
      <c r="CX57">
        <f t="shared" si="49"/>
        <v>0</v>
      </c>
      <c r="CY57">
        <f t="shared" si="50"/>
        <v>0</v>
      </c>
      <c r="CZ57">
        <f t="shared" si="51"/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1013</v>
      </c>
      <c r="DV57" t="s">
        <v>21</v>
      </c>
      <c r="DW57" t="s">
        <v>21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55586412</v>
      </c>
      <c r="EF57">
        <v>150</v>
      </c>
      <c r="EG57" t="s">
        <v>23</v>
      </c>
      <c r="EH57">
        <v>0</v>
      </c>
      <c r="EI57" t="s">
        <v>3</v>
      </c>
      <c r="EJ57">
        <v>4</v>
      </c>
      <c r="EK57">
        <v>188</v>
      </c>
      <c r="EL57" t="s">
        <v>24</v>
      </c>
      <c r="EM57" t="s">
        <v>25</v>
      </c>
      <c r="EO57" t="s">
        <v>3</v>
      </c>
      <c r="EQ57">
        <v>0</v>
      </c>
      <c r="ER57">
        <v>24.39</v>
      </c>
      <c r="ES57">
        <v>0</v>
      </c>
      <c r="ET57">
        <v>24.39</v>
      </c>
      <c r="EU57">
        <v>0</v>
      </c>
      <c r="EV57">
        <v>0</v>
      </c>
      <c r="EW57">
        <v>0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94</v>
      </c>
      <c r="FY57">
        <v>61</v>
      </c>
      <c r="GA57" t="s">
        <v>3</v>
      </c>
      <c r="GD57">
        <v>1</v>
      </c>
      <c r="GF57">
        <v>-2084735050</v>
      </c>
      <c r="GG57">
        <v>2</v>
      </c>
      <c r="GH57">
        <v>1</v>
      </c>
      <c r="GI57">
        <v>2</v>
      </c>
      <c r="GJ57">
        <v>0</v>
      </c>
      <c r="GK57">
        <v>0</v>
      </c>
      <c r="GL57">
        <f t="shared" si="52"/>
        <v>0</v>
      </c>
      <c r="GM57">
        <f t="shared" si="53"/>
        <v>902.72</v>
      </c>
      <c r="GN57">
        <f t="shared" si="54"/>
        <v>0</v>
      </c>
      <c r="GO57">
        <f t="shared" si="55"/>
        <v>0</v>
      </c>
      <c r="GP57">
        <f t="shared" si="56"/>
        <v>902.72</v>
      </c>
      <c r="GR57">
        <v>0</v>
      </c>
      <c r="GS57">
        <v>3</v>
      </c>
      <c r="GT57">
        <v>0</v>
      </c>
      <c r="GU57" t="s">
        <v>3</v>
      </c>
      <c r="GV57">
        <f t="shared" si="57"/>
        <v>0</v>
      </c>
      <c r="GW57">
        <v>1</v>
      </c>
      <c r="GX57">
        <f t="shared" si="58"/>
        <v>0</v>
      </c>
      <c r="HA57">
        <v>0</v>
      </c>
      <c r="HB57">
        <v>0</v>
      </c>
      <c r="HC57">
        <f t="shared" si="59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5">
      <c r="A58" s="2">
        <v>17</v>
      </c>
      <c r="B58" s="2">
        <v>1</v>
      </c>
      <c r="C58" s="2">
        <f>ROW(SmtRes!A31)</f>
        <v>31</v>
      </c>
      <c r="D58" s="2">
        <f>ROW(EtalonRes!A31)</f>
        <v>31</v>
      </c>
      <c r="E58" s="2" t="s">
        <v>80</v>
      </c>
      <c r="F58" s="2" t="s">
        <v>81</v>
      </c>
      <c r="G58" s="2" t="s">
        <v>82</v>
      </c>
      <c r="H58" s="2" t="s">
        <v>21</v>
      </c>
      <c r="I58" s="2">
        <v>1.6850000000000001</v>
      </c>
      <c r="J58" s="2">
        <v>0</v>
      </c>
      <c r="K58" s="2">
        <v>1.6850000000000001</v>
      </c>
      <c r="L58" s="2"/>
      <c r="M58" s="2"/>
      <c r="N58" s="2"/>
      <c r="O58" s="2">
        <f t="shared" si="21"/>
        <v>27.4</v>
      </c>
      <c r="P58" s="2">
        <f t="shared" si="22"/>
        <v>0</v>
      </c>
      <c r="Q58" s="2">
        <f t="shared" si="23"/>
        <v>27.4</v>
      </c>
      <c r="R58" s="2">
        <f t="shared" si="24"/>
        <v>0</v>
      </c>
      <c r="S58" s="2">
        <f t="shared" si="25"/>
        <v>0</v>
      </c>
      <c r="T58" s="2">
        <f t="shared" si="26"/>
        <v>0</v>
      </c>
      <c r="U58" s="2">
        <f t="shared" si="27"/>
        <v>0</v>
      </c>
      <c r="V58" s="2">
        <f t="shared" si="28"/>
        <v>0</v>
      </c>
      <c r="W58" s="2">
        <f t="shared" si="29"/>
        <v>0</v>
      </c>
      <c r="X58" s="2">
        <f t="shared" si="30"/>
        <v>0</v>
      </c>
      <c r="Y58" s="2">
        <f t="shared" si="31"/>
        <v>0</v>
      </c>
      <c r="Z58" s="2"/>
      <c r="AA58" s="2">
        <v>56526439</v>
      </c>
      <c r="AB58" s="2">
        <f t="shared" si="32"/>
        <v>16.260000000000002</v>
      </c>
      <c r="AC58" s="2">
        <f t="shared" si="33"/>
        <v>0</v>
      </c>
      <c r="AD58" s="2">
        <f t="shared" si="34"/>
        <v>16.260000000000002</v>
      </c>
      <c r="AE58" s="2">
        <f t="shared" si="35"/>
        <v>0</v>
      </c>
      <c r="AF58" s="2">
        <f t="shared" si="36"/>
        <v>0</v>
      </c>
      <c r="AG58" s="2">
        <f t="shared" si="37"/>
        <v>0</v>
      </c>
      <c r="AH58" s="2">
        <f t="shared" si="38"/>
        <v>0</v>
      </c>
      <c r="AI58" s="2">
        <f t="shared" si="39"/>
        <v>0</v>
      </c>
      <c r="AJ58" s="2">
        <f t="shared" si="40"/>
        <v>0</v>
      </c>
      <c r="AK58" s="2">
        <v>16.260000000000002</v>
      </c>
      <c r="AL58" s="2">
        <v>0</v>
      </c>
      <c r="AM58" s="2">
        <v>16.260000000000002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94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4</v>
      </c>
      <c r="BJ58" s="2" t="s">
        <v>83</v>
      </c>
      <c r="BK58" s="2"/>
      <c r="BL58" s="2"/>
      <c r="BM58" s="2">
        <v>188</v>
      </c>
      <c r="BN58" s="2">
        <v>0</v>
      </c>
      <c r="BO58" s="2" t="s">
        <v>81</v>
      </c>
      <c r="BP58" s="2">
        <v>1</v>
      </c>
      <c r="BQ58" s="2">
        <v>150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94</v>
      </c>
      <c r="CA58" s="2">
        <v>61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41"/>
        <v>27.4</v>
      </c>
      <c r="CQ58" s="2">
        <f t="shared" si="42"/>
        <v>0</v>
      </c>
      <c r="CR58" s="2">
        <f t="shared" si="43"/>
        <v>16.260000000000002</v>
      </c>
      <c r="CS58" s="2">
        <f t="shared" si="44"/>
        <v>0</v>
      </c>
      <c r="CT58" s="2">
        <f t="shared" si="45"/>
        <v>0</v>
      </c>
      <c r="CU58" s="2">
        <f t="shared" si="46"/>
        <v>0</v>
      </c>
      <c r="CV58" s="2">
        <f t="shared" si="47"/>
        <v>0</v>
      </c>
      <c r="CW58" s="2">
        <f t="shared" si="48"/>
        <v>0</v>
      </c>
      <c r="CX58" s="2">
        <f t="shared" si="49"/>
        <v>0</v>
      </c>
      <c r="CY58" s="2">
        <f t="shared" si="50"/>
        <v>0</v>
      </c>
      <c r="CZ58" s="2">
        <f t="shared" si="51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21</v>
      </c>
      <c r="DW58" s="2" t="s">
        <v>21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55586412</v>
      </c>
      <c r="EF58" s="2">
        <v>150</v>
      </c>
      <c r="EG58" s="2" t="s">
        <v>23</v>
      </c>
      <c r="EH58" s="2">
        <v>0</v>
      </c>
      <c r="EI58" s="2" t="s">
        <v>3</v>
      </c>
      <c r="EJ58" s="2">
        <v>4</v>
      </c>
      <c r="EK58" s="2">
        <v>188</v>
      </c>
      <c r="EL58" s="2" t="s">
        <v>24</v>
      </c>
      <c r="EM58" s="2" t="s">
        <v>25</v>
      </c>
      <c r="EN58" s="2"/>
      <c r="EO58" s="2" t="s">
        <v>3</v>
      </c>
      <c r="EP58" s="2"/>
      <c r="EQ58" s="2">
        <v>0</v>
      </c>
      <c r="ER58" s="2">
        <v>16.260000000000002</v>
      </c>
      <c r="ES58" s="2">
        <v>0</v>
      </c>
      <c r="ET58" s="2">
        <v>16.260000000000002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94</v>
      </c>
      <c r="FY58" s="2">
        <v>61</v>
      </c>
      <c r="FZ58" s="2"/>
      <c r="GA58" s="2" t="s">
        <v>3</v>
      </c>
      <c r="GB58" s="2"/>
      <c r="GC58" s="2"/>
      <c r="GD58" s="2">
        <v>1</v>
      </c>
      <c r="GE58" s="2"/>
      <c r="GF58" s="2">
        <v>-1236415252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27.4</v>
      </c>
      <c r="GN58" s="2">
        <f t="shared" si="54"/>
        <v>0</v>
      </c>
      <c r="GO58" s="2">
        <f t="shared" si="55"/>
        <v>0</v>
      </c>
      <c r="GP58" s="2">
        <f t="shared" si="56"/>
        <v>27.4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>
        <v>17</v>
      </c>
      <c r="B59">
        <v>1</v>
      </c>
      <c r="C59">
        <f>ROW(SmtRes!A32)</f>
        <v>32</v>
      </c>
      <c r="D59">
        <f>ROW(EtalonRes!A32)</f>
        <v>32</v>
      </c>
      <c r="E59" t="s">
        <v>80</v>
      </c>
      <c r="F59" t="s">
        <v>81</v>
      </c>
      <c r="G59" t="s">
        <v>82</v>
      </c>
      <c r="H59" t="s">
        <v>21</v>
      </c>
      <c r="I59">
        <v>1.6850000000000001</v>
      </c>
      <c r="J59">
        <v>0</v>
      </c>
      <c r="K59">
        <v>1.6850000000000001</v>
      </c>
      <c r="O59">
        <f t="shared" si="21"/>
        <v>280.85000000000002</v>
      </c>
      <c r="P59">
        <f t="shared" si="22"/>
        <v>0</v>
      </c>
      <c r="Q59">
        <f t="shared" si="23"/>
        <v>280.85000000000002</v>
      </c>
      <c r="R59">
        <f t="shared" si="24"/>
        <v>0</v>
      </c>
      <c r="S59">
        <f t="shared" si="25"/>
        <v>0</v>
      </c>
      <c r="T59">
        <f t="shared" si="26"/>
        <v>0</v>
      </c>
      <c r="U59">
        <f t="shared" si="27"/>
        <v>0</v>
      </c>
      <c r="V59">
        <f t="shared" si="28"/>
        <v>0</v>
      </c>
      <c r="W59">
        <f t="shared" si="29"/>
        <v>0</v>
      </c>
      <c r="X59">
        <f t="shared" si="30"/>
        <v>0</v>
      </c>
      <c r="Y59">
        <f t="shared" si="31"/>
        <v>0</v>
      </c>
      <c r="AA59">
        <v>56526441</v>
      </c>
      <c r="AB59">
        <f t="shared" si="32"/>
        <v>16.260000000000002</v>
      </c>
      <c r="AC59">
        <f t="shared" si="33"/>
        <v>0</v>
      </c>
      <c r="AD59">
        <f t="shared" si="34"/>
        <v>16.260000000000002</v>
      </c>
      <c r="AE59">
        <f t="shared" si="35"/>
        <v>0</v>
      </c>
      <c r="AF59">
        <f t="shared" si="36"/>
        <v>0</v>
      </c>
      <c r="AG59">
        <f t="shared" si="37"/>
        <v>0</v>
      </c>
      <c r="AH59">
        <f t="shared" si="38"/>
        <v>0</v>
      </c>
      <c r="AI59">
        <f t="shared" si="39"/>
        <v>0</v>
      </c>
      <c r="AJ59">
        <f t="shared" si="40"/>
        <v>0</v>
      </c>
      <c r="AK59">
        <v>16.260000000000002</v>
      </c>
      <c r="AL59">
        <v>0</v>
      </c>
      <c r="AM59">
        <v>16.260000000000002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94</v>
      </c>
      <c r="AU59">
        <v>61</v>
      </c>
      <c r="AV59">
        <v>1</v>
      </c>
      <c r="AW59">
        <v>1</v>
      </c>
      <c r="AZ59">
        <v>1</v>
      </c>
      <c r="BA59">
        <v>1</v>
      </c>
      <c r="BB59">
        <v>10.25</v>
      </c>
      <c r="BC59">
        <v>1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4</v>
      </c>
      <c r="BJ59" t="s">
        <v>83</v>
      </c>
      <c r="BM59">
        <v>188</v>
      </c>
      <c r="BN59">
        <v>0</v>
      </c>
      <c r="BO59" t="s">
        <v>81</v>
      </c>
      <c r="BP59">
        <v>1</v>
      </c>
      <c r="BQ59">
        <v>150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94</v>
      </c>
      <c r="CA59">
        <v>61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41"/>
        <v>280.85000000000002</v>
      </c>
      <c r="CQ59">
        <f t="shared" si="42"/>
        <v>0</v>
      </c>
      <c r="CR59">
        <f t="shared" si="43"/>
        <v>166.67</v>
      </c>
      <c r="CS59">
        <f t="shared" si="44"/>
        <v>0</v>
      </c>
      <c r="CT59">
        <f t="shared" si="45"/>
        <v>0</v>
      </c>
      <c r="CU59">
        <f t="shared" si="46"/>
        <v>0</v>
      </c>
      <c r="CV59">
        <f t="shared" si="47"/>
        <v>0</v>
      </c>
      <c r="CW59">
        <f t="shared" si="48"/>
        <v>0</v>
      </c>
      <c r="CX59">
        <f t="shared" si="49"/>
        <v>0</v>
      </c>
      <c r="CY59">
        <f t="shared" si="50"/>
        <v>0</v>
      </c>
      <c r="CZ59">
        <f t="shared" si="51"/>
        <v>0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21</v>
      </c>
      <c r="DW59" t="s">
        <v>21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55586412</v>
      </c>
      <c r="EF59">
        <v>150</v>
      </c>
      <c r="EG59" t="s">
        <v>23</v>
      </c>
      <c r="EH59">
        <v>0</v>
      </c>
      <c r="EI59" t="s">
        <v>3</v>
      </c>
      <c r="EJ59">
        <v>4</v>
      </c>
      <c r="EK59">
        <v>188</v>
      </c>
      <c r="EL59" t="s">
        <v>24</v>
      </c>
      <c r="EM59" t="s">
        <v>25</v>
      </c>
      <c r="EO59" t="s">
        <v>3</v>
      </c>
      <c r="EQ59">
        <v>0</v>
      </c>
      <c r="ER59">
        <v>16.260000000000002</v>
      </c>
      <c r="ES59">
        <v>0</v>
      </c>
      <c r="ET59">
        <v>16.260000000000002</v>
      </c>
      <c r="EU59">
        <v>0</v>
      </c>
      <c r="EV59">
        <v>0</v>
      </c>
      <c r="EW59">
        <v>0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94</v>
      </c>
      <c r="FY59">
        <v>61</v>
      </c>
      <c r="GA59" t="s">
        <v>3</v>
      </c>
      <c r="GD59">
        <v>1</v>
      </c>
      <c r="GF59">
        <v>-1236415252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52"/>
        <v>0</v>
      </c>
      <c r="GM59">
        <f t="shared" si="53"/>
        <v>280.85000000000002</v>
      </c>
      <c r="GN59">
        <f t="shared" si="54"/>
        <v>0</v>
      </c>
      <c r="GO59">
        <f t="shared" si="55"/>
        <v>0</v>
      </c>
      <c r="GP59">
        <f t="shared" si="56"/>
        <v>280.85000000000002</v>
      </c>
      <c r="GR59">
        <v>0</v>
      </c>
      <c r="GS59">
        <v>3</v>
      </c>
      <c r="GT59">
        <v>0</v>
      </c>
      <c r="GU59" t="s">
        <v>3</v>
      </c>
      <c r="GV59">
        <f t="shared" si="57"/>
        <v>0</v>
      </c>
      <c r="GW59">
        <v>1</v>
      </c>
      <c r="GX59">
        <f t="shared" si="58"/>
        <v>0</v>
      </c>
      <c r="HA59">
        <v>0</v>
      </c>
      <c r="HB59">
        <v>0</v>
      </c>
      <c r="HC59">
        <f t="shared" si="59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5">
      <c r="A60" s="2">
        <v>17</v>
      </c>
      <c r="B60" s="2">
        <v>1</v>
      </c>
      <c r="C60" s="2">
        <f>ROW(SmtRes!A33)</f>
        <v>33</v>
      </c>
      <c r="D60" s="2">
        <f>ROW(EtalonRes!A33)</f>
        <v>33</v>
      </c>
      <c r="E60" s="2" t="s">
        <v>84</v>
      </c>
      <c r="F60" s="2" t="s">
        <v>85</v>
      </c>
      <c r="G60" s="2" t="s">
        <v>86</v>
      </c>
      <c r="H60" s="2" t="s">
        <v>21</v>
      </c>
      <c r="I60" s="2">
        <v>2.6</v>
      </c>
      <c r="J60" s="2">
        <v>0</v>
      </c>
      <c r="K60" s="2">
        <v>2.6</v>
      </c>
      <c r="L60" s="2"/>
      <c r="M60" s="2"/>
      <c r="N60" s="2"/>
      <c r="O60" s="2">
        <f t="shared" si="21"/>
        <v>71.86</v>
      </c>
      <c r="P60" s="2">
        <f t="shared" si="22"/>
        <v>0</v>
      </c>
      <c r="Q60" s="2">
        <f t="shared" si="23"/>
        <v>71.86</v>
      </c>
      <c r="R60" s="2">
        <f t="shared" si="24"/>
        <v>0</v>
      </c>
      <c r="S60" s="2">
        <f t="shared" si="25"/>
        <v>0</v>
      </c>
      <c r="T60" s="2">
        <f t="shared" si="26"/>
        <v>0</v>
      </c>
      <c r="U60" s="2">
        <f t="shared" si="27"/>
        <v>0</v>
      </c>
      <c r="V60" s="2">
        <f t="shared" si="28"/>
        <v>0</v>
      </c>
      <c r="W60" s="2">
        <f t="shared" si="29"/>
        <v>0</v>
      </c>
      <c r="X60" s="2">
        <f t="shared" si="30"/>
        <v>0</v>
      </c>
      <c r="Y60" s="2">
        <f t="shared" si="31"/>
        <v>0</v>
      </c>
      <c r="Z60" s="2"/>
      <c r="AA60" s="2">
        <v>56526439</v>
      </c>
      <c r="AB60" s="2">
        <f t="shared" si="32"/>
        <v>27.64</v>
      </c>
      <c r="AC60" s="2">
        <f t="shared" si="33"/>
        <v>0</v>
      </c>
      <c r="AD60" s="2">
        <f t="shared" si="34"/>
        <v>27.64</v>
      </c>
      <c r="AE60" s="2">
        <f t="shared" si="35"/>
        <v>0</v>
      </c>
      <c r="AF60" s="2">
        <f t="shared" si="36"/>
        <v>0</v>
      </c>
      <c r="AG60" s="2">
        <f t="shared" si="37"/>
        <v>0</v>
      </c>
      <c r="AH60" s="2">
        <f t="shared" si="38"/>
        <v>0</v>
      </c>
      <c r="AI60" s="2">
        <f t="shared" si="39"/>
        <v>0</v>
      </c>
      <c r="AJ60" s="2">
        <f t="shared" si="40"/>
        <v>0</v>
      </c>
      <c r="AK60" s="2">
        <v>27.64</v>
      </c>
      <c r="AL60" s="2">
        <v>0</v>
      </c>
      <c r="AM60" s="2">
        <v>27.64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94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4</v>
      </c>
      <c r="BJ60" s="2" t="s">
        <v>87</v>
      </c>
      <c r="BK60" s="2"/>
      <c r="BL60" s="2"/>
      <c r="BM60" s="2">
        <v>188</v>
      </c>
      <c r="BN60" s="2">
        <v>0</v>
      </c>
      <c r="BO60" s="2" t="s">
        <v>85</v>
      </c>
      <c r="BP60" s="2">
        <v>1</v>
      </c>
      <c r="BQ60" s="2">
        <v>150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94</v>
      </c>
      <c r="CA60" s="2">
        <v>61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41"/>
        <v>71.86</v>
      </c>
      <c r="CQ60" s="2">
        <f t="shared" si="42"/>
        <v>0</v>
      </c>
      <c r="CR60" s="2">
        <f t="shared" si="43"/>
        <v>27.64</v>
      </c>
      <c r="CS60" s="2">
        <f t="shared" si="44"/>
        <v>0</v>
      </c>
      <c r="CT60" s="2">
        <f t="shared" si="45"/>
        <v>0</v>
      </c>
      <c r="CU60" s="2">
        <f t="shared" si="46"/>
        <v>0</v>
      </c>
      <c r="CV60" s="2">
        <f t="shared" si="47"/>
        <v>0</v>
      </c>
      <c r="CW60" s="2">
        <f t="shared" si="48"/>
        <v>0</v>
      </c>
      <c r="CX60" s="2">
        <f t="shared" si="49"/>
        <v>0</v>
      </c>
      <c r="CY60" s="2">
        <f t="shared" si="50"/>
        <v>0</v>
      </c>
      <c r="CZ60" s="2">
        <f t="shared" si="51"/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21</v>
      </c>
      <c r="DW60" s="2" t="s">
        <v>21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55586412</v>
      </c>
      <c r="EF60" s="2">
        <v>150</v>
      </c>
      <c r="EG60" s="2" t="s">
        <v>23</v>
      </c>
      <c r="EH60" s="2">
        <v>0</v>
      </c>
      <c r="EI60" s="2" t="s">
        <v>3</v>
      </c>
      <c r="EJ60" s="2">
        <v>4</v>
      </c>
      <c r="EK60" s="2">
        <v>188</v>
      </c>
      <c r="EL60" s="2" t="s">
        <v>24</v>
      </c>
      <c r="EM60" s="2" t="s">
        <v>25</v>
      </c>
      <c r="EN60" s="2"/>
      <c r="EO60" s="2" t="s">
        <v>3</v>
      </c>
      <c r="EP60" s="2"/>
      <c r="EQ60" s="2">
        <v>0</v>
      </c>
      <c r="ER60" s="2">
        <v>27.64</v>
      </c>
      <c r="ES60" s="2">
        <v>0</v>
      </c>
      <c r="ET60" s="2">
        <v>27.64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94</v>
      </c>
      <c r="FY60" s="2">
        <v>61</v>
      </c>
      <c r="FZ60" s="2"/>
      <c r="GA60" s="2" t="s">
        <v>3</v>
      </c>
      <c r="GB60" s="2"/>
      <c r="GC60" s="2"/>
      <c r="GD60" s="2">
        <v>1</v>
      </c>
      <c r="GE60" s="2"/>
      <c r="GF60" s="2">
        <v>-347033870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71.86</v>
      </c>
      <c r="GN60" s="2">
        <f t="shared" si="54"/>
        <v>0</v>
      </c>
      <c r="GO60" s="2">
        <f t="shared" si="55"/>
        <v>0</v>
      </c>
      <c r="GP60" s="2">
        <f t="shared" si="56"/>
        <v>71.86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>
        <v>17</v>
      </c>
      <c r="B61">
        <v>1</v>
      </c>
      <c r="C61">
        <f>ROW(SmtRes!A34)</f>
        <v>34</v>
      </c>
      <c r="D61">
        <f>ROW(EtalonRes!A34)</f>
        <v>34</v>
      </c>
      <c r="E61" t="s">
        <v>84</v>
      </c>
      <c r="F61" t="s">
        <v>85</v>
      </c>
      <c r="G61" t="s">
        <v>86</v>
      </c>
      <c r="H61" t="s">
        <v>21</v>
      </c>
      <c r="I61">
        <v>2.6</v>
      </c>
      <c r="J61">
        <v>0</v>
      </c>
      <c r="K61">
        <v>2.6</v>
      </c>
      <c r="O61">
        <f t="shared" si="21"/>
        <v>736.57</v>
      </c>
      <c r="P61">
        <f t="shared" si="22"/>
        <v>0</v>
      </c>
      <c r="Q61">
        <f t="shared" si="23"/>
        <v>736.57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v>56526441</v>
      </c>
      <c r="AB61">
        <f t="shared" si="32"/>
        <v>27.64</v>
      </c>
      <c r="AC61">
        <f t="shared" si="33"/>
        <v>0</v>
      </c>
      <c r="AD61">
        <f t="shared" si="34"/>
        <v>27.64</v>
      </c>
      <c r="AE61">
        <f t="shared" si="35"/>
        <v>0</v>
      </c>
      <c r="AF61">
        <f t="shared" si="36"/>
        <v>0</v>
      </c>
      <c r="AG61">
        <f t="shared" si="37"/>
        <v>0</v>
      </c>
      <c r="AH61">
        <f t="shared" si="38"/>
        <v>0</v>
      </c>
      <c r="AI61">
        <f t="shared" si="39"/>
        <v>0</v>
      </c>
      <c r="AJ61">
        <f t="shared" si="40"/>
        <v>0</v>
      </c>
      <c r="AK61">
        <v>27.64</v>
      </c>
      <c r="AL61">
        <v>0</v>
      </c>
      <c r="AM61">
        <v>27.64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94</v>
      </c>
      <c r="AU61">
        <v>61</v>
      </c>
      <c r="AV61">
        <v>1</v>
      </c>
      <c r="AW61">
        <v>1</v>
      </c>
      <c r="AZ61">
        <v>1</v>
      </c>
      <c r="BA61">
        <v>1</v>
      </c>
      <c r="BB61">
        <v>10.25</v>
      </c>
      <c r="BC61">
        <v>1</v>
      </c>
      <c r="BD61" t="s">
        <v>3</v>
      </c>
      <c r="BE61" t="s">
        <v>3</v>
      </c>
      <c r="BF61" t="s">
        <v>3</v>
      </c>
      <c r="BG61" t="s">
        <v>3</v>
      </c>
      <c r="BH61">
        <v>0</v>
      </c>
      <c r="BI61">
        <v>4</v>
      </c>
      <c r="BJ61" t="s">
        <v>87</v>
      </c>
      <c r="BM61">
        <v>188</v>
      </c>
      <c r="BN61">
        <v>0</v>
      </c>
      <c r="BO61" t="s">
        <v>85</v>
      </c>
      <c r="BP61">
        <v>1</v>
      </c>
      <c r="BQ61">
        <v>150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94</v>
      </c>
      <c r="CA61">
        <v>61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41"/>
        <v>736.57</v>
      </c>
      <c r="CQ61">
        <f t="shared" si="42"/>
        <v>0</v>
      </c>
      <c r="CR61">
        <f t="shared" si="43"/>
        <v>283.31</v>
      </c>
      <c r="CS61">
        <f t="shared" si="44"/>
        <v>0</v>
      </c>
      <c r="CT61">
        <f t="shared" si="45"/>
        <v>0</v>
      </c>
      <c r="CU61">
        <f t="shared" si="46"/>
        <v>0</v>
      </c>
      <c r="CV61">
        <f t="shared" si="47"/>
        <v>0</v>
      </c>
      <c r="CW61">
        <f t="shared" si="48"/>
        <v>0</v>
      </c>
      <c r="CX61">
        <f t="shared" si="49"/>
        <v>0</v>
      </c>
      <c r="CY61">
        <f t="shared" si="50"/>
        <v>0</v>
      </c>
      <c r="CZ61">
        <f t="shared" si="51"/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1013</v>
      </c>
      <c r="DV61" t="s">
        <v>21</v>
      </c>
      <c r="DW61" t="s">
        <v>21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55586412</v>
      </c>
      <c r="EF61">
        <v>150</v>
      </c>
      <c r="EG61" t="s">
        <v>23</v>
      </c>
      <c r="EH61">
        <v>0</v>
      </c>
      <c r="EI61" t="s">
        <v>3</v>
      </c>
      <c r="EJ61">
        <v>4</v>
      </c>
      <c r="EK61">
        <v>188</v>
      </c>
      <c r="EL61" t="s">
        <v>24</v>
      </c>
      <c r="EM61" t="s">
        <v>25</v>
      </c>
      <c r="EO61" t="s">
        <v>3</v>
      </c>
      <c r="EQ61">
        <v>0</v>
      </c>
      <c r="ER61">
        <v>27.64</v>
      </c>
      <c r="ES61">
        <v>0</v>
      </c>
      <c r="ET61">
        <v>27.64</v>
      </c>
      <c r="EU61">
        <v>0</v>
      </c>
      <c r="EV61">
        <v>0</v>
      </c>
      <c r="EW61">
        <v>0</v>
      </c>
      <c r="EX61">
        <v>0</v>
      </c>
      <c r="EY61">
        <v>0</v>
      </c>
      <c r="FQ61">
        <v>0</v>
      </c>
      <c r="FR61">
        <v>0</v>
      </c>
      <c r="FS61">
        <v>0</v>
      </c>
      <c r="FX61">
        <v>94</v>
      </c>
      <c r="FY61">
        <v>61</v>
      </c>
      <c r="GA61" t="s">
        <v>3</v>
      </c>
      <c r="GD61">
        <v>1</v>
      </c>
      <c r="GF61">
        <v>-347033870</v>
      </c>
      <c r="GG61">
        <v>2</v>
      </c>
      <c r="GH61">
        <v>1</v>
      </c>
      <c r="GI61">
        <v>2</v>
      </c>
      <c r="GJ61">
        <v>0</v>
      </c>
      <c r="GK61">
        <v>0</v>
      </c>
      <c r="GL61">
        <f t="shared" si="52"/>
        <v>0</v>
      </c>
      <c r="GM61">
        <f t="shared" si="53"/>
        <v>736.57</v>
      </c>
      <c r="GN61">
        <f t="shared" si="54"/>
        <v>0</v>
      </c>
      <c r="GO61">
        <f t="shared" si="55"/>
        <v>0</v>
      </c>
      <c r="GP61">
        <f t="shared" si="56"/>
        <v>736.57</v>
      </c>
      <c r="GR61">
        <v>0</v>
      </c>
      <c r="GS61">
        <v>3</v>
      </c>
      <c r="GT61">
        <v>0</v>
      </c>
      <c r="GU61" t="s">
        <v>3</v>
      </c>
      <c r="GV61">
        <f t="shared" si="57"/>
        <v>0</v>
      </c>
      <c r="GW61">
        <v>1</v>
      </c>
      <c r="GX61">
        <f t="shared" si="58"/>
        <v>0</v>
      </c>
      <c r="HA61">
        <v>0</v>
      </c>
      <c r="HB61">
        <v>0</v>
      </c>
      <c r="HC61">
        <f t="shared" si="59"/>
        <v>0</v>
      </c>
      <c r="HE61" t="s">
        <v>3</v>
      </c>
      <c r="HF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5">
      <c r="A62" s="2">
        <v>17</v>
      </c>
      <c r="B62" s="2">
        <v>1</v>
      </c>
      <c r="C62" s="2">
        <f>ROW(SmtRes!A35)</f>
        <v>35</v>
      </c>
      <c r="D62" s="2">
        <f>ROW(EtalonRes!A35)</f>
        <v>35</v>
      </c>
      <c r="E62" s="2" t="s">
        <v>88</v>
      </c>
      <c r="F62" s="2" t="s">
        <v>89</v>
      </c>
      <c r="G62" s="2" t="s">
        <v>90</v>
      </c>
      <c r="H62" s="2" t="s">
        <v>21</v>
      </c>
      <c r="I62" s="2">
        <v>318.56400000000002</v>
      </c>
      <c r="J62" s="2">
        <v>0</v>
      </c>
      <c r="K62" s="2">
        <v>318.56400000000002</v>
      </c>
      <c r="L62" s="2"/>
      <c r="M62" s="2"/>
      <c r="N62" s="2"/>
      <c r="O62" s="2">
        <f t="shared" si="21"/>
        <v>15134.98</v>
      </c>
      <c r="P62" s="2">
        <f t="shared" si="22"/>
        <v>0</v>
      </c>
      <c r="Q62" s="2">
        <f t="shared" si="23"/>
        <v>15134.98</v>
      </c>
      <c r="R62" s="2">
        <f t="shared" si="24"/>
        <v>0</v>
      </c>
      <c r="S62" s="2">
        <f t="shared" si="25"/>
        <v>0</v>
      </c>
      <c r="T62" s="2">
        <f t="shared" si="26"/>
        <v>0</v>
      </c>
      <c r="U62" s="2">
        <f t="shared" si="27"/>
        <v>0</v>
      </c>
      <c r="V62" s="2">
        <f t="shared" si="28"/>
        <v>0</v>
      </c>
      <c r="W62" s="2">
        <f t="shared" si="29"/>
        <v>0</v>
      </c>
      <c r="X62" s="2">
        <f t="shared" si="30"/>
        <v>0</v>
      </c>
      <c r="Y62" s="2">
        <f t="shared" si="31"/>
        <v>0</v>
      </c>
      <c r="Z62" s="2"/>
      <c r="AA62" s="2">
        <v>56526439</v>
      </c>
      <c r="AB62" s="2">
        <f t="shared" si="32"/>
        <v>47.51</v>
      </c>
      <c r="AC62" s="2">
        <f t="shared" si="33"/>
        <v>0</v>
      </c>
      <c r="AD62" s="2">
        <f t="shared" si="34"/>
        <v>47.51</v>
      </c>
      <c r="AE62" s="2">
        <f t="shared" si="35"/>
        <v>0</v>
      </c>
      <c r="AF62" s="2">
        <f t="shared" si="36"/>
        <v>0</v>
      </c>
      <c r="AG62" s="2">
        <f t="shared" si="37"/>
        <v>0</v>
      </c>
      <c r="AH62" s="2">
        <f t="shared" si="38"/>
        <v>0</v>
      </c>
      <c r="AI62" s="2">
        <f t="shared" si="39"/>
        <v>0</v>
      </c>
      <c r="AJ62" s="2">
        <f t="shared" si="40"/>
        <v>0</v>
      </c>
      <c r="AK62" s="2">
        <v>47.51</v>
      </c>
      <c r="AL62" s="2">
        <v>0</v>
      </c>
      <c r="AM62" s="2">
        <v>47.51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94</v>
      </c>
      <c r="AU62" s="2">
        <v>61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4</v>
      </c>
      <c r="BJ62" s="2" t="s">
        <v>91</v>
      </c>
      <c r="BK62" s="2"/>
      <c r="BL62" s="2"/>
      <c r="BM62" s="2">
        <v>188</v>
      </c>
      <c r="BN62" s="2">
        <v>0</v>
      </c>
      <c r="BO62" s="2" t="s">
        <v>89</v>
      </c>
      <c r="BP62" s="2">
        <v>1</v>
      </c>
      <c r="BQ62" s="2">
        <v>150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94</v>
      </c>
      <c r="CA62" s="2">
        <v>61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41"/>
        <v>15134.98</v>
      </c>
      <c r="CQ62" s="2">
        <f t="shared" si="42"/>
        <v>0</v>
      </c>
      <c r="CR62" s="2">
        <f t="shared" si="43"/>
        <v>47.51</v>
      </c>
      <c r="CS62" s="2">
        <f t="shared" si="44"/>
        <v>0</v>
      </c>
      <c r="CT62" s="2">
        <f t="shared" si="45"/>
        <v>0</v>
      </c>
      <c r="CU62" s="2">
        <f t="shared" si="46"/>
        <v>0</v>
      </c>
      <c r="CV62" s="2">
        <f t="shared" si="47"/>
        <v>0</v>
      </c>
      <c r="CW62" s="2">
        <f t="shared" si="48"/>
        <v>0</v>
      </c>
      <c r="CX62" s="2">
        <f t="shared" si="49"/>
        <v>0</v>
      </c>
      <c r="CY62" s="2">
        <f t="shared" si="50"/>
        <v>0</v>
      </c>
      <c r="CZ62" s="2">
        <f t="shared" si="51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21</v>
      </c>
      <c r="DW62" s="2" t="s">
        <v>21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55586412</v>
      </c>
      <c r="EF62" s="2">
        <v>150</v>
      </c>
      <c r="EG62" s="2" t="s">
        <v>23</v>
      </c>
      <c r="EH62" s="2">
        <v>0</v>
      </c>
      <c r="EI62" s="2" t="s">
        <v>3</v>
      </c>
      <c r="EJ62" s="2">
        <v>4</v>
      </c>
      <c r="EK62" s="2">
        <v>188</v>
      </c>
      <c r="EL62" s="2" t="s">
        <v>24</v>
      </c>
      <c r="EM62" s="2" t="s">
        <v>25</v>
      </c>
      <c r="EN62" s="2"/>
      <c r="EO62" s="2" t="s">
        <v>3</v>
      </c>
      <c r="EP62" s="2"/>
      <c r="EQ62" s="2">
        <v>0</v>
      </c>
      <c r="ER62" s="2">
        <v>47.51</v>
      </c>
      <c r="ES62" s="2">
        <v>0</v>
      </c>
      <c r="ET62" s="2">
        <v>47.51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94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-1557990163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52"/>
        <v>0</v>
      </c>
      <c r="GM62" s="2">
        <f t="shared" si="53"/>
        <v>15134.98</v>
      </c>
      <c r="GN62" s="2">
        <f t="shared" si="54"/>
        <v>0</v>
      </c>
      <c r="GO62" s="2">
        <f t="shared" si="55"/>
        <v>0</v>
      </c>
      <c r="GP62" s="2">
        <f t="shared" si="56"/>
        <v>15134.98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57"/>
        <v>0</v>
      </c>
      <c r="GW62" s="2">
        <v>1</v>
      </c>
      <c r="GX62" s="2">
        <f t="shared" si="58"/>
        <v>0</v>
      </c>
      <c r="GY62" s="2"/>
      <c r="GZ62" s="2"/>
      <c r="HA62" s="2">
        <v>0</v>
      </c>
      <c r="HB62" s="2">
        <v>0</v>
      </c>
      <c r="HC62" s="2">
        <f t="shared" si="59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>
        <v>17</v>
      </c>
      <c r="B63">
        <v>1</v>
      </c>
      <c r="C63">
        <f>ROW(SmtRes!A36)</f>
        <v>36</v>
      </c>
      <c r="D63">
        <f>ROW(EtalonRes!A36)</f>
        <v>36</v>
      </c>
      <c r="E63" t="s">
        <v>88</v>
      </c>
      <c r="F63" t="s">
        <v>89</v>
      </c>
      <c r="G63" t="s">
        <v>90</v>
      </c>
      <c r="H63" t="s">
        <v>21</v>
      </c>
      <c r="I63">
        <v>318.56400000000002</v>
      </c>
      <c r="J63">
        <v>0</v>
      </c>
      <c r="K63">
        <v>318.56400000000002</v>
      </c>
      <c r="O63">
        <f t="shared" si="21"/>
        <v>123955.49</v>
      </c>
      <c r="P63">
        <f t="shared" si="22"/>
        <v>0</v>
      </c>
      <c r="Q63">
        <f t="shared" si="23"/>
        <v>123955.49</v>
      </c>
      <c r="R63">
        <f t="shared" si="24"/>
        <v>0</v>
      </c>
      <c r="S63">
        <f t="shared" si="25"/>
        <v>0</v>
      </c>
      <c r="T63">
        <f t="shared" si="26"/>
        <v>0</v>
      </c>
      <c r="U63">
        <f t="shared" si="27"/>
        <v>0</v>
      </c>
      <c r="V63">
        <f t="shared" si="28"/>
        <v>0</v>
      </c>
      <c r="W63">
        <f t="shared" si="29"/>
        <v>0</v>
      </c>
      <c r="X63">
        <f t="shared" si="30"/>
        <v>0</v>
      </c>
      <c r="Y63">
        <f t="shared" si="31"/>
        <v>0</v>
      </c>
      <c r="AA63">
        <v>56526441</v>
      </c>
      <c r="AB63">
        <f t="shared" si="32"/>
        <v>47.51</v>
      </c>
      <c r="AC63">
        <f t="shared" si="33"/>
        <v>0</v>
      </c>
      <c r="AD63">
        <f t="shared" si="34"/>
        <v>47.51</v>
      </c>
      <c r="AE63">
        <f t="shared" si="35"/>
        <v>0</v>
      </c>
      <c r="AF63">
        <f t="shared" si="36"/>
        <v>0</v>
      </c>
      <c r="AG63">
        <f t="shared" si="37"/>
        <v>0</v>
      </c>
      <c r="AH63">
        <f t="shared" si="38"/>
        <v>0</v>
      </c>
      <c r="AI63">
        <f t="shared" si="39"/>
        <v>0</v>
      </c>
      <c r="AJ63">
        <f t="shared" si="40"/>
        <v>0</v>
      </c>
      <c r="AK63">
        <v>47.51</v>
      </c>
      <c r="AL63">
        <v>0</v>
      </c>
      <c r="AM63">
        <v>47.51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94</v>
      </c>
      <c r="AU63">
        <v>61</v>
      </c>
      <c r="AV63">
        <v>1</v>
      </c>
      <c r="AW63">
        <v>1</v>
      </c>
      <c r="AZ63">
        <v>1</v>
      </c>
      <c r="BA63">
        <v>1</v>
      </c>
      <c r="BB63">
        <v>8.19</v>
      </c>
      <c r="BC63">
        <v>1</v>
      </c>
      <c r="BD63" t="s">
        <v>3</v>
      </c>
      <c r="BE63" t="s">
        <v>3</v>
      </c>
      <c r="BF63" t="s">
        <v>3</v>
      </c>
      <c r="BG63" t="s">
        <v>3</v>
      </c>
      <c r="BH63">
        <v>0</v>
      </c>
      <c r="BI63">
        <v>4</v>
      </c>
      <c r="BJ63" t="s">
        <v>91</v>
      </c>
      <c r="BM63">
        <v>188</v>
      </c>
      <c r="BN63">
        <v>0</v>
      </c>
      <c r="BO63" t="s">
        <v>89</v>
      </c>
      <c r="BP63">
        <v>1</v>
      </c>
      <c r="BQ63">
        <v>150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94</v>
      </c>
      <c r="CA63">
        <v>61</v>
      </c>
      <c r="CB63" t="s">
        <v>3</v>
      </c>
      <c r="CE63">
        <v>30</v>
      </c>
      <c r="CF63">
        <v>0</v>
      </c>
      <c r="CG63">
        <v>0</v>
      </c>
      <c r="CM63">
        <v>0</v>
      </c>
      <c r="CN63" t="s">
        <v>3</v>
      </c>
      <c r="CO63">
        <v>0</v>
      </c>
      <c r="CP63">
        <f t="shared" si="41"/>
        <v>123955.49</v>
      </c>
      <c r="CQ63">
        <f t="shared" si="42"/>
        <v>0</v>
      </c>
      <c r="CR63">
        <f t="shared" si="43"/>
        <v>389.11</v>
      </c>
      <c r="CS63">
        <f t="shared" si="44"/>
        <v>0</v>
      </c>
      <c r="CT63">
        <f t="shared" si="45"/>
        <v>0</v>
      </c>
      <c r="CU63">
        <f t="shared" si="46"/>
        <v>0</v>
      </c>
      <c r="CV63">
        <f t="shared" si="47"/>
        <v>0</v>
      </c>
      <c r="CW63">
        <f t="shared" si="48"/>
        <v>0</v>
      </c>
      <c r="CX63">
        <f t="shared" si="49"/>
        <v>0</v>
      </c>
      <c r="CY63">
        <f t="shared" si="50"/>
        <v>0</v>
      </c>
      <c r="CZ63">
        <f t="shared" si="51"/>
        <v>0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21</v>
      </c>
      <c r="DW63" t="s">
        <v>21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55586412</v>
      </c>
      <c r="EF63">
        <v>150</v>
      </c>
      <c r="EG63" t="s">
        <v>23</v>
      </c>
      <c r="EH63">
        <v>0</v>
      </c>
      <c r="EI63" t="s">
        <v>3</v>
      </c>
      <c r="EJ63">
        <v>4</v>
      </c>
      <c r="EK63">
        <v>188</v>
      </c>
      <c r="EL63" t="s">
        <v>24</v>
      </c>
      <c r="EM63" t="s">
        <v>25</v>
      </c>
      <c r="EO63" t="s">
        <v>3</v>
      </c>
      <c r="EQ63">
        <v>0</v>
      </c>
      <c r="ER63">
        <v>47.51</v>
      </c>
      <c r="ES63">
        <v>0</v>
      </c>
      <c r="ET63">
        <v>47.51</v>
      </c>
      <c r="EU63">
        <v>0</v>
      </c>
      <c r="EV63">
        <v>0</v>
      </c>
      <c r="EW63">
        <v>0</v>
      </c>
      <c r="EX63">
        <v>0</v>
      </c>
      <c r="EY63">
        <v>0</v>
      </c>
      <c r="FQ63">
        <v>0</v>
      </c>
      <c r="FR63">
        <v>0</v>
      </c>
      <c r="FS63">
        <v>0</v>
      </c>
      <c r="FX63">
        <v>94</v>
      </c>
      <c r="FY63">
        <v>61</v>
      </c>
      <c r="GA63" t="s">
        <v>3</v>
      </c>
      <c r="GD63">
        <v>1</v>
      </c>
      <c r="GF63">
        <v>-1557990163</v>
      </c>
      <c r="GG63">
        <v>2</v>
      </c>
      <c r="GH63">
        <v>1</v>
      </c>
      <c r="GI63">
        <v>2</v>
      </c>
      <c r="GJ63">
        <v>0</v>
      </c>
      <c r="GK63">
        <v>0</v>
      </c>
      <c r="GL63">
        <f t="shared" si="52"/>
        <v>0</v>
      </c>
      <c r="GM63">
        <f t="shared" si="53"/>
        <v>123955.49</v>
      </c>
      <c r="GN63">
        <f t="shared" si="54"/>
        <v>0</v>
      </c>
      <c r="GO63">
        <f t="shared" si="55"/>
        <v>0</v>
      </c>
      <c r="GP63">
        <f t="shared" si="56"/>
        <v>123955.49</v>
      </c>
      <c r="GR63">
        <v>0</v>
      </c>
      <c r="GS63">
        <v>3</v>
      </c>
      <c r="GT63">
        <v>0</v>
      </c>
      <c r="GU63" t="s">
        <v>3</v>
      </c>
      <c r="GV63">
        <f t="shared" si="57"/>
        <v>0</v>
      </c>
      <c r="GW63">
        <v>1</v>
      </c>
      <c r="GX63">
        <f t="shared" si="58"/>
        <v>0</v>
      </c>
      <c r="HA63">
        <v>0</v>
      </c>
      <c r="HB63">
        <v>0</v>
      </c>
      <c r="HC63">
        <f t="shared" si="59"/>
        <v>0</v>
      </c>
      <c r="HE63" t="s">
        <v>3</v>
      </c>
      <c r="HF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5" spans="1:206" ht="13" x14ac:dyDescent="0.3">
      <c r="A65" s="3">
        <v>51</v>
      </c>
      <c r="B65" s="3">
        <f>B24</f>
        <v>1</v>
      </c>
      <c r="C65" s="3">
        <f>A24</f>
        <v>4</v>
      </c>
      <c r="D65" s="3">
        <f>ROW(A24)</f>
        <v>24</v>
      </c>
      <c r="E65" s="3"/>
      <c r="F65" s="3" t="str">
        <f>IF(F24&lt;&gt;"",F24,"")</f>
        <v/>
      </c>
      <c r="G65" s="3" t="str">
        <f>IF(G24&lt;&gt;"",G24,"")</f>
        <v>Размещение и содержание строительного мусора</v>
      </c>
      <c r="H65" s="3">
        <v>0</v>
      </c>
      <c r="I65" s="3"/>
      <c r="J65" s="3"/>
      <c r="K65" s="3"/>
      <c r="L65" s="3"/>
      <c r="M65" s="3"/>
      <c r="N65" s="3"/>
      <c r="O65" s="3">
        <f t="shared" ref="O65:T65" si="60">ROUND(AB65,2)</f>
        <v>96538.04</v>
      </c>
      <c r="P65" s="3">
        <f t="shared" si="60"/>
        <v>0</v>
      </c>
      <c r="Q65" s="3">
        <f t="shared" si="60"/>
        <v>96538.04</v>
      </c>
      <c r="R65" s="3">
        <f t="shared" si="60"/>
        <v>0</v>
      </c>
      <c r="S65" s="3">
        <f t="shared" si="60"/>
        <v>0</v>
      </c>
      <c r="T65" s="3">
        <f t="shared" si="60"/>
        <v>0</v>
      </c>
      <c r="U65" s="3">
        <f>AH65</f>
        <v>0</v>
      </c>
      <c r="V65" s="3">
        <f>AI65</f>
        <v>0</v>
      </c>
      <c r="W65" s="3">
        <f>ROUND(AJ65,2)</f>
        <v>0</v>
      </c>
      <c r="X65" s="3">
        <f>ROUND(AK65,2)</f>
        <v>0</v>
      </c>
      <c r="Y65" s="3">
        <f>ROUND(AL65,2)</f>
        <v>0</v>
      </c>
      <c r="Z65" s="3"/>
      <c r="AA65" s="3"/>
      <c r="AB65" s="3">
        <f>ROUND(SUMIF(AA28:AA63,"=56526439",O28:O63),2)</f>
        <v>96538.04</v>
      </c>
      <c r="AC65" s="3">
        <f>ROUND(SUMIF(AA28:AA63,"=56526439",P28:P63),2)</f>
        <v>0</v>
      </c>
      <c r="AD65" s="3">
        <f>ROUND(SUMIF(AA28:AA63,"=56526439",Q28:Q63),2)</f>
        <v>96538.04</v>
      </c>
      <c r="AE65" s="3">
        <f>ROUND(SUMIF(AA28:AA63,"=56526439",R28:R63),2)</f>
        <v>0</v>
      </c>
      <c r="AF65" s="3">
        <f>ROUND(SUMIF(AA28:AA63,"=56526439",S28:S63),2)</f>
        <v>0</v>
      </c>
      <c r="AG65" s="3">
        <f>ROUND(SUMIF(AA28:AA63,"=56526439",T28:T63),2)</f>
        <v>0</v>
      </c>
      <c r="AH65" s="3">
        <f>SUMIF(AA28:AA63,"=56526439",U28:U63)</f>
        <v>0</v>
      </c>
      <c r="AI65" s="3">
        <f>SUMIF(AA28:AA63,"=56526439",V28:V63)</f>
        <v>0</v>
      </c>
      <c r="AJ65" s="3">
        <f>ROUND(SUMIF(AA28:AA63,"=56526439",W28:W63),2)</f>
        <v>0</v>
      </c>
      <c r="AK65" s="3">
        <f>ROUND(SUMIF(AA28:AA63,"=56526439",X28:X63),2)</f>
        <v>0</v>
      </c>
      <c r="AL65" s="3">
        <f>ROUND(SUMIF(AA28:AA63,"=56526439",Y28:Y63),2)</f>
        <v>0</v>
      </c>
      <c r="AM65" s="3"/>
      <c r="AN65" s="3"/>
      <c r="AO65" s="3">
        <f t="shared" ref="AO65:BD65" si="61">ROUND(BX65,2)</f>
        <v>0</v>
      </c>
      <c r="AP65" s="3">
        <f t="shared" si="61"/>
        <v>0</v>
      </c>
      <c r="AQ65" s="3">
        <f t="shared" si="61"/>
        <v>0</v>
      </c>
      <c r="AR65" s="3">
        <f t="shared" si="61"/>
        <v>96538.04</v>
      </c>
      <c r="AS65" s="3">
        <f t="shared" si="61"/>
        <v>0</v>
      </c>
      <c r="AT65" s="3">
        <f t="shared" si="61"/>
        <v>0</v>
      </c>
      <c r="AU65" s="3">
        <f t="shared" si="61"/>
        <v>96538.04</v>
      </c>
      <c r="AV65" s="3">
        <f t="shared" si="61"/>
        <v>0</v>
      </c>
      <c r="AW65" s="3">
        <f t="shared" si="61"/>
        <v>0</v>
      </c>
      <c r="AX65" s="3">
        <f t="shared" si="61"/>
        <v>0</v>
      </c>
      <c r="AY65" s="3">
        <f t="shared" si="61"/>
        <v>0</v>
      </c>
      <c r="AZ65" s="3">
        <f t="shared" si="61"/>
        <v>0</v>
      </c>
      <c r="BA65" s="3">
        <f t="shared" si="61"/>
        <v>0</v>
      </c>
      <c r="BB65" s="3">
        <f t="shared" si="61"/>
        <v>0</v>
      </c>
      <c r="BC65" s="3">
        <f t="shared" si="61"/>
        <v>0</v>
      </c>
      <c r="BD65" s="3">
        <f t="shared" si="61"/>
        <v>0</v>
      </c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>
        <f>ROUND(SUMIF(AA28:AA63,"=56526439",FQ28:FQ63),2)</f>
        <v>0</v>
      </c>
      <c r="BY65" s="3">
        <f>ROUND(SUMIF(AA28:AA63,"=56526439",FR28:FR63),2)</f>
        <v>0</v>
      </c>
      <c r="BZ65" s="3">
        <f>ROUND(SUMIF(AA28:AA63,"=56526439",GL28:GL63),2)</f>
        <v>0</v>
      </c>
      <c r="CA65" s="3">
        <f>ROUND(SUMIF(AA28:AA63,"=56526439",GM28:GM63),2)</f>
        <v>96538.04</v>
      </c>
      <c r="CB65" s="3">
        <f>ROUND(SUMIF(AA28:AA63,"=56526439",GN28:GN63),2)</f>
        <v>0</v>
      </c>
      <c r="CC65" s="3">
        <f>ROUND(SUMIF(AA28:AA63,"=56526439",GO28:GO63),2)</f>
        <v>0</v>
      </c>
      <c r="CD65" s="3">
        <f>ROUND(SUMIF(AA28:AA63,"=56526439",GP28:GP63),2)</f>
        <v>96538.04</v>
      </c>
      <c r="CE65" s="3">
        <f>AC65-BX65</f>
        <v>0</v>
      </c>
      <c r="CF65" s="3">
        <f>AC65-BY65</f>
        <v>0</v>
      </c>
      <c r="CG65" s="3">
        <f>BX65-BZ65</f>
        <v>0</v>
      </c>
      <c r="CH65" s="3">
        <f>AC65-BX65-BY65+BZ65</f>
        <v>0</v>
      </c>
      <c r="CI65" s="3">
        <f>BY65-BZ65</f>
        <v>0</v>
      </c>
      <c r="CJ65" s="3">
        <f>ROUND(SUMIF(AA28:AA63,"=56526439",GX28:GX63),2)</f>
        <v>0</v>
      </c>
      <c r="CK65" s="3">
        <f>ROUND(SUMIF(AA28:AA63,"=56526439",GY28:GY63),2)</f>
        <v>0</v>
      </c>
      <c r="CL65" s="3">
        <f>ROUND(SUMIF(AA28:AA63,"=56526439",GZ28:GZ63),2)</f>
        <v>0</v>
      </c>
      <c r="CM65" s="3">
        <f>ROUND(SUMIF(AA28:AA63,"=56526439",HD28:HD63),2)</f>
        <v>0</v>
      </c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4">
        <f t="shared" ref="DG65:DL65" si="62">ROUND(DT65,2)</f>
        <v>961161.92</v>
      </c>
      <c r="DH65" s="4">
        <f t="shared" si="62"/>
        <v>0</v>
      </c>
      <c r="DI65" s="4">
        <f t="shared" si="62"/>
        <v>961161.92</v>
      </c>
      <c r="DJ65" s="4">
        <f t="shared" si="62"/>
        <v>0</v>
      </c>
      <c r="DK65" s="4">
        <f t="shared" si="62"/>
        <v>0</v>
      </c>
      <c r="DL65" s="4">
        <f t="shared" si="62"/>
        <v>0</v>
      </c>
      <c r="DM65" s="4">
        <f>DZ65</f>
        <v>0</v>
      </c>
      <c r="DN65" s="4">
        <f>EA65</f>
        <v>0</v>
      </c>
      <c r="DO65" s="4">
        <f>ROUND(EB65,2)</f>
        <v>0</v>
      </c>
      <c r="DP65" s="4">
        <f>ROUND(EC65,2)</f>
        <v>0</v>
      </c>
      <c r="DQ65" s="4">
        <f>ROUND(ED65,2)</f>
        <v>0</v>
      </c>
      <c r="DR65" s="4"/>
      <c r="DS65" s="4"/>
      <c r="DT65" s="4">
        <f>ROUND(SUMIF(AA28:AA63,"=56526441",O28:O63),2)</f>
        <v>961161.92</v>
      </c>
      <c r="DU65" s="4">
        <f>ROUND(SUMIF(AA28:AA63,"=56526441",P28:P63),2)</f>
        <v>0</v>
      </c>
      <c r="DV65" s="4">
        <f>ROUND(SUMIF(AA28:AA63,"=56526441",Q28:Q63),2)</f>
        <v>961161.92</v>
      </c>
      <c r="DW65" s="4">
        <f>ROUND(SUMIF(AA28:AA63,"=56526441",R28:R63),2)</f>
        <v>0</v>
      </c>
      <c r="DX65" s="4">
        <f>ROUND(SUMIF(AA28:AA63,"=56526441",S28:S63),2)</f>
        <v>0</v>
      </c>
      <c r="DY65" s="4">
        <f>ROUND(SUMIF(AA28:AA63,"=56526441",T28:T63),2)</f>
        <v>0</v>
      </c>
      <c r="DZ65" s="4">
        <f>SUMIF(AA28:AA63,"=56526441",U28:U63)</f>
        <v>0</v>
      </c>
      <c r="EA65" s="4">
        <f>SUMIF(AA28:AA63,"=56526441",V28:V63)</f>
        <v>0</v>
      </c>
      <c r="EB65" s="4">
        <f>ROUND(SUMIF(AA28:AA63,"=56526441",W28:W63),2)</f>
        <v>0</v>
      </c>
      <c r="EC65" s="4">
        <f>ROUND(SUMIF(AA28:AA63,"=56526441",X28:X63),2)</f>
        <v>0</v>
      </c>
      <c r="ED65" s="4">
        <f>ROUND(SUMIF(AA28:AA63,"=56526441",Y28:Y63),2)</f>
        <v>0</v>
      </c>
      <c r="EE65" s="4"/>
      <c r="EF65" s="4"/>
      <c r="EG65" s="4">
        <f t="shared" ref="EG65:EV65" si="63">ROUND(FP65,2)</f>
        <v>0</v>
      </c>
      <c r="EH65" s="4">
        <f t="shared" si="63"/>
        <v>0</v>
      </c>
      <c r="EI65" s="4">
        <f t="shared" si="63"/>
        <v>0</v>
      </c>
      <c r="EJ65" s="4">
        <f t="shared" si="63"/>
        <v>961161.92</v>
      </c>
      <c r="EK65" s="4">
        <f t="shared" si="63"/>
        <v>0</v>
      </c>
      <c r="EL65" s="4">
        <f t="shared" si="63"/>
        <v>0</v>
      </c>
      <c r="EM65" s="4">
        <f t="shared" si="63"/>
        <v>961161.92</v>
      </c>
      <c r="EN65" s="4">
        <f t="shared" si="63"/>
        <v>0</v>
      </c>
      <c r="EO65" s="4">
        <f t="shared" si="63"/>
        <v>0</v>
      </c>
      <c r="EP65" s="4">
        <f t="shared" si="63"/>
        <v>0</v>
      </c>
      <c r="EQ65" s="4">
        <f t="shared" si="63"/>
        <v>0</v>
      </c>
      <c r="ER65" s="4">
        <f t="shared" si="63"/>
        <v>0</v>
      </c>
      <c r="ES65" s="4">
        <f t="shared" si="63"/>
        <v>0</v>
      </c>
      <c r="ET65" s="4">
        <f t="shared" si="63"/>
        <v>0</v>
      </c>
      <c r="EU65" s="4">
        <f t="shared" si="63"/>
        <v>0</v>
      </c>
      <c r="EV65" s="4">
        <f t="shared" si="63"/>
        <v>0</v>
      </c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>
        <f>ROUND(SUMIF(AA28:AA63,"=56526441",FQ28:FQ63),2)</f>
        <v>0</v>
      </c>
      <c r="FQ65" s="4">
        <f>ROUND(SUMIF(AA28:AA63,"=56526441",FR28:FR63),2)</f>
        <v>0</v>
      </c>
      <c r="FR65" s="4">
        <f>ROUND(SUMIF(AA28:AA63,"=56526441",GL28:GL63),2)</f>
        <v>0</v>
      </c>
      <c r="FS65" s="4">
        <f>ROUND(SUMIF(AA28:AA63,"=56526441",GM28:GM63),2)</f>
        <v>961161.92</v>
      </c>
      <c r="FT65" s="4">
        <f>ROUND(SUMIF(AA28:AA63,"=56526441",GN28:GN63),2)</f>
        <v>0</v>
      </c>
      <c r="FU65" s="4">
        <f>ROUND(SUMIF(AA28:AA63,"=56526441",GO28:GO63),2)</f>
        <v>0</v>
      </c>
      <c r="FV65" s="4">
        <f>ROUND(SUMIF(AA28:AA63,"=56526441",GP28:GP63),2)</f>
        <v>961161.92</v>
      </c>
      <c r="FW65" s="4">
        <f>DU65-FP65</f>
        <v>0</v>
      </c>
      <c r="FX65" s="4">
        <f>DU65-FQ65</f>
        <v>0</v>
      </c>
      <c r="FY65" s="4">
        <f>FP65-FR65</f>
        <v>0</v>
      </c>
      <c r="FZ65" s="4">
        <f>DU65-FP65-FQ65+FR65</f>
        <v>0</v>
      </c>
      <c r="GA65" s="4">
        <f>FQ65-FR65</f>
        <v>0</v>
      </c>
      <c r="GB65" s="4">
        <f>ROUND(SUMIF(AA28:AA63,"=56526441",GX28:GX63),2)</f>
        <v>0</v>
      </c>
      <c r="GC65" s="4">
        <f>ROUND(SUMIF(AA28:AA63,"=56526441",GY28:GY63),2)</f>
        <v>0</v>
      </c>
      <c r="GD65" s="4">
        <f>ROUND(SUMIF(AA28:AA63,"=56526441",GZ28:GZ63),2)</f>
        <v>0</v>
      </c>
      <c r="GE65" s="4">
        <f>ROUND(SUMIF(AA28:AA63,"=56526441",HD28:HD63),2)</f>
        <v>0</v>
      </c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>
        <v>0</v>
      </c>
    </row>
    <row r="67" spans="1:206" ht="13" x14ac:dyDescent="0.3">
      <c r="A67" s="5">
        <v>50</v>
      </c>
      <c r="B67" s="5">
        <v>0</v>
      </c>
      <c r="C67" s="5">
        <v>0</v>
      </c>
      <c r="D67" s="5">
        <v>1</v>
      </c>
      <c r="E67" s="5">
        <v>201</v>
      </c>
      <c r="F67" s="5">
        <f>ROUND(Source!O65,O67)</f>
        <v>96538.04</v>
      </c>
      <c r="G67" s="5" t="s">
        <v>92</v>
      </c>
      <c r="H67" s="5" t="s">
        <v>93</v>
      </c>
      <c r="I67" s="5"/>
      <c r="J67" s="5"/>
      <c r="K67" s="5">
        <v>201</v>
      </c>
      <c r="L67" s="5">
        <v>1</v>
      </c>
      <c r="M67" s="5">
        <v>3</v>
      </c>
      <c r="N67" s="5" t="s">
        <v>3</v>
      </c>
      <c r="O67" s="5">
        <v>2</v>
      </c>
      <c r="P67" s="5">
        <f>ROUND(Source!DG65,O67)</f>
        <v>961161.92</v>
      </c>
      <c r="Q67" s="5"/>
      <c r="R67" s="5"/>
      <c r="S67" s="5"/>
      <c r="T67" s="5"/>
      <c r="U67" s="5"/>
      <c r="V67" s="5"/>
      <c r="W67" s="5">
        <v>96538.04</v>
      </c>
      <c r="X67" s="5">
        <v>1</v>
      </c>
      <c r="Y67" s="5">
        <v>96538.04</v>
      </c>
      <c r="Z67" s="5">
        <v>961161.92</v>
      </c>
      <c r="AA67" s="5">
        <v>1</v>
      </c>
      <c r="AB67" s="5">
        <v>961161.92</v>
      </c>
    </row>
    <row r="68" spans="1:206" ht="13" x14ac:dyDescent="0.3">
      <c r="A68" s="5">
        <v>50</v>
      </c>
      <c r="B68" s="5">
        <v>0</v>
      </c>
      <c r="C68" s="5">
        <v>0</v>
      </c>
      <c r="D68" s="5">
        <v>1</v>
      </c>
      <c r="E68" s="5">
        <v>202</v>
      </c>
      <c r="F68" s="5">
        <f>ROUND(Source!P65,O68)</f>
        <v>0</v>
      </c>
      <c r="G68" s="5" t="s">
        <v>94</v>
      </c>
      <c r="H68" s="5" t="s">
        <v>95</v>
      </c>
      <c r="I68" s="5"/>
      <c r="J68" s="5"/>
      <c r="K68" s="5">
        <v>202</v>
      </c>
      <c r="L68" s="5">
        <v>2</v>
      </c>
      <c r="M68" s="5">
        <v>3</v>
      </c>
      <c r="N68" s="5" t="s">
        <v>3</v>
      </c>
      <c r="O68" s="5">
        <v>2</v>
      </c>
      <c r="P68" s="5">
        <f>ROUND(Source!DH65,O68)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06" ht="13" x14ac:dyDescent="0.3">
      <c r="A69" s="5">
        <v>50</v>
      </c>
      <c r="B69" s="5">
        <v>0</v>
      </c>
      <c r="C69" s="5">
        <v>0</v>
      </c>
      <c r="D69" s="5">
        <v>1</v>
      </c>
      <c r="E69" s="5">
        <v>222</v>
      </c>
      <c r="F69" s="5">
        <f>ROUND(Source!AO65,O69)</f>
        <v>0</v>
      </c>
      <c r="G69" s="5" t="s">
        <v>96</v>
      </c>
      <c r="H69" s="5" t="s">
        <v>97</v>
      </c>
      <c r="I69" s="5"/>
      <c r="J69" s="5"/>
      <c r="K69" s="5">
        <v>222</v>
      </c>
      <c r="L69" s="5">
        <v>3</v>
      </c>
      <c r="M69" s="5">
        <v>3</v>
      </c>
      <c r="N69" s="5" t="s">
        <v>3</v>
      </c>
      <c r="O69" s="5">
        <v>2</v>
      </c>
      <c r="P69" s="5">
        <f>ROUND(Source!EG65,O69)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06" ht="13" x14ac:dyDescent="0.3">
      <c r="A70" s="5">
        <v>50</v>
      </c>
      <c r="B70" s="5">
        <v>0</v>
      </c>
      <c r="C70" s="5">
        <v>0</v>
      </c>
      <c r="D70" s="5">
        <v>1</v>
      </c>
      <c r="E70" s="5">
        <v>225</v>
      </c>
      <c r="F70" s="5">
        <f>ROUND(Source!AV65,O70)</f>
        <v>0</v>
      </c>
      <c r="G70" s="5" t="s">
        <v>98</v>
      </c>
      <c r="H70" s="5" t="s">
        <v>99</v>
      </c>
      <c r="I70" s="5"/>
      <c r="J70" s="5"/>
      <c r="K70" s="5">
        <v>225</v>
      </c>
      <c r="L70" s="5">
        <v>4</v>
      </c>
      <c r="M70" s="5">
        <v>3</v>
      </c>
      <c r="N70" s="5" t="s">
        <v>3</v>
      </c>
      <c r="O70" s="5">
        <v>2</v>
      </c>
      <c r="P70" s="5">
        <f>ROUND(Source!EN65,O70)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06" ht="13" x14ac:dyDescent="0.3">
      <c r="A71" s="5">
        <v>50</v>
      </c>
      <c r="B71" s="5">
        <v>0</v>
      </c>
      <c r="C71" s="5">
        <v>0</v>
      </c>
      <c r="D71" s="5">
        <v>1</v>
      </c>
      <c r="E71" s="5">
        <v>226</v>
      </c>
      <c r="F71" s="5">
        <f>ROUND(Source!AW65,O71)</f>
        <v>0</v>
      </c>
      <c r="G71" s="5" t="s">
        <v>100</v>
      </c>
      <c r="H71" s="5" t="s">
        <v>101</v>
      </c>
      <c r="I71" s="5"/>
      <c r="J71" s="5"/>
      <c r="K71" s="5">
        <v>226</v>
      </c>
      <c r="L71" s="5">
        <v>5</v>
      </c>
      <c r="M71" s="5">
        <v>3</v>
      </c>
      <c r="N71" s="5" t="s">
        <v>3</v>
      </c>
      <c r="O71" s="5">
        <v>2</v>
      </c>
      <c r="P71" s="5">
        <f>ROUND(Source!EO65,O71)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06" ht="13" x14ac:dyDescent="0.3">
      <c r="A72" s="5">
        <v>50</v>
      </c>
      <c r="B72" s="5">
        <v>0</v>
      </c>
      <c r="C72" s="5">
        <v>0</v>
      </c>
      <c r="D72" s="5">
        <v>1</v>
      </c>
      <c r="E72" s="5">
        <v>227</v>
      </c>
      <c r="F72" s="5">
        <f>ROUND(Source!AX65,O72)</f>
        <v>0</v>
      </c>
      <c r="G72" s="5" t="s">
        <v>102</v>
      </c>
      <c r="H72" s="5" t="s">
        <v>103</v>
      </c>
      <c r="I72" s="5"/>
      <c r="J72" s="5"/>
      <c r="K72" s="5">
        <v>227</v>
      </c>
      <c r="L72" s="5">
        <v>6</v>
      </c>
      <c r="M72" s="5">
        <v>3</v>
      </c>
      <c r="N72" s="5" t="s">
        <v>3</v>
      </c>
      <c r="O72" s="5">
        <v>2</v>
      </c>
      <c r="P72" s="5">
        <f>ROUND(Source!EP65,O72)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06" ht="13" x14ac:dyDescent="0.3">
      <c r="A73" s="5">
        <v>50</v>
      </c>
      <c r="B73" s="5">
        <v>0</v>
      </c>
      <c r="C73" s="5">
        <v>0</v>
      </c>
      <c r="D73" s="5">
        <v>1</v>
      </c>
      <c r="E73" s="5">
        <v>228</v>
      </c>
      <c r="F73" s="5">
        <f>ROUND(Source!AY65,O73)</f>
        <v>0</v>
      </c>
      <c r="G73" s="5" t="s">
        <v>104</v>
      </c>
      <c r="H73" s="5" t="s">
        <v>105</v>
      </c>
      <c r="I73" s="5"/>
      <c r="J73" s="5"/>
      <c r="K73" s="5">
        <v>228</v>
      </c>
      <c r="L73" s="5">
        <v>7</v>
      </c>
      <c r="M73" s="5">
        <v>3</v>
      </c>
      <c r="N73" s="5" t="s">
        <v>3</v>
      </c>
      <c r="O73" s="5">
        <v>2</v>
      </c>
      <c r="P73" s="5">
        <f>ROUND(Source!EQ65,O73)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06" ht="13" x14ac:dyDescent="0.3">
      <c r="A74" s="5">
        <v>50</v>
      </c>
      <c r="B74" s="5">
        <v>0</v>
      </c>
      <c r="C74" s="5">
        <v>0</v>
      </c>
      <c r="D74" s="5">
        <v>1</v>
      </c>
      <c r="E74" s="5">
        <v>216</v>
      </c>
      <c r="F74" s="5">
        <f>ROUND(Source!AP65,O74)</f>
        <v>0</v>
      </c>
      <c r="G74" s="5" t="s">
        <v>106</v>
      </c>
      <c r="H74" s="5" t="s">
        <v>107</v>
      </c>
      <c r="I74" s="5"/>
      <c r="J74" s="5"/>
      <c r="K74" s="5">
        <v>216</v>
      </c>
      <c r="L74" s="5">
        <v>8</v>
      </c>
      <c r="M74" s="5">
        <v>3</v>
      </c>
      <c r="N74" s="5" t="s">
        <v>3</v>
      </c>
      <c r="O74" s="5">
        <v>2</v>
      </c>
      <c r="P74" s="5">
        <f>ROUND(Source!EH65,O74)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06" ht="13" x14ac:dyDescent="0.3">
      <c r="A75" s="5">
        <v>50</v>
      </c>
      <c r="B75" s="5">
        <v>0</v>
      </c>
      <c r="C75" s="5">
        <v>0</v>
      </c>
      <c r="D75" s="5">
        <v>1</v>
      </c>
      <c r="E75" s="5">
        <v>223</v>
      </c>
      <c r="F75" s="5">
        <f>ROUND(Source!AQ65,O75)</f>
        <v>0</v>
      </c>
      <c r="G75" s="5" t="s">
        <v>108</v>
      </c>
      <c r="H75" s="5" t="s">
        <v>109</v>
      </c>
      <c r="I75" s="5"/>
      <c r="J75" s="5"/>
      <c r="K75" s="5">
        <v>223</v>
      </c>
      <c r="L75" s="5">
        <v>9</v>
      </c>
      <c r="M75" s="5">
        <v>3</v>
      </c>
      <c r="N75" s="5" t="s">
        <v>3</v>
      </c>
      <c r="O75" s="5">
        <v>2</v>
      </c>
      <c r="P75" s="5">
        <f>ROUND(Source!EI65,O75)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06" ht="13" x14ac:dyDescent="0.3">
      <c r="A76" s="5">
        <v>50</v>
      </c>
      <c r="B76" s="5">
        <v>0</v>
      </c>
      <c r="C76" s="5">
        <v>0</v>
      </c>
      <c r="D76" s="5">
        <v>1</v>
      </c>
      <c r="E76" s="5">
        <v>229</v>
      </c>
      <c r="F76" s="5">
        <f>ROUND(Source!AZ65,O76)</f>
        <v>0</v>
      </c>
      <c r="G76" s="5" t="s">
        <v>110</v>
      </c>
      <c r="H76" s="5" t="s">
        <v>111</v>
      </c>
      <c r="I76" s="5"/>
      <c r="J76" s="5"/>
      <c r="K76" s="5">
        <v>229</v>
      </c>
      <c r="L76" s="5">
        <v>10</v>
      </c>
      <c r="M76" s="5">
        <v>3</v>
      </c>
      <c r="N76" s="5" t="s">
        <v>3</v>
      </c>
      <c r="O76" s="5">
        <v>2</v>
      </c>
      <c r="P76" s="5">
        <f>ROUND(Source!ER65,O76)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06" ht="13" x14ac:dyDescent="0.3">
      <c r="A77" s="5">
        <v>50</v>
      </c>
      <c r="B77" s="5">
        <v>0</v>
      </c>
      <c r="C77" s="5">
        <v>0</v>
      </c>
      <c r="D77" s="5">
        <v>1</v>
      </c>
      <c r="E77" s="5">
        <v>203</v>
      </c>
      <c r="F77" s="5">
        <f>ROUND(Source!Q65,O77)</f>
        <v>96538.04</v>
      </c>
      <c r="G77" s="5" t="s">
        <v>112</v>
      </c>
      <c r="H77" s="5" t="s">
        <v>113</v>
      </c>
      <c r="I77" s="5"/>
      <c r="J77" s="5"/>
      <c r="K77" s="5">
        <v>203</v>
      </c>
      <c r="L77" s="5">
        <v>11</v>
      </c>
      <c r="M77" s="5">
        <v>3</v>
      </c>
      <c r="N77" s="5" t="s">
        <v>3</v>
      </c>
      <c r="O77" s="5">
        <v>2</v>
      </c>
      <c r="P77" s="5">
        <f>ROUND(Source!DI65,O77)</f>
        <v>961161.92</v>
      </c>
      <c r="Q77" s="5"/>
      <c r="R77" s="5"/>
      <c r="S77" s="5"/>
      <c r="T77" s="5"/>
      <c r="U77" s="5"/>
      <c r="V77" s="5"/>
      <c r="W77" s="5">
        <v>96538.04</v>
      </c>
      <c r="X77" s="5">
        <v>1</v>
      </c>
      <c r="Y77" s="5">
        <v>96538.04</v>
      </c>
      <c r="Z77" s="5">
        <v>961161.92</v>
      </c>
      <c r="AA77" s="5">
        <v>1</v>
      </c>
      <c r="AB77" s="5">
        <v>961161.92</v>
      </c>
    </row>
    <row r="78" spans="1:206" ht="13" x14ac:dyDescent="0.3">
      <c r="A78" s="5">
        <v>50</v>
      </c>
      <c r="B78" s="5">
        <v>0</v>
      </c>
      <c r="C78" s="5">
        <v>0</v>
      </c>
      <c r="D78" s="5">
        <v>1</v>
      </c>
      <c r="E78" s="5">
        <v>231</v>
      </c>
      <c r="F78" s="5">
        <f>ROUND(Source!BB65,O78)</f>
        <v>0</v>
      </c>
      <c r="G78" s="5" t="s">
        <v>114</v>
      </c>
      <c r="H78" s="5" t="s">
        <v>115</v>
      </c>
      <c r="I78" s="5"/>
      <c r="J78" s="5"/>
      <c r="K78" s="5">
        <v>231</v>
      </c>
      <c r="L78" s="5">
        <v>12</v>
      </c>
      <c r="M78" s="5">
        <v>3</v>
      </c>
      <c r="N78" s="5" t="s">
        <v>3</v>
      </c>
      <c r="O78" s="5">
        <v>2</v>
      </c>
      <c r="P78" s="5">
        <f>ROUND(Source!ET65,O78)</f>
        <v>0</v>
      </c>
      <c r="Q78" s="5"/>
      <c r="R78" s="5"/>
      <c r="S78" s="5"/>
      <c r="T78" s="5"/>
      <c r="U78" s="5"/>
      <c r="V78" s="5"/>
      <c r="W78" s="5">
        <v>0</v>
      </c>
      <c r="X78" s="5">
        <v>1</v>
      </c>
      <c r="Y78" s="5">
        <v>0</v>
      </c>
      <c r="Z78" s="5">
        <v>0</v>
      </c>
      <c r="AA78" s="5">
        <v>1</v>
      </c>
      <c r="AB78" s="5">
        <v>0</v>
      </c>
    </row>
    <row r="79" spans="1:206" ht="13" x14ac:dyDescent="0.3">
      <c r="A79" s="5">
        <v>50</v>
      </c>
      <c r="B79" s="5">
        <v>0</v>
      </c>
      <c r="C79" s="5">
        <v>0</v>
      </c>
      <c r="D79" s="5">
        <v>1</v>
      </c>
      <c r="E79" s="5">
        <v>204</v>
      </c>
      <c r="F79" s="5">
        <f>ROUND(Source!R65,O79)</f>
        <v>0</v>
      </c>
      <c r="G79" s="5" t="s">
        <v>116</v>
      </c>
      <c r="H79" s="5" t="s">
        <v>117</v>
      </c>
      <c r="I79" s="5"/>
      <c r="J79" s="5"/>
      <c r="K79" s="5">
        <v>204</v>
      </c>
      <c r="L79" s="5">
        <v>13</v>
      </c>
      <c r="M79" s="5">
        <v>3</v>
      </c>
      <c r="N79" s="5" t="s">
        <v>3</v>
      </c>
      <c r="O79" s="5">
        <v>2</v>
      </c>
      <c r="P79" s="5">
        <f>ROUND(Source!DJ65,O79)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06" ht="13" x14ac:dyDescent="0.3">
      <c r="A80" s="5">
        <v>50</v>
      </c>
      <c r="B80" s="5">
        <v>0</v>
      </c>
      <c r="C80" s="5">
        <v>0</v>
      </c>
      <c r="D80" s="5">
        <v>1</v>
      </c>
      <c r="E80" s="5">
        <v>205</v>
      </c>
      <c r="F80" s="5">
        <f>ROUND(Source!S65,O80)</f>
        <v>0</v>
      </c>
      <c r="G80" s="5" t="s">
        <v>118</v>
      </c>
      <c r="H80" s="5" t="s">
        <v>119</v>
      </c>
      <c r="I80" s="5"/>
      <c r="J80" s="5"/>
      <c r="K80" s="5">
        <v>205</v>
      </c>
      <c r="L80" s="5">
        <v>14</v>
      </c>
      <c r="M80" s="5">
        <v>3</v>
      </c>
      <c r="N80" s="5" t="s">
        <v>3</v>
      </c>
      <c r="O80" s="5">
        <v>2</v>
      </c>
      <c r="P80" s="5">
        <f>ROUND(Source!DK65,O80)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06" ht="13" x14ac:dyDescent="0.3">
      <c r="A81" s="5">
        <v>50</v>
      </c>
      <c r="B81" s="5">
        <v>0</v>
      </c>
      <c r="C81" s="5">
        <v>0</v>
      </c>
      <c r="D81" s="5">
        <v>1</v>
      </c>
      <c r="E81" s="5">
        <v>232</v>
      </c>
      <c r="F81" s="5">
        <f>ROUND(Source!BC65,O81)</f>
        <v>0</v>
      </c>
      <c r="G81" s="5" t="s">
        <v>120</v>
      </c>
      <c r="H81" s="5" t="s">
        <v>121</v>
      </c>
      <c r="I81" s="5"/>
      <c r="J81" s="5"/>
      <c r="K81" s="5">
        <v>232</v>
      </c>
      <c r="L81" s="5">
        <v>15</v>
      </c>
      <c r="M81" s="5">
        <v>3</v>
      </c>
      <c r="N81" s="5" t="s">
        <v>3</v>
      </c>
      <c r="O81" s="5">
        <v>2</v>
      </c>
      <c r="P81" s="5">
        <f>ROUND(Source!EU65,O81)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ht="13" x14ac:dyDescent="0.3">
      <c r="A82" s="5">
        <v>50</v>
      </c>
      <c r="B82" s="5">
        <v>0</v>
      </c>
      <c r="C82" s="5">
        <v>0</v>
      </c>
      <c r="D82" s="5">
        <v>1</v>
      </c>
      <c r="E82" s="5">
        <v>214</v>
      </c>
      <c r="F82" s="5">
        <f>ROUND(Source!AS65,O82)</f>
        <v>0</v>
      </c>
      <c r="G82" s="5" t="s">
        <v>122</v>
      </c>
      <c r="H82" s="5" t="s">
        <v>123</v>
      </c>
      <c r="I82" s="5"/>
      <c r="J82" s="5"/>
      <c r="K82" s="5">
        <v>214</v>
      </c>
      <c r="L82" s="5">
        <v>16</v>
      </c>
      <c r="M82" s="5">
        <v>3</v>
      </c>
      <c r="N82" s="5" t="s">
        <v>3</v>
      </c>
      <c r="O82" s="5">
        <v>2</v>
      </c>
      <c r="P82" s="5">
        <f>ROUND(Source!EK65,O82)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ht="13" x14ac:dyDescent="0.3">
      <c r="A83" s="5">
        <v>50</v>
      </c>
      <c r="B83" s="5">
        <v>0</v>
      </c>
      <c r="C83" s="5">
        <v>0</v>
      </c>
      <c r="D83" s="5">
        <v>1</v>
      </c>
      <c r="E83" s="5">
        <v>215</v>
      </c>
      <c r="F83" s="5">
        <f>ROUND(Source!AT65,O83)</f>
        <v>0</v>
      </c>
      <c r="G83" s="5" t="s">
        <v>124</v>
      </c>
      <c r="H83" s="5" t="s">
        <v>125</v>
      </c>
      <c r="I83" s="5"/>
      <c r="J83" s="5"/>
      <c r="K83" s="5">
        <v>215</v>
      </c>
      <c r="L83" s="5">
        <v>17</v>
      </c>
      <c r="M83" s="5">
        <v>3</v>
      </c>
      <c r="N83" s="5" t="s">
        <v>3</v>
      </c>
      <c r="O83" s="5">
        <v>2</v>
      </c>
      <c r="P83" s="5">
        <f>ROUND(Source!EL65,O83)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ht="13" x14ac:dyDescent="0.3">
      <c r="A84" s="5">
        <v>50</v>
      </c>
      <c r="B84" s="5">
        <v>0</v>
      </c>
      <c r="C84" s="5">
        <v>0</v>
      </c>
      <c r="D84" s="5">
        <v>1</v>
      </c>
      <c r="E84" s="5">
        <v>217</v>
      </c>
      <c r="F84" s="5">
        <f>ROUND(Source!AU65,O84)</f>
        <v>96538.04</v>
      </c>
      <c r="G84" s="5" t="s">
        <v>126</v>
      </c>
      <c r="H84" s="5" t="s">
        <v>127</v>
      </c>
      <c r="I84" s="5"/>
      <c r="J84" s="5"/>
      <c r="K84" s="5">
        <v>217</v>
      </c>
      <c r="L84" s="5">
        <v>18</v>
      </c>
      <c r="M84" s="5">
        <v>3</v>
      </c>
      <c r="N84" s="5" t="s">
        <v>3</v>
      </c>
      <c r="O84" s="5">
        <v>2</v>
      </c>
      <c r="P84" s="5">
        <f>ROUND(Source!EM65,O84)</f>
        <v>961161.92</v>
      </c>
      <c r="Q84" s="5"/>
      <c r="R84" s="5"/>
      <c r="S84" s="5"/>
      <c r="T84" s="5"/>
      <c r="U84" s="5"/>
      <c r="V84" s="5"/>
      <c r="W84" s="5">
        <v>96538.04</v>
      </c>
      <c r="X84" s="5">
        <v>1</v>
      </c>
      <c r="Y84" s="5">
        <v>96538.04</v>
      </c>
      <c r="Z84" s="5">
        <v>961161.92</v>
      </c>
      <c r="AA84" s="5">
        <v>1</v>
      </c>
      <c r="AB84" s="5">
        <v>961161.92</v>
      </c>
    </row>
    <row r="85" spans="1:206" ht="13" x14ac:dyDescent="0.3">
      <c r="A85" s="5">
        <v>50</v>
      </c>
      <c r="B85" s="5">
        <v>0</v>
      </c>
      <c r="C85" s="5">
        <v>0</v>
      </c>
      <c r="D85" s="5">
        <v>1</v>
      </c>
      <c r="E85" s="5">
        <v>230</v>
      </c>
      <c r="F85" s="5">
        <f>ROUND(Source!BA65,O85)</f>
        <v>0</v>
      </c>
      <c r="G85" s="5" t="s">
        <v>128</v>
      </c>
      <c r="H85" s="5" t="s">
        <v>129</v>
      </c>
      <c r="I85" s="5"/>
      <c r="J85" s="5"/>
      <c r="K85" s="5">
        <v>230</v>
      </c>
      <c r="L85" s="5">
        <v>19</v>
      </c>
      <c r="M85" s="5">
        <v>3</v>
      </c>
      <c r="N85" s="5" t="s">
        <v>3</v>
      </c>
      <c r="O85" s="5">
        <v>2</v>
      </c>
      <c r="P85" s="5">
        <f>ROUND(Source!ES65,O85)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06" ht="13" x14ac:dyDescent="0.3">
      <c r="A86" s="5">
        <v>50</v>
      </c>
      <c r="B86" s="5">
        <v>0</v>
      </c>
      <c r="C86" s="5">
        <v>0</v>
      </c>
      <c r="D86" s="5">
        <v>1</v>
      </c>
      <c r="E86" s="5">
        <v>206</v>
      </c>
      <c r="F86" s="5">
        <f>ROUND(Source!T65,O86)</f>
        <v>0</v>
      </c>
      <c r="G86" s="5" t="s">
        <v>130</v>
      </c>
      <c r="H86" s="5" t="s">
        <v>131</v>
      </c>
      <c r="I86" s="5"/>
      <c r="J86" s="5"/>
      <c r="K86" s="5">
        <v>206</v>
      </c>
      <c r="L86" s="5">
        <v>20</v>
      </c>
      <c r="M86" s="5">
        <v>3</v>
      </c>
      <c r="N86" s="5" t="s">
        <v>3</v>
      </c>
      <c r="O86" s="5">
        <v>2</v>
      </c>
      <c r="P86" s="5">
        <f>ROUND(Source!DL65,O86)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ht="13" x14ac:dyDescent="0.3">
      <c r="A87" s="5">
        <v>50</v>
      </c>
      <c r="B87" s="5">
        <v>0</v>
      </c>
      <c r="C87" s="5">
        <v>0</v>
      </c>
      <c r="D87" s="5">
        <v>1</v>
      </c>
      <c r="E87" s="5">
        <v>207</v>
      </c>
      <c r="F87" s="5">
        <f>Source!U65</f>
        <v>0</v>
      </c>
      <c r="G87" s="5" t="s">
        <v>132</v>
      </c>
      <c r="H87" s="5" t="s">
        <v>133</v>
      </c>
      <c r="I87" s="5"/>
      <c r="J87" s="5"/>
      <c r="K87" s="5">
        <v>207</v>
      </c>
      <c r="L87" s="5">
        <v>21</v>
      </c>
      <c r="M87" s="5">
        <v>3</v>
      </c>
      <c r="N87" s="5" t="s">
        <v>3</v>
      </c>
      <c r="O87" s="5">
        <v>-1</v>
      </c>
      <c r="P87" s="5">
        <f>Source!DM65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ht="13" x14ac:dyDescent="0.3">
      <c r="A88" s="5">
        <v>50</v>
      </c>
      <c r="B88" s="5">
        <v>0</v>
      </c>
      <c r="C88" s="5">
        <v>0</v>
      </c>
      <c r="D88" s="5">
        <v>1</v>
      </c>
      <c r="E88" s="5">
        <v>208</v>
      </c>
      <c r="F88" s="5">
        <f>Source!V65</f>
        <v>0</v>
      </c>
      <c r="G88" s="5" t="s">
        <v>134</v>
      </c>
      <c r="H88" s="5" t="s">
        <v>135</v>
      </c>
      <c r="I88" s="5"/>
      <c r="J88" s="5"/>
      <c r="K88" s="5">
        <v>208</v>
      </c>
      <c r="L88" s="5">
        <v>22</v>
      </c>
      <c r="M88" s="5">
        <v>3</v>
      </c>
      <c r="N88" s="5" t="s">
        <v>3</v>
      </c>
      <c r="O88" s="5">
        <v>-1</v>
      </c>
      <c r="P88" s="5">
        <f>Source!DN65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ht="13" x14ac:dyDescent="0.3">
      <c r="A89" s="5">
        <v>50</v>
      </c>
      <c r="B89" s="5">
        <v>0</v>
      </c>
      <c r="C89" s="5">
        <v>0</v>
      </c>
      <c r="D89" s="5">
        <v>1</v>
      </c>
      <c r="E89" s="5">
        <v>209</v>
      </c>
      <c r="F89" s="5">
        <f>ROUND(Source!W65,O89)</f>
        <v>0</v>
      </c>
      <c r="G89" s="5" t="s">
        <v>136</v>
      </c>
      <c r="H89" s="5" t="s">
        <v>137</v>
      </c>
      <c r="I89" s="5"/>
      <c r="J89" s="5"/>
      <c r="K89" s="5">
        <v>209</v>
      </c>
      <c r="L89" s="5">
        <v>23</v>
      </c>
      <c r="M89" s="5">
        <v>3</v>
      </c>
      <c r="N89" s="5" t="s">
        <v>3</v>
      </c>
      <c r="O89" s="5">
        <v>2</v>
      </c>
      <c r="P89" s="5">
        <f>ROUND(Source!DO65,O89)</f>
        <v>0</v>
      </c>
      <c r="Q89" s="5"/>
      <c r="R89" s="5"/>
      <c r="S89" s="5"/>
      <c r="T89" s="5"/>
      <c r="U89" s="5"/>
      <c r="V89" s="5"/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</row>
    <row r="90" spans="1:206" ht="13" x14ac:dyDescent="0.3">
      <c r="A90" s="5">
        <v>50</v>
      </c>
      <c r="B90" s="5">
        <v>0</v>
      </c>
      <c r="C90" s="5">
        <v>0</v>
      </c>
      <c r="D90" s="5">
        <v>1</v>
      </c>
      <c r="E90" s="5">
        <v>233</v>
      </c>
      <c r="F90" s="5">
        <f>ROUND(Source!BD65,O90)</f>
        <v>0</v>
      </c>
      <c r="G90" s="5" t="s">
        <v>138</v>
      </c>
      <c r="H90" s="5" t="s">
        <v>139</v>
      </c>
      <c r="I90" s="5"/>
      <c r="J90" s="5"/>
      <c r="K90" s="5">
        <v>233</v>
      </c>
      <c r="L90" s="5">
        <v>24</v>
      </c>
      <c r="M90" s="5">
        <v>3</v>
      </c>
      <c r="N90" s="5" t="s">
        <v>3</v>
      </c>
      <c r="O90" s="5">
        <v>2</v>
      </c>
      <c r="P90" s="5">
        <f>ROUND(Source!EV65,O90)</f>
        <v>0</v>
      </c>
      <c r="Q90" s="5"/>
      <c r="R90" s="5"/>
      <c r="S90" s="5"/>
      <c r="T90" s="5"/>
      <c r="U90" s="5"/>
      <c r="V90" s="5"/>
      <c r="W90" s="5">
        <v>0</v>
      </c>
      <c r="X90" s="5">
        <v>1</v>
      </c>
      <c r="Y90" s="5">
        <v>0</v>
      </c>
      <c r="Z90" s="5">
        <v>0</v>
      </c>
      <c r="AA90" s="5">
        <v>1</v>
      </c>
      <c r="AB90" s="5">
        <v>0</v>
      </c>
    </row>
    <row r="91" spans="1:206" ht="13" x14ac:dyDescent="0.3">
      <c r="A91" s="5">
        <v>50</v>
      </c>
      <c r="B91" s="5">
        <v>0</v>
      </c>
      <c r="C91" s="5">
        <v>0</v>
      </c>
      <c r="D91" s="5">
        <v>1</v>
      </c>
      <c r="E91" s="5">
        <v>210</v>
      </c>
      <c r="F91" s="5">
        <f>ROUND(Source!X65,O91)</f>
        <v>0</v>
      </c>
      <c r="G91" s="5" t="s">
        <v>140</v>
      </c>
      <c r="H91" s="5" t="s">
        <v>141</v>
      </c>
      <c r="I91" s="5"/>
      <c r="J91" s="5"/>
      <c r="K91" s="5">
        <v>210</v>
      </c>
      <c r="L91" s="5">
        <v>25</v>
      </c>
      <c r="M91" s="5">
        <v>3</v>
      </c>
      <c r="N91" s="5" t="s">
        <v>3</v>
      </c>
      <c r="O91" s="5">
        <v>2</v>
      </c>
      <c r="P91" s="5">
        <f>ROUND(Source!DP65,O91)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06" ht="13" x14ac:dyDescent="0.3">
      <c r="A92" s="5">
        <v>50</v>
      </c>
      <c r="B92" s="5">
        <v>0</v>
      </c>
      <c r="C92" s="5">
        <v>0</v>
      </c>
      <c r="D92" s="5">
        <v>1</v>
      </c>
      <c r="E92" s="5">
        <v>211</v>
      </c>
      <c r="F92" s="5">
        <f>ROUND(Source!Y65,O92)</f>
        <v>0</v>
      </c>
      <c r="G92" s="5" t="s">
        <v>142</v>
      </c>
      <c r="H92" s="5" t="s">
        <v>143</v>
      </c>
      <c r="I92" s="5"/>
      <c r="J92" s="5"/>
      <c r="K92" s="5">
        <v>211</v>
      </c>
      <c r="L92" s="5">
        <v>26</v>
      </c>
      <c r="M92" s="5">
        <v>3</v>
      </c>
      <c r="N92" s="5" t="s">
        <v>3</v>
      </c>
      <c r="O92" s="5">
        <v>2</v>
      </c>
      <c r="P92" s="5">
        <f>ROUND(Source!DQ65,O92)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06" ht="13" x14ac:dyDescent="0.3">
      <c r="A93" s="5">
        <v>50</v>
      </c>
      <c r="B93" s="5">
        <v>0</v>
      </c>
      <c r="C93" s="5">
        <v>0</v>
      </c>
      <c r="D93" s="5">
        <v>1</v>
      </c>
      <c r="E93" s="5">
        <v>224</v>
      </c>
      <c r="F93" s="5">
        <f>ROUND(Source!AR65,O93)</f>
        <v>96538.04</v>
      </c>
      <c r="G93" s="5" t="s">
        <v>144</v>
      </c>
      <c r="H93" s="5" t="s">
        <v>145</v>
      </c>
      <c r="I93" s="5"/>
      <c r="J93" s="5"/>
      <c r="K93" s="5">
        <v>224</v>
      </c>
      <c r="L93" s="5">
        <v>27</v>
      </c>
      <c r="M93" s="5">
        <v>3</v>
      </c>
      <c r="N93" s="5" t="s">
        <v>3</v>
      </c>
      <c r="O93" s="5">
        <v>2</v>
      </c>
      <c r="P93" s="5">
        <f>ROUND(Source!EJ65,O93)</f>
        <v>961161.92</v>
      </c>
      <c r="Q93" s="5"/>
      <c r="R93" s="5"/>
      <c r="S93" s="5"/>
      <c r="T93" s="5"/>
      <c r="U93" s="5"/>
      <c r="V93" s="5"/>
      <c r="W93" s="5">
        <v>96538.04</v>
      </c>
      <c r="X93" s="5">
        <v>1</v>
      </c>
      <c r="Y93" s="5">
        <v>96538.04</v>
      </c>
      <c r="Z93" s="5">
        <v>961161.92</v>
      </c>
      <c r="AA93" s="5">
        <v>1</v>
      </c>
      <c r="AB93" s="5">
        <v>961161.92</v>
      </c>
    </row>
    <row r="95" spans="1:206" ht="13" x14ac:dyDescent="0.3">
      <c r="A95" s="3">
        <v>51</v>
      </c>
      <c r="B95" s="3">
        <f>B20</f>
        <v>1</v>
      </c>
      <c r="C95" s="3">
        <f>A20</f>
        <v>3</v>
      </c>
      <c r="D95" s="3">
        <f>ROW(A20)</f>
        <v>20</v>
      </c>
      <c r="E95" s="3"/>
      <c r="F95" s="3" t="str">
        <f>IF(F20&lt;&gt;"",F20,"")</f>
        <v/>
      </c>
      <c r="G95" s="3" t="str">
        <f>IF(G20&lt;&gt;"",G20,"")</f>
        <v>Размещение и содержание строительного мусора</v>
      </c>
      <c r="H95" s="3">
        <v>0</v>
      </c>
      <c r="I95" s="3"/>
      <c r="J95" s="3"/>
      <c r="K95" s="3"/>
      <c r="L95" s="3"/>
      <c r="M95" s="3"/>
      <c r="N95" s="3"/>
      <c r="O95" s="3">
        <f t="shared" ref="O95:T95" si="64">ROUND(O65+AB95,2)</f>
        <v>96538.04</v>
      </c>
      <c r="P95" s="3">
        <f t="shared" si="64"/>
        <v>0</v>
      </c>
      <c r="Q95" s="3">
        <f t="shared" si="64"/>
        <v>96538.04</v>
      </c>
      <c r="R95" s="3">
        <f t="shared" si="64"/>
        <v>0</v>
      </c>
      <c r="S95" s="3">
        <f t="shared" si="64"/>
        <v>0</v>
      </c>
      <c r="T95" s="3">
        <f t="shared" si="64"/>
        <v>0</v>
      </c>
      <c r="U95" s="3">
        <f>U65+AH95</f>
        <v>0</v>
      </c>
      <c r="V95" s="3">
        <f>V65+AI95</f>
        <v>0</v>
      </c>
      <c r="W95" s="3">
        <f>ROUND(W65+AJ95,2)</f>
        <v>0</v>
      </c>
      <c r="X95" s="3">
        <f>ROUND(X65+AK95,2)</f>
        <v>0</v>
      </c>
      <c r="Y95" s="3">
        <f>ROUND(Y65+AL95,2)</f>
        <v>0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f t="shared" ref="AO95:BD95" si="65">ROUND(AO65+BX95,2)</f>
        <v>0</v>
      </c>
      <c r="AP95" s="3">
        <f t="shared" si="65"/>
        <v>0</v>
      </c>
      <c r="AQ95" s="3">
        <f t="shared" si="65"/>
        <v>0</v>
      </c>
      <c r="AR95" s="3">
        <f t="shared" si="65"/>
        <v>96538.04</v>
      </c>
      <c r="AS95" s="3">
        <f t="shared" si="65"/>
        <v>0</v>
      </c>
      <c r="AT95" s="3">
        <f t="shared" si="65"/>
        <v>0</v>
      </c>
      <c r="AU95" s="3">
        <f t="shared" si="65"/>
        <v>96538.04</v>
      </c>
      <c r="AV95" s="3">
        <f t="shared" si="65"/>
        <v>0</v>
      </c>
      <c r="AW95" s="3">
        <f t="shared" si="65"/>
        <v>0</v>
      </c>
      <c r="AX95" s="3">
        <f t="shared" si="65"/>
        <v>0</v>
      </c>
      <c r="AY95" s="3">
        <f t="shared" si="65"/>
        <v>0</v>
      </c>
      <c r="AZ95" s="3">
        <f t="shared" si="65"/>
        <v>0</v>
      </c>
      <c r="BA95" s="3">
        <f t="shared" si="65"/>
        <v>0</v>
      </c>
      <c r="BB95" s="3">
        <f t="shared" si="65"/>
        <v>0</v>
      </c>
      <c r="BC95" s="3">
        <f t="shared" si="65"/>
        <v>0</v>
      </c>
      <c r="BD95" s="3">
        <f t="shared" si="65"/>
        <v>0</v>
      </c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4">
        <f t="shared" ref="DG95:DL95" si="66">ROUND(DG65+DT95,2)</f>
        <v>961161.92</v>
      </c>
      <c r="DH95" s="4">
        <f t="shared" si="66"/>
        <v>0</v>
      </c>
      <c r="DI95" s="4">
        <f t="shared" si="66"/>
        <v>961161.92</v>
      </c>
      <c r="DJ95" s="4">
        <f t="shared" si="66"/>
        <v>0</v>
      </c>
      <c r="DK95" s="4">
        <f t="shared" si="66"/>
        <v>0</v>
      </c>
      <c r="DL95" s="4">
        <f t="shared" si="66"/>
        <v>0</v>
      </c>
      <c r="DM95" s="4">
        <f>DM65+DZ95</f>
        <v>0</v>
      </c>
      <c r="DN95" s="4">
        <f>DN65+EA95</f>
        <v>0</v>
      </c>
      <c r="DO95" s="4">
        <f>ROUND(DO65+EB95,2)</f>
        <v>0</v>
      </c>
      <c r="DP95" s="4">
        <f>ROUND(DP65+EC95,2)</f>
        <v>0</v>
      </c>
      <c r="DQ95" s="4">
        <f>ROUND(DQ65+ED95,2)</f>
        <v>0</v>
      </c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>
        <f t="shared" ref="EG95:EV95" si="67">ROUND(EG65+FP95,2)</f>
        <v>0</v>
      </c>
      <c r="EH95" s="4">
        <f t="shared" si="67"/>
        <v>0</v>
      </c>
      <c r="EI95" s="4">
        <f t="shared" si="67"/>
        <v>0</v>
      </c>
      <c r="EJ95" s="4">
        <f t="shared" si="67"/>
        <v>961161.92</v>
      </c>
      <c r="EK95" s="4">
        <f t="shared" si="67"/>
        <v>0</v>
      </c>
      <c r="EL95" s="4">
        <f t="shared" si="67"/>
        <v>0</v>
      </c>
      <c r="EM95" s="4">
        <f t="shared" si="67"/>
        <v>961161.92</v>
      </c>
      <c r="EN95" s="4">
        <f t="shared" si="67"/>
        <v>0</v>
      </c>
      <c r="EO95" s="4">
        <f t="shared" si="67"/>
        <v>0</v>
      </c>
      <c r="EP95" s="4">
        <f t="shared" si="67"/>
        <v>0</v>
      </c>
      <c r="EQ95" s="4">
        <f t="shared" si="67"/>
        <v>0</v>
      </c>
      <c r="ER95" s="4">
        <f t="shared" si="67"/>
        <v>0</v>
      </c>
      <c r="ES95" s="4">
        <f t="shared" si="67"/>
        <v>0</v>
      </c>
      <c r="ET95" s="4">
        <f t="shared" si="67"/>
        <v>0</v>
      </c>
      <c r="EU95" s="4">
        <f t="shared" si="67"/>
        <v>0</v>
      </c>
      <c r="EV95" s="4">
        <f t="shared" si="67"/>
        <v>0</v>
      </c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>
        <v>0</v>
      </c>
    </row>
    <row r="97" spans="1:28" ht="13" x14ac:dyDescent="0.3">
      <c r="A97" s="5">
        <v>50</v>
      </c>
      <c r="B97" s="5">
        <v>0</v>
      </c>
      <c r="C97" s="5">
        <v>0</v>
      </c>
      <c r="D97" s="5">
        <v>1</v>
      </c>
      <c r="E97" s="5">
        <v>201</v>
      </c>
      <c r="F97" s="5">
        <f>ROUND(Source!O95,O97)</f>
        <v>96538.04</v>
      </c>
      <c r="G97" s="5" t="s">
        <v>92</v>
      </c>
      <c r="H97" s="5" t="s">
        <v>93</v>
      </c>
      <c r="I97" s="5"/>
      <c r="J97" s="5"/>
      <c r="K97" s="5">
        <v>201</v>
      </c>
      <c r="L97" s="5">
        <v>1</v>
      </c>
      <c r="M97" s="5">
        <v>3</v>
      </c>
      <c r="N97" s="5" t="s">
        <v>3</v>
      </c>
      <c r="O97" s="5">
        <v>2</v>
      </c>
      <c r="P97" s="5">
        <f>ROUND(Source!DG95,O97)</f>
        <v>961161.92</v>
      </c>
      <c r="Q97" s="5"/>
      <c r="R97" s="5"/>
      <c r="S97" s="5"/>
      <c r="T97" s="5"/>
      <c r="U97" s="5"/>
      <c r="V97" s="5"/>
      <c r="W97" s="5">
        <v>96538.04</v>
      </c>
      <c r="X97" s="5">
        <v>1</v>
      </c>
      <c r="Y97" s="5">
        <v>96538.04</v>
      </c>
      <c r="Z97" s="5">
        <v>961161.92</v>
      </c>
      <c r="AA97" s="5">
        <v>1</v>
      </c>
      <c r="AB97" s="5">
        <v>961161.92</v>
      </c>
    </row>
    <row r="98" spans="1:28" ht="13" x14ac:dyDescent="0.3">
      <c r="A98" s="5">
        <v>50</v>
      </c>
      <c r="B98" s="5">
        <v>0</v>
      </c>
      <c r="C98" s="5">
        <v>0</v>
      </c>
      <c r="D98" s="5">
        <v>1</v>
      </c>
      <c r="E98" s="5">
        <v>202</v>
      </c>
      <c r="F98" s="5">
        <f>ROUND(Source!P95,O98)</f>
        <v>0</v>
      </c>
      <c r="G98" s="5" t="s">
        <v>94</v>
      </c>
      <c r="H98" s="5" t="s">
        <v>95</v>
      </c>
      <c r="I98" s="5"/>
      <c r="J98" s="5"/>
      <c r="K98" s="5">
        <v>202</v>
      </c>
      <c r="L98" s="5">
        <v>2</v>
      </c>
      <c r="M98" s="5">
        <v>3</v>
      </c>
      <c r="N98" s="5" t="s">
        <v>3</v>
      </c>
      <c r="O98" s="5">
        <v>2</v>
      </c>
      <c r="P98" s="5">
        <f>ROUND(Source!DH95,O98)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ht="13" x14ac:dyDescent="0.3">
      <c r="A99" s="5">
        <v>50</v>
      </c>
      <c r="B99" s="5">
        <v>0</v>
      </c>
      <c r="C99" s="5">
        <v>0</v>
      </c>
      <c r="D99" s="5">
        <v>1</v>
      </c>
      <c r="E99" s="5">
        <v>222</v>
      </c>
      <c r="F99" s="5">
        <f>ROUND(Source!AO95,O99)</f>
        <v>0</v>
      </c>
      <c r="G99" s="5" t="s">
        <v>96</v>
      </c>
      <c r="H99" s="5" t="s">
        <v>97</v>
      </c>
      <c r="I99" s="5"/>
      <c r="J99" s="5"/>
      <c r="K99" s="5">
        <v>222</v>
      </c>
      <c r="L99" s="5">
        <v>3</v>
      </c>
      <c r="M99" s="5">
        <v>3</v>
      </c>
      <c r="N99" s="5" t="s">
        <v>3</v>
      </c>
      <c r="O99" s="5">
        <v>2</v>
      </c>
      <c r="P99" s="5">
        <f>ROUND(Source!EG95,O99)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8" ht="13" x14ac:dyDescent="0.3">
      <c r="A100" s="5">
        <v>50</v>
      </c>
      <c r="B100" s="5">
        <v>0</v>
      </c>
      <c r="C100" s="5">
        <v>0</v>
      </c>
      <c r="D100" s="5">
        <v>1</v>
      </c>
      <c r="E100" s="5">
        <v>225</v>
      </c>
      <c r="F100" s="5">
        <f>ROUND(Source!AV95,O100)</f>
        <v>0</v>
      </c>
      <c r="G100" s="5" t="s">
        <v>98</v>
      </c>
      <c r="H100" s="5" t="s">
        <v>99</v>
      </c>
      <c r="I100" s="5"/>
      <c r="J100" s="5"/>
      <c r="K100" s="5">
        <v>225</v>
      </c>
      <c r="L100" s="5">
        <v>4</v>
      </c>
      <c r="M100" s="5">
        <v>3</v>
      </c>
      <c r="N100" s="5" t="s">
        <v>3</v>
      </c>
      <c r="O100" s="5">
        <v>2</v>
      </c>
      <c r="P100" s="5">
        <f>ROUND(Source!EN95,O100)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ht="13" x14ac:dyDescent="0.3">
      <c r="A101" s="5">
        <v>50</v>
      </c>
      <c r="B101" s="5">
        <v>0</v>
      </c>
      <c r="C101" s="5">
        <v>0</v>
      </c>
      <c r="D101" s="5">
        <v>1</v>
      </c>
      <c r="E101" s="5">
        <v>226</v>
      </c>
      <c r="F101" s="5">
        <f>ROUND(Source!AW95,O101)</f>
        <v>0</v>
      </c>
      <c r="G101" s="5" t="s">
        <v>100</v>
      </c>
      <c r="H101" s="5" t="s">
        <v>101</v>
      </c>
      <c r="I101" s="5"/>
      <c r="J101" s="5"/>
      <c r="K101" s="5">
        <v>226</v>
      </c>
      <c r="L101" s="5">
        <v>5</v>
      </c>
      <c r="M101" s="5">
        <v>3</v>
      </c>
      <c r="N101" s="5" t="s">
        <v>3</v>
      </c>
      <c r="O101" s="5">
        <v>2</v>
      </c>
      <c r="P101" s="5">
        <f>ROUND(Source!EO95,O101)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ht="13" x14ac:dyDescent="0.3">
      <c r="A102" s="5">
        <v>50</v>
      </c>
      <c r="B102" s="5">
        <v>0</v>
      </c>
      <c r="C102" s="5">
        <v>0</v>
      </c>
      <c r="D102" s="5">
        <v>1</v>
      </c>
      <c r="E102" s="5">
        <v>227</v>
      </c>
      <c r="F102" s="5">
        <f>ROUND(Source!AX95,O102)</f>
        <v>0</v>
      </c>
      <c r="G102" s="5" t="s">
        <v>102</v>
      </c>
      <c r="H102" s="5" t="s">
        <v>103</v>
      </c>
      <c r="I102" s="5"/>
      <c r="J102" s="5"/>
      <c r="K102" s="5">
        <v>227</v>
      </c>
      <c r="L102" s="5">
        <v>6</v>
      </c>
      <c r="M102" s="5">
        <v>3</v>
      </c>
      <c r="N102" s="5" t="s">
        <v>3</v>
      </c>
      <c r="O102" s="5">
        <v>2</v>
      </c>
      <c r="P102" s="5">
        <f>ROUND(Source!EP95,O102)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ht="13" x14ac:dyDescent="0.3">
      <c r="A103" s="5">
        <v>50</v>
      </c>
      <c r="B103" s="5">
        <v>0</v>
      </c>
      <c r="C103" s="5">
        <v>0</v>
      </c>
      <c r="D103" s="5">
        <v>1</v>
      </c>
      <c r="E103" s="5">
        <v>228</v>
      </c>
      <c r="F103" s="5">
        <f>ROUND(Source!AY95,O103)</f>
        <v>0</v>
      </c>
      <c r="G103" s="5" t="s">
        <v>104</v>
      </c>
      <c r="H103" s="5" t="s">
        <v>105</v>
      </c>
      <c r="I103" s="5"/>
      <c r="J103" s="5"/>
      <c r="K103" s="5">
        <v>228</v>
      </c>
      <c r="L103" s="5">
        <v>7</v>
      </c>
      <c r="M103" s="5">
        <v>3</v>
      </c>
      <c r="N103" s="5" t="s">
        <v>3</v>
      </c>
      <c r="O103" s="5">
        <v>2</v>
      </c>
      <c r="P103" s="5">
        <f>ROUND(Source!EQ95,O103)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8" ht="13" x14ac:dyDescent="0.3">
      <c r="A104" s="5">
        <v>50</v>
      </c>
      <c r="B104" s="5">
        <v>0</v>
      </c>
      <c r="C104" s="5">
        <v>0</v>
      </c>
      <c r="D104" s="5">
        <v>1</v>
      </c>
      <c r="E104" s="5">
        <v>216</v>
      </c>
      <c r="F104" s="5">
        <f>ROUND(Source!AP95,O104)</f>
        <v>0</v>
      </c>
      <c r="G104" s="5" t="s">
        <v>106</v>
      </c>
      <c r="H104" s="5" t="s">
        <v>107</v>
      </c>
      <c r="I104" s="5"/>
      <c r="J104" s="5"/>
      <c r="K104" s="5">
        <v>216</v>
      </c>
      <c r="L104" s="5">
        <v>8</v>
      </c>
      <c r="M104" s="5">
        <v>3</v>
      </c>
      <c r="N104" s="5" t="s">
        <v>3</v>
      </c>
      <c r="O104" s="5">
        <v>2</v>
      </c>
      <c r="P104" s="5">
        <f>ROUND(Source!EH95,O104)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ht="13" x14ac:dyDescent="0.3">
      <c r="A105" s="5">
        <v>50</v>
      </c>
      <c r="B105" s="5">
        <v>0</v>
      </c>
      <c r="C105" s="5">
        <v>0</v>
      </c>
      <c r="D105" s="5">
        <v>1</v>
      </c>
      <c r="E105" s="5">
        <v>223</v>
      </c>
      <c r="F105" s="5">
        <f>ROUND(Source!AQ95,O105)</f>
        <v>0</v>
      </c>
      <c r="G105" s="5" t="s">
        <v>108</v>
      </c>
      <c r="H105" s="5" t="s">
        <v>109</v>
      </c>
      <c r="I105" s="5"/>
      <c r="J105" s="5"/>
      <c r="K105" s="5">
        <v>223</v>
      </c>
      <c r="L105" s="5">
        <v>9</v>
      </c>
      <c r="M105" s="5">
        <v>3</v>
      </c>
      <c r="N105" s="5" t="s">
        <v>3</v>
      </c>
      <c r="O105" s="5">
        <v>2</v>
      </c>
      <c r="P105" s="5">
        <f>ROUND(Source!EI95,O105)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8" ht="13" x14ac:dyDescent="0.3">
      <c r="A106" s="5">
        <v>50</v>
      </c>
      <c r="B106" s="5">
        <v>0</v>
      </c>
      <c r="C106" s="5">
        <v>0</v>
      </c>
      <c r="D106" s="5">
        <v>1</v>
      </c>
      <c r="E106" s="5">
        <v>229</v>
      </c>
      <c r="F106" s="5">
        <f>ROUND(Source!AZ95,O106)</f>
        <v>0</v>
      </c>
      <c r="G106" s="5" t="s">
        <v>110</v>
      </c>
      <c r="H106" s="5" t="s">
        <v>111</v>
      </c>
      <c r="I106" s="5"/>
      <c r="J106" s="5"/>
      <c r="K106" s="5">
        <v>229</v>
      </c>
      <c r="L106" s="5">
        <v>10</v>
      </c>
      <c r="M106" s="5">
        <v>3</v>
      </c>
      <c r="N106" s="5" t="s">
        <v>3</v>
      </c>
      <c r="O106" s="5">
        <v>2</v>
      </c>
      <c r="P106" s="5">
        <f>ROUND(Source!ER95,O106)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8" ht="13" x14ac:dyDescent="0.3">
      <c r="A107" s="5">
        <v>50</v>
      </c>
      <c r="B107" s="5">
        <v>0</v>
      </c>
      <c r="C107" s="5">
        <v>0</v>
      </c>
      <c r="D107" s="5">
        <v>1</v>
      </c>
      <c r="E107" s="5">
        <v>203</v>
      </c>
      <c r="F107" s="5">
        <f>ROUND(Source!Q95,O107)</f>
        <v>96538.04</v>
      </c>
      <c r="G107" s="5" t="s">
        <v>112</v>
      </c>
      <c r="H107" s="5" t="s">
        <v>113</v>
      </c>
      <c r="I107" s="5"/>
      <c r="J107" s="5"/>
      <c r="K107" s="5">
        <v>203</v>
      </c>
      <c r="L107" s="5">
        <v>11</v>
      </c>
      <c r="M107" s="5">
        <v>3</v>
      </c>
      <c r="N107" s="5" t="s">
        <v>3</v>
      </c>
      <c r="O107" s="5">
        <v>2</v>
      </c>
      <c r="P107" s="5">
        <f>ROUND(Source!DI95,O107)</f>
        <v>961161.92</v>
      </c>
      <c r="Q107" s="5"/>
      <c r="R107" s="5"/>
      <c r="S107" s="5"/>
      <c r="T107" s="5"/>
      <c r="U107" s="5"/>
      <c r="V107" s="5"/>
      <c r="W107" s="5">
        <v>96538.04</v>
      </c>
      <c r="X107" s="5">
        <v>1</v>
      </c>
      <c r="Y107" s="5">
        <v>96538.04</v>
      </c>
      <c r="Z107" s="5">
        <v>961161.92</v>
      </c>
      <c r="AA107" s="5">
        <v>1</v>
      </c>
      <c r="AB107" s="5">
        <v>961161.92</v>
      </c>
    </row>
    <row r="108" spans="1:28" ht="13" x14ac:dyDescent="0.3">
      <c r="A108" s="5">
        <v>50</v>
      </c>
      <c r="B108" s="5">
        <v>0</v>
      </c>
      <c r="C108" s="5">
        <v>0</v>
      </c>
      <c r="D108" s="5">
        <v>1</v>
      </c>
      <c r="E108" s="5">
        <v>231</v>
      </c>
      <c r="F108" s="5">
        <f>ROUND(Source!BB95,O108)</f>
        <v>0</v>
      </c>
      <c r="G108" s="5" t="s">
        <v>114</v>
      </c>
      <c r="H108" s="5" t="s">
        <v>115</v>
      </c>
      <c r="I108" s="5"/>
      <c r="J108" s="5"/>
      <c r="K108" s="5">
        <v>231</v>
      </c>
      <c r="L108" s="5">
        <v>12</v>
      </c>
      <c r="M108" s="5">
        <v>3</v>
      </c>
      <c r="N108" s="5" t="s">
        <v>3</v>
      </c>
      <c r="O108" s="5">
        <v>2</v>
      </c>
      <c r="P108" s="5">
        <f>ROUND(Source!ET95,O108)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8" ht="13" x14ac:dyDescent="0.3">
      <c r="A109" s="5">
        <v>50</v>
      </c>
      <c r="B109" s="5">
        <v>0</v>
      </c>
      <c r="C109" s="5">
        <v>0</v>
      </c>
      <c r="D109" s="5">
        <v>1</v>
      </c>
      <c r="E109" s="5">
        <v>204</v>
      </c>
      <c r="F109" s="5">
        <f>ROUND(Source!R95,O109)</f>
        <v>0</v>
      </c>
      <c r="G109" s="5" t="s">
        <v>116</v>
      </c>
      <c r="H109" s="5" t="s">
        <v>117</v>
      </c>
      <c r="I109" s="5"/>
      <c r="J109" s="5"/>
      <c r="K109" s="5">
        <v>204</v>
      </c>
      <c r="L109" s="5">
        <v>13</v>
      </c>
      <c r="M109" s="5">
        <v>3</v>
      </c>
      <c r="N109" s="5" t="s">
        <v>3</v>
      </c>
      <c r="O109" s="5">
        <v>2</v>
      </c>
      <c r="P109" s="5">
        <f>ROUND(Source!DJ95,O109)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ht="13" x14ac:dyDescent="0.3">
      <c r="A110" s="5">
        <v>50</v>
      </c>
      <c r="B110" s="5">
        <v>0</v>
      </c>
      <c r="C110" s="5">
        <v>0</v>
      </c>
      <c r="D110" s="5">
        <v>1</v>
      </c>
      <c r="E110" s="5">
        <v>205</v>
      </c>
      <c r="F110" s="5">
        <f>ROUND(Source!S95,O110)</f>
        <v>0</v>
      </c>
      <c r="G110" s="5" t="s">
        <v>118</v>
      </c>
      <c r="H110" s="5" t="s">
        <v>119</v>
      </c>
      <c r="I110" s="5"/>
      <c r="J110" s="5"/>
      <c r="K110" s="5">
        <v>205</v>
      </c>
      <c r="L110" s="5">
        <v>14</v>
      </c>
      <c r="M110" s="5">
        <v>3</v>
      </c>
      <c r="N110" s="5" t="s">
        <v>3</v>
      </c>
      <c r="O110" s="5">
        <v>2</v>
      </c>
      <c r="P110" s="5">
        <f>ROUND(Source!DK95,O110)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ht="13" x14ac:dyDescent="0.3">
      <c r="A111" s="5">
        <v>50</v>
      </c>
      <c r="B111" s="5">
        <v>0</v>
      </c>
      <c r="C111" s="5">
        <v>0</v>
      </c>
      <c r="D111" s="5">
        <v>1</v>
      </c>
      <c r="E111" s="5">
        <v>232</v>
      </c>
      <c r="F111" s="5">
        <f>ROUND(Source!BC95,O111)</f>
        <v>0</v>
      </c>
      <c r="G111" s="5" t="s">
        <v>120</v>
      </c>
      <c r="H111" s="5" t="s">
        <v>121</v>
      </c>
      <c r="I111" s="5"/>
      <c r="J111" s="5"/>
      <c r="K111" s="5">
        <v>232</v>
      </c>
      <c r="L111" s="5">
        <v>15</v>
      </c>
      <c r="M111" s="5">
        <v>3</v>
      </c>
      <c r="N111" s="5" t="s">
        <v>3</v>
      </c>
      <c r="O111" s="5">
        <v>2</v>
      </c>
      <c r="P111" s="5">
        <f>ROUND(Source!EU95,O111)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ht="13" x14ac:dyDescent="0.3">
      <c r="A112" s="5">
        <v>50</v>
      </c>
      <c r="B112" s="5">
        <v>0</v>
      </c>
      <c r="C112" s="5">
        <v>0</v>
      </c>
      <c r="D112" s="5">
        <v>1</v>
      </c>
      <c r="E112" s="5">
        <v>214</v>
      </c>
      <c r="F112" s="5">
        <f>ROUND(Source!AS95,O112)</f>
        <v>0</v>
      </c>
      <c r="G112" s="5" t="s">
        <v>122</v>
      </c>
      <c r="H112" s="5" t="s">
        <v>123</v>
      </c>
      <c r="I112" s="5"/>
      <c r="J112" s="5"/>
      <c r="K112" s="5">
        <v>214</v>
      </c>
      <c r="L112" s="5">
        <v>16</v>
      </c>
      <c r="M112" s="5">
        <v>3</v>
      </c>
      <c r="N112" s="5" t="s">
        <v>3</v>
      </c>
      <c r="O112" s="5">
        <v>2</v>
      </c>
      <c r="P112" s="5">
        <f>ROUND(Source!EK95,O112)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06" ht="13" x14ac:dyDescent="0.3">
      <c r="A113" s="5">
        <v>50</v>
      </c>
      <c r="B113" s="5">
        <v>0</v>
      </c>
      <c r="C113" s="5">
        <v>0</v>
      </c>
      <c r="D113" s="5">
        <v>1</v>
      </c>
      <c r="E113" s="5">
        <v>215</v>
      </c>
      <c r="F113" s="5">
        <f>ROUND(Source!AT95,O113)</f>
        <v>0</v>
      </c>
      <c r="G113" s="5" t="s">
        <v>124</v>
      </c>
      <c r="H113" s="5" t="s">
        <v>125</v>
      </c>
      <c r="I113" s="5"/>
      <c r="J113" s="5"/>
      <c r="K113" s="5">
        <v>215</v>
      </c>
      <c r="L113" s="5">
        <v>17</v>
      </c>
      <c r="M113" s="5">
        <v>3</v>
      </c>
      <c r="N113" s="5" t="s">
        <v>3</v>
      </c>
      <c r="O113" s="5">
        <v>2</v>
      </c>
      <c r="P113" s="5">
        <f>ROUND(Source!EL95,O113)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06" ht="13" x14ac:dyDescent="0.3">
      <c r="A114" s="5">
        <v>50</v>
      </c>
      <c r="B114" s="5">
        <v>0</v>
      </c>
      <c r="C114" s="5">
        <v>0</v>
      </c>
      <c r="D114" s="5">
        <v>1</v>
      </c>
      <c r="E114" s="5">
        <v>217</v>
      </c>
      <c r="F114" s="5">
        <f>ROUND(Source!AU95,O114)</f>
        <v>96538.04</v>
      </c>
      <c r="G114" s="5" t="s">
        <v>126</v>
      </c>
      <c r="H114" s="5" t="s">
        <v>127</v>
      </c>
      <c r="I114" s="5"/>
      <c r="J114" s="5"/>
      <c r="K114" s="5">
        <v>217</v>
      </c>
      <c r="L114" s="5">
        <v>18</v>
      </c>
      <c r="M114" s="5">
        <v>3</v>
      </c>
      <c r="N114" s="5" t="s">
        <v>3</v>
      </c>
      <c r="O114" s="5">
        <v>2</v>
      </c>
      <c r="P114" s="5">
        <f>ROUND(Source!EM95,O114)</f>
        <v>961161.92</v>
      </c>
      <c r="Q114" s="5"/>
      <c r="R114" s="5"/>
      <c r="S114" s="5"/>
      <c r="T114" s="5"/>
      <c r="U114" s="5"/>
      <c r="V114" s="5"/>
      <c r="W114" s="5">
        <v>96538.04</v>
      </c>
      <c r="X114" s="5">
        <v>1</v>
      </c>
      <c r="Y114" s="5">
        <v>96538.04</v>
      </c>
      <c r="Z114" s="5">
        <v>961161.92</v>
      </c>
      <c r="AA114" s="5">
        <v>1</v>
      </c>
      <c r="AB114" s="5">
        <v>961161.92</v>
      </c>
    </row>
    <row r="115" spans="1:206" ht="13" x14ac:dyDescent="0.3">
      <c r="A115" s="5">
        <v>50</v>
      </c>
      <c r="B115" s="5">
        <v>0</v>
      </c>
      <c r="C115" s="5">
        <v>0</v>
      </c>
      <c r="D115" s="5">
        <v>1</v>
      </c>
      <c r="E115" s="5">
        <v>230</v>
      </c>
      <c r="F115" s="5">
        <f>ROUND(Source!BA95,O115)</f>
        <v>0</v>
      </c>
      <c r="G115" s="5" t="s">
        <v>128</v>
      </c>
      <c r="H115" s="5" t="s">
        <v>129</v>
      </c>
      <c r="I115" s="5"/>
      <c r="J115" s="5"/>
      <c r="K115" s="5">
        <v>230</v>
      </c>
      <c r="L115" s="5">
        <v>19</v>
      </c>
      <c r="M115" s="5">
        <v>3</v>
      </c>
      <c r="N115" s="5" t="s">
        <v>3</v>
      </c>
      <c r="O115" s="5">
        <v>2</v>
      </c>
      <c r="P115" s="5">
        <f>ROUND(Source!ES95,O115)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06" ht="13" x14ac:dyDescent="0.3">
      <c r="A116" s="5">
        <v>50</v>
      </c>
      <c r="B116" s="5">
        <v>0</v>
      </c>
      <c r="C116" s="5">
        <v>0</v>
      </c>
      <c r="D116" s="5">
        <v>1</v>
      </c>
      <c r="E116" s="5">
        <v>206</v>
      </c>
      <c r="F116" s="5">
        <f>ROUND(Source!T95,O116)</f>
        <v>0</v>
      </c>
      <c r="G116" s="5" t="s">
        <v>130</v>
      </c>
      <c r="H116" s="5" t="s">
        <v>131</v>
      </c>
      <c r="I116" s="5"/>
      <c r="J116" s="5"/>
      <c r="K116" s="5">
        <v>206</v>
      </c>
      <c r="L116" s="5">
        <v>20</v>
      </c>
      <c r="M116" s="5">
        <v>3</v>
      </c>
      <c r="N116" s="5" t="s">
        <v>3</v>
      </c>
      <c r="O116" s="5">
        <v>2</v>
      </c>
      <c r="P116" s="5">
        <f>ROUND(Source!DL95,O116)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06" ht="13" x14ac:dyDescent="0.3">
      <c r="A117" s="5">
        <v>50</v>
      </c>
      <c r="B117" s="5">
        <v>0</v>
      </c>
      <c r="C117" s="5">
        <v>0</v>
      </c>
      <c r="D117" s="5">
        <v>1</v>
      </c>
      <c r="E117" s="5">
        <v>207</v>
      </c>
      <c r="F117" s="5">
        <f>Source!U95</f>
        <v>0</v>
      </c>
      <c r="G117" s="5" t="s">
        <v>132</v>
      </c>
      <c r="H117" s="5" t="s">
        <v>133</v>
      </c>
      <c r="I117" s="5"/>
      <c r="J117" s="5"/>
      <c r="K117" s="5">
        <v>207</v>
      </c>
      <c r="L117" s="5">
        <v>21</v>
      </c>
      <c r="M117" s="5">
        <v>3</v>
      </c>
      <c r="N117" s="5" t="s">
        <v>3</v>
      </c>
      <c r="O117" s="5">
        <v>-1</v>
      </c>
      <c r="P117" s="5">
        <f>Source!DM95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06" ht="13" x14ac:dyDescent="0.3">
      <c r="A118" s="5">
        <v>50</v>
      </c>
      <c r="B118" s="5">
        <v>0</v>
      </c>
      <c r="C118" s="5">
        <v>0</v>
      </c>
      <c r="D118" s="5">
        <v>1</v>
      </c>
      <c r="E118" s="5">
        <v>208</v>
      </c>
      <c r="F118" s="5">
        <f>Source!V95</f>
        <v>0</v>
      </c>
      <c r="G118" s="5" t="s">
        <v>134</v>
      </c>
      <c r="H118" s="5" t="s">
        <v>135</v>
      </c>
      <c r="I118" s="5"/>
      <c r="J118" s="5"/>
      <c r="K118" s="5">
        <v>208</v>
      </c>
      <c r="L118" s="5">
        <v>22</v>
      </c>
      <c r="M118" s="5">
        <v>3</v>
      </c>
      <c r="N118" s="5" t="s">
        <v>3</v>
      </c>
      <c r="O118" s="5">
        <v>-1</v>
      </c>
      <c r="P118" s="5">
        <f>Source!DN95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06" ht="13" x14ac:dyDescent="0.3">
      <c r="A119" s="5">
        <v>50</v>
      </c>
      <c r="B119" s="5">
        <v>0</v>
      </c>
      <c r="C119" s="5">
        <v>0</v>
      </c>
      <c r="D119" s="5">
        <v>1</v>
      </c>
      <c r="E119" s="5">
        <v>209</v>
      </c>
      <c r="F119" s="5">
        <f>ROUND(Source!W95,O119)</f>
        <v>0</v>
      </c>
      <c r="G119" s="5" t="s">
        <v>136</v>
      </c>
      <c r="H119" s="5" t="s">
        <v>137</v>
      </c>
      <c r="I119" s="5"/>
      <c r="J119" s="5"/>
      <c r="K119" s="5">
        <v>209</v>
      </c>
      <c r="L119" s="5">
        <v>23</v>
      </c>
      <c r="M119" s="5">
        <v>3</v>
      </c>
      <c r="N119" s="5" t="s">
        <v>3</v>
      </c>
      <c r="O119" s="5">
        <v>2</v>
      </c>
      <c r="P119" s="5">
        <f>ROUND(Source!DO95,O119)</f>
        <v>0</v>
      </c>
      <c r="Q119" s="5"/>
      <c r="R119" s="5"/>
      <c r="S119" s="5"/>
      <c r="T119" s="5"/>
      <c r="U119" s="5"/>
      <c r="V119" s="5"/>
      <c r="W119" s="5">
        <v>0</v>
      </c>
      <c r="X119" s="5">
        <v>1</v>
      </c>
      <c r="Y119" s="5">
        <v>0</v>
      </c>
      <c r="Z119" s="5">
        <v>0</v>
      </c>
      <c r="AA119" s="5">
        <v>1</v>
      </c>
      <c r="AB119" s="5">
        <v>0</v>
      </c>
    </row>
    <row r="120" spans="1:206" ht="13" x14ac:dyDescent="0.3">
      <c r="A120" s="5">
        <v>50</v>
      </c>
      <c r="B120" s="5">
        <v>0</v>
      </c>
      <c r="C120" s="5">
        <v>0</v>
      </c>
      <c r="D120" s="5">
        <v>1</v>
      </c>
      <c r="E120" s="5">
        <v>233</v>
      </c>
      <c r="F120" s="5">
        <f>ROUND(Source!BD95,O120)</f>
        <v>0</v>
      </c>
      <c r="G120" s="5" t="s">
        <v>138</v>
      </c>
      <c r="H120" s="5" t="s">
        <v>139</v>
      </c>
      <c r="I120" s="5"/>
      <c r="J120" s="5"/>
      <c r="K120" s="5">
        <v>233</v>
      </c>
      <c r="L120" s="5">
        <v>24</v>
      </c>
      <c r="M120" s="5">
        <v>3</v>
      </c>
      <c r="N120" s="5" t="s">
        <v>3</v>
      </c>
      <c r="O120" s="5">
        <v>2</v>
      </c>
      <c r="P120" s="5">
        <f>ROUND(Source!EV95,O120)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06" ht="13" x14ac:dyDescent="0.3">
      <c r="A121" s="5">
        <v>50</v>
      </c>
      <c r="B121" s="5">
        <v>0</v>
      </c>
      <c r="C121" s="5">
        <v>0</v>
      </c>
      <c r="D121" s="5">
        <v>1</v>
      </c>
      <c r="E121" s="5">
        <v>210</v>
      </c>
      <c r="F121" s="5">
        <f>ROUND(Source!X95,O121)</f>
        <v>0</v>
      </c>
      <c r="G121" s="5" t="s">
        <v>140</v>
      </c>
      <c r="H121" s="5" t="s">
        <v>141</v>
      </c>
      <c r="I121" s="5"/>
      <c r="J121" s="5"/>
      <c r="K121" s="5">
        <v>210</v>
      </c>
      <c r="L121" s="5">
        <v>25</v>
      </c>
      <c r="M121" s="5">
        <v>3</v>
      </c>
      <c r="N121" s="5" t="s">
        <v>3</v>
      </c>
      <c r="O121" s="5">
        <v>2</v>
      </c>
      <c r="P121" s="5">
        <f>ROUND(Source!DP95,O121)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06" ht="13" x14ac:dyDescent="0.3">
      <c r="A122" s="5">
        <v>50</v>
      </c>
      <c r="B122" s="5">
        <v>0</v>
      </c>
      <c r="C122" s="5">
        <v>0</v>
      </c>
      <c r="D122" s="5">
        <v>1</v>
      </c>
      <c r="E122" s="5">
        <v>211</v>
      </c>
      <c r="F122" s="5">
        <f>ROUND(Source!Y95,O122)</f>
        <v>0</v>
      </c>
      <c r="G122" s="5" t="s">
        <v>142</v>
      </c>
      <c r="H122" s="5" t="s">
        <v>143</v>
      </c>
      <c r="I122" s="5"/>
      <c r="J122" s="5"/>
      <c r="K122" s="5">
        <v>211</v>
      </c>
      <c r="L122" s="5">
        <v>26</v>
      </c>
      <c r="M122" s="5">
        <v>3</v>
      </c>
      <c r="N122" s="5" t="s">
        <v>3</v>
      </c>
      <c r="O122" s="5">
        <v>2</v>
      </c>
      <c r="P122" s="5">
        <f>ROUND(Source!DQ95,O122)</f>
        <v>0</v>
      </c>
      <c r="Q122" s="5"/>
      <c r="R122" s="5"/>
      <c r="S122" s="5"/>
      <c r="T122" s="5"/>
      <c r="U122" s="5"/>
      <c r="V122" s="5"/>
      <c r="W122" s="5">
        <v>0</v>
      </c>
      <c r="X122" s="5">
        <v>1</v>
      </c>
      <c r="Y122" s="5">
        <v>0</v>
      </c>
      <c r="Z122" s="5">
        <v>0</v>
      </c>
      <c r="AA122" s="5">
        <v>1</v>
      </c>
      <c r="AB122" s="5">
        <v>0</v>
      </c>
    </row>
    <row r="123" spans="1:206" ht="13" x14ac:dyDescent="0.3">
      <c r="A123" s="5">
        <v>50</v>
      </c>
      <c r="B123" s="5">
        <v>0</v>
      </c>
      <c r="C123" s="5">
        <v>0</v>
      </c>
      <c r="D123" s="5">
        <v>1</v>
      </c>
      <c r="E123" s="5">
        <v>224</v>
      </c>
      <c r="F123" s="5">
        <f>ROUND(Source!AR95,O123)</f>
        <v>96538.04</v>
      </c>
      <c r="G123" s="5" t="s">
        <v>144</v>
      </c>
      <c r="H123" s="5" t="s">
        <v>145</v>
      </c>
      <c r="I123" s="5"/>
      <c r="J123" s="5"/>
      <c r="K123" s="5">
        <v>224</v>
      </c>
      <c r="L123" s="5">
        <v>27</v>
      </c>
      <c r="M123" s="5">
        <v>3</v>
      </c>
      <c r="N123" s="5" t="s">
        <v>3</v>
      </c>
      <c r="O123" s="5">
        <v>2</v>
      </c>
      <c r="P123" s="5">
        <f>ROUND(Source!EJ95,O123)</f>
        <v>961161.92</v>
      </c>
      <c r="Q123" s="5"/>
      <c r="R123" s="5"/>
      <c r="S123" s="5"/>
      <c r="T123" s="5"/>
      <c r="U123" s="5"/>
      <c r="V123" s="5"/>
      <c r="W123" s="5">
        <v>96538.04</v>
      </c>
      <c r="X123" s="5">
        <v>1</v>
      </c>
      <c r="Y123" s="5">
        <v>96538.04</v>
      </c>
      <c r="Z123" s="5">
        <v>961161.92</v>
      </c>
      <c r="AA123" s="5">
        <v>1</v>
      </c>
      <c r="AB123" s="5">
        <v>961161.92</v>
      </c>
    </row>
    <row r="125" spans="1:206" ht="13" x14ac:dyDescent="0.3">
      <c r="A125" s="3">
        <v>51</v>
      </c>
      <c r="B125" s="3">
        <f>B12</f>
        <v>165</v>
      </c>
      <c r="C125" s="3">
        <f>A12</f>
        <v>1</v>
      </c>
      <c r="D125" s="3">
        <f>ROW(A12)</f>
        <v>12</v>
      </c>
      <c r="E125" s="3"/>
      <c r="F125" s="3" t="str">
        <f>IF(F12&lt;&gt;"",F12,"")</f>
        <v>09-01-03</v>
      </c>
      <c r="G125" s="3" t="str">
        <f>IF(G12&lt;&gt;"",G12,"")</f>
        <v>09-01-03 Размещение и содержание строительного мусора</v>
      </c>
      <c r="H125" s="3">
        <v>0</v>
      </c>
      <c r="I125" s="3"/>
      <c r="J125" s="3"/>
      <c r="K125" s="3"/>
      <c r="L125" s="3"/>
      <c r="M125" s="3"/>
      <c r="N125" s="3"/>
      <c r="O125" s="3">
        <f t="shared" ref="O125:T125" si="68">ROUND(O95,2)</f>
        <v>96538.04</v>
      </c>
      <c r="P125" s="3">
        <f t="shared" si="68"/>
        <v>0</v>
      </c>
      <c r="Q125" s="3">
        <f t="shared" si="68"/>
        <v>96538.04</v>
      </c>
      <c r="R125" s="3">
        <f t="shared" si="68"/>
        <v>0</v>
      </c>
      <c r="S125" s="3">
        <f t="shared" si="68"/>
        <v>0</v>
      </c>
      <c r="T125" s="3">
        <f t="shared" si="68"/>
        <v>0</v>
      </c>
      <c r="U125" s="3">
        <f>U95</f>
        <v>0</v>
      </c>
      <c r="V125" s="3">
        <f>V95</f>
        <v>0</v>
      </c>
      <c r="W125" s="3">
        <f>ROUND(W95,2)</f>
        <v>0</v>
      </c>
      <c r="X125" s="3">
        <f>ROUND(X95,2)</f>
        <v>0</v>
      </c>
      <c r="Y125" s="3">
        <f>ROUND(Y95,2)</f>
        <v>0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f t="shared" ref="AO125:BD125" si="69">ROUND(AO95,2)</f>
        <v>0</v>
      </c>
      <c r="AP125" s="3">
        <f t="shared" si="69"/>
        <v>0</v>
      </c>
      <c r="AQ125" s="3">
        <f t="shared" si="69"/>
        <v>0</v>
      </c>
      <c r="AR125" s="3">
        <f t="shared" si="69"/>
        <v>96538.04</v>
      </c>
      <c r="AS125" s="3">
        <f t="shared" si="69"/>
        <v>0</v>
      </c>
      <c r="AT125" s="3">
        <f t="shared" si="69"/>
        <v>0</v>
      </c>
      <c r="AU125" s="3">
        <f t="shared" si="69"/>
        <v>96538.04</v>
      </c>
      <c r="AV125" s="3">
        <f t="shared" si="69"/>
        <v>0</v>
      </c>
      <c r="AW125" s="3">
        <f t="shared" si="69"/>
        <v>0</v>
      </c>
      <c r="AX125" s="3">
        <f t="shared" si="69"/>
        <v>0</v>
      </c>
      <c r="AY125" s="3">
        <f t="shared" si="69"/>
        <v>0</v>
      </c>
      <c r="AZ125" s="3">
        <f t="shared" si="69"/>
        <v>0</v>
      </c>
      <c r="BA125" s="3">
        <f t="shared" si="69"/>
        <v>0</v>
      </c>
      <c r="BB125" s="3">
        <f t="shared" si="69"/>
        <v>0</v>
      </c>
      <c r="BC125" s="3">
        <f t="shared" si="69"/>
        <v>0</v>
      </c>
      <c r="BD125" s="3">
        <f t="shared" si="69"/>
        <v>0</v>
      </c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4">
        <f t="shared" ref="DG125:DL125" si="70">ROUND(DG95,2)</f>
        <v>961161.92</v>
      </c>
      <c r="DH125" s="4">
        <f t="shared" si="70"/>
        <v>0</v>
      </c>
      <c r="DI125" s="4">
        <f t="shared" si="70"/>
        <v>961161.92</v>
      </c>
      <c r="DJ125" s="4">
        <f t="shared" si="70"/>
        <v>0</v>
      </c>
      <c r="DK125" s="4">
        <f t="shared" si="70"/>
        <v>0</v>
      </c>
      <c r="DL125" s="4">
        <f t="shared" si="70"/>
        <v>0</v>
      </c>
      <c r="DM125" s="4">
        <f>DM95</f>
        <v>0</v>
      </c>
      <c r="DN125" s="4">
        <f>DN95</f>
        <v>0</v>
      </c>
      <c r="DO125" s="4">
        <f>ROUND(DO95,2)</f>
        <v>0</v>
      </c>
      <c r="DP125" s="4">
        <f>ROUND(DP95,2)</f>
        <v>0</v>
      </c>
      <c r="DQ125" s="4">
        <f>ROUND(DQ95,2)</f>
        <v>0</v>
      </c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>
        <f t="shared" ref="EG125:EV125" si="71">ROUND(EG95,2)</f>
        <v>0</v>
      </c>
      <c r="EH125" s="4">
        <f t="shared" si="71"/>
        <v>0</v>
      </c>
      <c r="EI125" s="4">
        <f t="shared" si="71"/>
        <v>0</v>
      </c>
      <c r="EJ125" s="4">
        <f t="shared" si="71"/>
        <v>961161.92</v>
      </c>
      <c r="EK125" s="4">
        <f t="shared" si="71"/>
        <v>0</v>
      </c>
      <c r="EL125" s="4">
        <f t="shared" si="71"/>
        <v>0</v>
      </c>
      <c r="EM125" s="4">
        <f t="shared" si="71"/>
        <v>961161.92</v>
      </c>
      <c r="EN125" s="4">
        <f t="shared" si="71"/>
        <v>0</v>
      </c>
      <c r="EO125" s="4">
        <f t="shared" si="71"/>
        <v>0</v>
      </c>
      <c r="EP125" s="4">
        <f t="shared" si="71"/>
        <v>0</v>
      </c>
      <c r="EQ125" s="4">
        <f t="shared" si="71"/>
        <v>0</v>
      </c>
      <c r="ER125" s="4">
        <f t="shared" si="71"/>
        <v>0</v>
      </c>
      <c r="ES125" s="4">
        <f t="shared" si="71"/>
        <v>0</v>
      </c>
      <c r="ET125" s="4">
        <f t="shared" si="71"/>
        <v>0</v>
      </c>
      <c r="EU125" s="4">
        <f t="shared" si="71"/>
        <v>0</v>
      </c>
      <c r="EV125" s="4">
        <f t="shared" si="71"/>
        <v>0</v>
      </c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>
        <v>0</v>
      </c>
    </row>
    <row r="127" spans="1:206" ht="13" x14ac:dyDescent="0.3">
      <c r="A127" s="5">
        <v>50</v>
      </c>
      <c r="B127" s="5">
        <v>0</v>
      </c>
      <c r="C127" s="5">
        <v>0</v>
      </c>
      <c r="D127" s="5">
        <v>1</v>
      </c>
      <c r="E127" s="5">
        <v>201</v>
      </c>
      <c r="F127" s="5">
        <f>ROUND(Source!O125,O127)</f>
        <v>96538.04</v>
      </c>
      <c r="G127" s="5" t="s">
        <v>92</v>
      </c>
      <c r="H127" s="5" t="s">
        <v>93</v>
      </c>
      <c r="I127" s="5"/>
      <c r="J127" s="5"/>
      <c r="K127" s="5">
        <v>201</v>
      </c>
      <c r="L127" s="5">
        <v>1</v>
      </c>
      <c r="M127" s="5">
        <v>3</v>
      </c>
      <c r="N127" s="5" t="s">
        <v>3</v>
      </c>
      <c r="O127" s="5">
        <v>2</v>
      </c>
      <c r="P127" s="5">
        <f>ROUND(Source!DG125,O127)</f>
        <v>961161.92</v>
      </c>
      <c r="Q127" s="5"/>
      <c r="R127" s="5"/>
      <c r="S127" s="5"/>
      <c r="T127" s="5"/>
      <c r="U127" s="5"/>
      <c r="V127" s="5"/>
      <c r="W127" s="5">
        <v>96538.04</v>
      </c>
      <c r="X127" s="5">
        <v>1</v>
      </c>
      <c r="Y127" s="5">
        <v>96538.04</v>
      </c>
      <c r="Z127" s="5">
        <v>961161.92</v>
      </c>
      <c r="AA127" s="5">
        <v>1</v>
      </c>
      <c r="AB127" s="5">
        <v>961161.92</v>
      </c>
    </row>
    <row r="128" spans="1:206" ht="13" x14ac:dyDescent="0.3">
      <c r="A128" s="5">
        <v>50</v>
      </c>
      <c r="B128" s="5">
        <v>0</v>
      </c>
      <c r="C128" s="5">
        <v>0</v>
      </c>
      <c r="D128" s="5">
        <v>1</v>
      </c>
      <c r="E128" s="5">
        <v>202</v>
      </c>
      <c r="F128" s="5">
        <f>ROUND(Source!P125,O128)</f>
        <v>0</v>
      </c>
      <c r="G128" s="5" t="s">
        <v>94</v>
      </c>
      <c r="H128" s="5" t="s">
        <v>95</v>
      </c>
      <c r="I128" s="5"/>
      <c r="J128" s="5"/>
      <c r="K128" s="5">
        <v>202</v>
      </c>
      <c r="L128" s="5">
        <v>2</v>
      </c>
      <c r="M128" s="5">
        <v>3</v>
      </c>
      <c r="N128" s="5" t="s">
        <v>3</v>
      </c>
      <c r="O128" s="5">
        <v>2</v>
      </c>
      <c r="P128" s="5">
        <f>ROUND(Source!DH125,O128)</f>
        <v>0</v>
      </c>
      <c r="Q128" s="5"/>
      <c r="R128" s="5"/>
      <c r="S128" s="5"/>
      <c r="T128" s="5"/>
      <c r="U128" s="5"/>
      <c r="V128" s="5"/>
      <c r="W128" s="5">
        <v>0</v>
      </c>
      <c r="X128" s="5">
        <v>1</v>
      </c>
      <c r="Y128" s="5">
        <v>0</v>
      </c>
      <c r="Z128" s="5">
        <v>0</v>
      </c>
      <c r="AA128" s="5">
        <v>1</v>
      </c>
      <c r="AB128" s="5">
        <v>0</v>
      </c>
    </row>
    <row r="129" spans="1:28" ht="13" x14ac:dyDescent="0.3">
      <c r="A129" s="5">
        <v>50</v>
      </c>
      <c r="B129" s="5">
        <v>0</v>
      </c>
      <c r="C129" s="5">
        <v>0</v>
      </c>
      <c r="D129" s="5">
        <v>1</v>
      </c>
      <c r="E129" s="5">
        <v>222</v>
      </c>
      <c r="F129" s="5">
        <f>ROUND(Source!AO125,O129)</f>
        <v>0</v>
      </c>
      <c r="G129" s="5" t="s">
        <v>96</v>
      </c>
      <c r="H129" s="5" t="s">
        <v>97</v>
      </c>
      <c r="I129" s="5"/>
      <c r="J129" s="5"/>
      <c r="K129" s="5">
        <v>222</v>
      </c>
      <c r="L129" s="5">
        <v>3</v>
      </c>
      <c r="M129" s="5">
        <v>3</v>
      </c>
      <c r="N129" s="5" t="s">
        <v>3</v>
      </c>
      <c r="O129" s="5">
        <v>2</v>
      </c>
      <c r="P129" s="5">
        <f>ROUND(Source!EG125,O129)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28" ht="13" x14ac:dyDescent="0.3">
      <c r="A130" s="5">
        <v>50</v>
      </c>
      <c r="B130" s="5">
        <v>0</v>
      </c>
      <c r="C130" s="5">
        <v>0</v>
      </c>
      <c r="D130" s="5">
        <v>1</v>
      </c>
      <c r="E130" s="5">
        <v>225</v>
      </c>
      <c r="F130" s="5">
        <f>ROUND(Source!AV125,O130)</f>
        <v>0</v>
      </c>
      <c r="G130" s="5" t="s">
        <v>98</v>
      </c>
      <c r="H130" s="5" t="s">
        <v>99</v>
      </c>
      <c r="I130" s="5"/>
      <c r="J130" s="5"/>
      <c r="K130" s="5">
        <v>225</v>
      </c>
      <c r="L130" s="5">
        <v>4</v>
      </c>
      <c r="M130" s="5">
        <v>3</v>
      </c>
      <c r="N130" s="5" t="s">
        <v>3</v>
      </c>
      <c r="O130" s="5">
        <v>2</v>
      </c>
      <c r="P130" s="5">
        <f>ROUND(Source!EN125,O130)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8" ht="13" x14ac:dyDescent="0.3">
      <c r="A131" s="5">
        <v>50</v>
      </c>
      <c r="B131" s="5">
        <v>0</v>
      </c>
      <c r="C131" s="5">
        <v>0</v>
      </c>
      <c r="D131" s="5">
        <v>1</v>
      </c>
      <c r="E131" s="5">
        <v>226</v>
      </c>
      <c r="F131" s="5">
        <f>ROUND(Source!AW125,O131)</f>
        <v>0</v>
      </c>
      <c r="G131" s="5" t="s">
        <v>100</v>
      </c>
      <c r="H131" s="5" t="s">
        <v>101</v>
      </c>
      <c r="I131" s="5"/>
      <c r="J131" s="5"/>
      <c r="K131" s="5">
        <v>226</v>
      </c>
      <c r="L131" s="5">
        <v>5</v>
      </c>
      <c r="M131" s="5">
        <v>3</v>
      </c>
      <c r="N131" s="5" t="s">
        <v>3</v>
      </c>
      <c r="O131" s="5">
        <v>2</v>
      </c>
      <c r="P131" s="5">
        <f>ROUND(Source!EO125,O131)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8" ht="13" x14ac:dyDescent="0.3">
      <c r="A132" s="5">
        <v>50</v>
      </c>
      <c r="B132" s="5">
        <v>0</v>
      </c>
      <c r="C132" s="5">
        <v>0</v>
      </c>
      <c r="D132" s="5">
        <v>1</v>
      </c>
      <c r="E132" s="5">
        <v>227</v>
      </c>
      <c r="F132" s="5">
        <f>ROUND(Source!AX125,O132)</f>
        <v>0</v>
      </c>
      <c r="G132" s="5" t="s">
        <v>102</v>
      </c>
      <c r="H132" s="5" t="s">
        <v>103</v>
      </c>
      <c r="I132" s="5"/>
      <c r="J132" s="5"/>
      <c r="K132" s="5">
        <v>227</v>
      </c>
      <c r="L132" s="5">
        <v>6</v>
      </c>
      <c r="M132" s="5">
        <v>3</v>
      </c>
      <c r="N132" s="5" t="s">
        <v>3</v>
      </c>
      <c r="O132" s="5">
        <v>2</v>
      </c>
      <c r="P132" s="5">
        <f>ROUND(Source!EP125,O132)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28" ht="13" x14ac:dyDescent="0.3">
      <c r="A133" s="5">
        <v>50</v>
      </c>
      <c r="B133" s="5">
        <v>0</v>
      </c>
      <c r="C133" s="5">
        <v>0</v>
      </c>
      <c r="D133" s="5">
        <v>1</v>
      </c>
      <c r="E133" s="5">
        <v>228</v>
      </c>
      <c r="F133" s="5">
        <f>ROUND(Source!AY125,O133)</f>
        <v>0</v>
      </c>
      <c r="G133" s="5" t="s">
        <v>104</v>
      </c>
      <c r="H133" s="5" t="s">
        <v>105</v>
      </c>
      <c r="I133" s="5"/>
      <c r="J133" s="5"/>
      <c r="K133" s="5">
        <v>228</v>
      </c>
      <c r="L133" s="5">
        <v>7</v>
      </c>
      <c r="M133" s="5">
        <v>3</v>
      </c>
      <c r="N133" s="5" t="s">
        <v>3</v>
      </c>
      <c r="O133" s="5">
        <v>2</v>
      </c>
      <c r="P133" s="5">
        <f>ROUND(Source!EQ125,O133)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28" ht="13" x14ac:dyDescent="0.3">
      <c r="A134" s="5">
        <v>50</v>
      </c>
      <c r="B134" s="5">
        <v>0</v>
      </c>
      <c r="C134" s="5">
        <v>0</v>
      </c>
      <c r="D134" s="5">
        <v>1</v>
      </c>
      <c r="E134" s="5">
        <v>216</v>
      </c>
      <c r="F134" s="5">
        <f>ROUND(Source!AP125,O134)</f>
        <v>0</v>
      </c>
      <c r="G134" s="5" t="s">
        <v>106</v>
      </c>
      <c r="H134" s="5" t="s">
        <v>107</v>
      </c>
      <c r="I134" s="5"/>
      <c r="J134" s="5"/>
      <c r="K134" s="5">
        <v>216</v>
      </c>
      <c r="L134" s="5">
        <v>8</v>
      </c>
      <c r="M134" s="5">
        <v>3</v>
      </c>
      <c r="N134" s="5" t="s">
        <v>3</v>
      </c>
      <c r="O134" s="5">
        <v>2</v>
      </c>
      <c r="P134" s="5">
        <f>ROUND(Source!EH125,O134)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8" ht="13" x14ac:dyDescent="0.3">
      <c r="A135" s="5">
        <v>50</v>
      </c>
      <c r="B135" s="5">
        <v>0</v>
      </c>
      <c r="C135" s="5">
        <v>0</v>
      </c>
      <c r="D135" s="5">
        <v>1</v>
      </c>
      <c r="E135" s="5">
        <v>223</v>
      </c>
      <c r="F135" s="5">
        <f>ROUND(Source!AQ125,O135)</f>
        <v>0</v>
      </c>
      <c r="G135" s="5" t="s">
        <v>108</v>
      </c>
      <c r="H135" s="5" t="s">
        <v>109</v>
      </c>
      <c r="I135" s="5"/>
      <c r="J135" s="5"/>
      <c r="K135" s="5">
        <v>223</v>
      </c>
      <c r="L135" s="5">
        <v>9</v>
      </c>
      <c r="M135" s="5">
        <v>3</v>
      </c>
      <c r="N135" s="5" t="s">
        <v>3</v>
      </c>
      <c r="O135" s="5">
        <v>2</v>
      </c>
      <c r="P135" s="5">
        <f>ROUND(Source!EI125,O135)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8" ht="13" x14ac:dyDescent="0.3">
      <c r="A136" s="5">
        <v>50</v>
      </c>
      <c r="B136" s="5">
        <v>0</v>
      </c>
      <c r="C136" s="5">
        <v>0</v>
      </c>
      <c r="D136" s="5">
        <v>1</v>
      </c>
      <c r="E136" s="5">
        <v>229</v>
      </c>
      <c r="F136" s="5">
        <f>ROUND(Source!AZ125,O136)</f>
        <v>0</v>
      </c>
      <c r="G136" s="5" t="s">
        <v>110</v>
      </c>
      <c r="H136" s="5" t="s">
        <v>111</v>
      </c>
      <c r="I136" s="5"/>
      <c r="J136" s="5"/>
      <c r="K136" s="5">
        <v>229</v>
      </c>
      <c r="L136" s="5">
        <v>10</v>
      </c>
      <c r="M136" s="5">
        <v>3</v>
      </c>
      <c r="N136" s="5" t="s">
        <v>3</v>
      </c>
      <c r="O136" s="5">
        <v>2</v>
      </c>
      <c r="P136" s="5">
        <f>ROUND(Source!ER125,O136)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28" ht="13" x14ac:dyDescent="0.3">
      <c r="A137" s="5">
        <v>50</v>
      </c>
      <c r="B137" s="5">
        <v>0</v>
      </c>
      <c r="C137" s="5">
        <v>0</v>
      </c>
      <c r="D137" s="5">
        <v>1</v>
      </c>
      <c r="E137" s="5">
        <v>203</v>
      </c>
      <c r="F137" s="5">
        <f>ROUND(Source!Q125,O137)</f>
        <v>96538.04</v>
      </c>
      <c r="G137" s="5" t="s">
        <v>112</v>
      </c>
      <c r="H137" s="5" t="s">
        <v>113</v>
      </c>
      <c r="I137" s="5"/>
      <c r="J137" s="5"/>
      <c r="K137" s="5">
        <v>203</v>
      </c>
      <c r="L137" s="5">
        <v>11</v>
      </c>
      <c r="M137" s="5">
        <v>3</v>
      </c>
      <c r="N137" s="5" t="s">
        <v>3</v>
      </c>
      <c r="O137" s="5">
        <v>2</v>
      </c>
      <c r="P137" s="5">
        <f>ROUND(Source!DI125,O137)</f>
        <v>961161.92</v>
      </c>
      <c r="Q137" s="5"/>
      <c r="R137" s="5"/>
      <c r="S137" s="5"/>
      <c r="T137" s="5"/>
      <c r="U137" s="5"/>
      <c r="V137" s="5"/>
      <c r="W137" s="5">
        <v>96538.04</v>
      </c>
      <c r="X137" s="5">
        <v>1</v>
      </c>
      <c r="Y137" s="5">
        <v>96538.04</v>
      </c>
      <c r="Z137" s="5">
        <v>961161.92</v>
      </c>
      <c r="AA137" s="5">
        <v>1</v>
      </c>
      <c r="AB137" s="5">
        <v>961161.92</v>
      </c>
    </row>
    <row r="138" spans="1:28" ht="13" x14ac:dyDescent="0.3">
      <c r="A138" s="5">
        <v>50</v>
      </c>
      <c r="B138" s="5">
        <v>0</v>
      </c>
      <c r="C138" s="5">
        <v>0</v>
      </c>
      <c r="D138" s="5">
        <v>1</v>
      </c>
      <c r="E138" s="5">
        <v>231</v>
      </c>
      <c r="F138" s="5">
        <f>ROUND(Source!BB125,O138)</f>
        <v>0</v>
      </c>
      <c r="G138" s="5" t="s">
        <v>114</v>
      </c>
      <c r="H138" s="5" t="s">
        <v>115</v>
      </c>
      <c r="I138" s="5"/>
      <c r="J138" s="5"/>
      <c r="K138" s="5">
        <v>231</v>
      </c>
      <c r="L138" s="5">
        <v>12</v>
      </c>
      <c r="M138" s="5">
        <v>3</v>
      </c>
      <c r="N138" s="5" t="s">
        <v>3</v>
      </c>
      <c r="O138" s="5">
        <v>2</v>
      </c>
      <c r="P138" s="5">
        <f>ROUND(Source!ET125,O138)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8" ht="13" x14ac:dyDescent="0.3">
      <c r="A139" s="5">
        <v>50</v>
      </c>
      <c r="B139" s="5">
        <v>0</v>
      </c>
      <c r="C139" s="5">
        <v>0</v>
      </c>
      <c r="D139" s="5">
        <v>1</v>
      </c>
      <c r="E139" s="5">
        <v>204</v>
      </c>
      <c r="F139" s="5">
        <f>ROUND(Source!R125,O139)</f>
        <v>0</v>
      </c>
      <c r="G139" s="5" t="s">
        <v>116</v>
      </c>
      <c r="H139" s="5" t="s">
        <v>117</v>
      </c>
      <c r="I139" s="5"/>
      <c r="J139" s="5"/>
      <c r="K139" s="5">
        <v>204</v>
      </c>
      <c r="L139" s="5">
        <v>13</v>
      </c>
      <c r="M139" s="5">
        <v>3</v>
      </c>
      <c r="N139" s="5" t="s">
        <v>3</v>
      </c>
      <c r="O139" s="5">
        <v>2</v>
      </c>
      <c r="P139" s="5">
        <f>ROUND(Source!DJ125,O139)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8" ht="13" x14ac:dyDescent="0.3">
      <c r="A140" s="5">
        <v>50</v>
      </c>
      <c r="B140" s="5">
        <v>0</v>
      </c>
      <c r="C140" s="5">
        <v>0</v>
      </c>
      <c r="D140" s="5">
        <v>1</v>
      </c>
      <c r="E140" s="5">
        <v>205</v>
      </c>
      <c r="F140" s="5">
        <f>ROUND(Source!S125,O140)</f>
        <v>0</v>
      </c>
      <c r="G140" s="5" t="s">
        <v>118</v>
      </c>
      <c r="H140" s="5" t="s">
        <v>119</v>
      </c>
      <c r="I140" s="5"/>
      <c r="J140" s="5"/>
      <c r="K140" s="5">
        <v>205</v>
      </c>
      <c r="L140" s="5">
        <v>14</v>
      </c>
      <c r="M140" s="5">
        <v>3</v>
      </c>
      <c r="N140" s="5" t="s">
        <v>3</v>
      </c>
      <c r="O140" s="5">
        <v>2</v>
      </c>
      <c r="P140" s="5">
        <f>ROUND(Source!DK125,O140)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28" ht="13" x14ac:dyDescent="0.3">
      <c r="A141" s="5">
        <v>50</v>
      </c>
      <c r="B141" s="5">
        <v>0</v>
      </c>
      <c r="C141" s="5">
        <v>0</v>
      </c>
      <c r="D141" s="5">
        <v>1</v>
      </c>
      <c r="E141" s="5">
        <v>232</v>
      </c>
      <c r="F141" s="5">
        <f>ROUND(Source!BC125,O141)</f>
        <v>0</v>
      </c>
      <c r="G141" s="5" t="s">
        <v>120</v>
      </c>
      <c r="H141" s="5" t="s">
        <v>121</v>
      </c>
      <c r="I141" s="5"/>
      <c r="J141" s="5"/>
      <c r="K141" s="5">
        <v>232</v>
      </c>
      <c r="L141" s="5">
        <v>15</v>
      </c>
      <c r="M141" s="5">
        <v>3</v>
      </c>
      <c r="N141" s="5" t="s">
        <v>3</v>
      </c>
      <c r="O141" s="5">
        <v>2</v>
      </c>
      <c r="P141" s="5">
        <f>ROUND(Source!EU125,O141)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8" ht="13" x14ac:dyDescent="0.3">
      <c r="A142" s="5">
        <v>50</v>
      </c>
      <c r="B142" s="5">
        <v>0</v>
      </c>
      <c r="C142" s="5">
        <v>0</v>
      </c>
      <c r="D142" s="5">
        <v>1</v>
      </c>
      <c r="E142" s="5">
        <v>214</v>
      </c>
      <c r="F142" s="5">
        <f>ROUND(Source!AS125,O142)</f>
        <v>0</v>
      </c>
      <c r="G142" s="5" t="s">
        <v>122</v>
      </c>
      <c r="H142" s="5" t="s">
        <v>123</v>
      </c>
      <c r="I142" s="5"/>
      <c r="J142" s="5"/>
      <c r="K142" s="5">
        <v>214</v>
      </c>
      <c r="L142" s="5">
        <v>16</v>
      </c>
      <c r="M142" s="5">
        <v>3</v>
      </c>
      <c r="N142" s="5" t="s">
        <v>3</v>
      </c>
      <c r="O142" s="5">
        <v>2</v>
      </c>
      <c r="P142" s="5">
        <f>ROUND(Source!EK125,O142)</f>
        <v>0</v>
      </c>
      <c r="Q142" s="5"/>
      <c r="R142" s="5"/>
      <c r="S142" s="5"/>
      <c r="T142" s="5"/>
      <c r="U142" s="5"/>
      <c r="V142" s="5"/>
      <c r="W142" s="5">
        <v>0</v>
      </c>
      <c r="X142" s="5">
        <v>1</v>
      </c>
      <c r="Y142" s="5">
        <v>0</v>
      </c>
      <c r="Z142" s="5">
        <v>0</v>
      </c>
      <c r="AA142" s="5">
        <v>1</v>
      </c>
      <c r="AB142" s="5">
        <v>0</v>
      </c>
    </row>
    <row r="143" spans="1:28" ht="13" x14ac:dyDescent="0.3">
      <c r="A143" s="5">
        <v>50</v>
      </c>
      <c r="B143" s="5">
        <v>0</v>
      </c>
      <c r="C143" s="5">
        <v>0</v>
      </c>
      <c r="D143" s="5">
        <v>1</v>
      </c>
      <c r="E143" s="5">
        <v>215</v>
      </c>
      <c r="F143" s="5">
        <f>ROUND(Source!AT125,O143)</f>
        <v>0</v>
      </c>
      <c r="G143" s="5" t="s">
        <v>124</v>
      </c>
      <c r="H143" s="5" t="s">
        <v>125</v>
      </c>
      <c r="I143" s="5"/>
      <c r="J143" s="5"/>
      <c r="K143" s="5">
        <v>215</v>
      </c>
      <c r="L143" s="5">
        <v>17</v>
      </c>
      <c r="M143" s="5">
        <v>3</v>
      </c>
      <c r="N143" s="5" t="s">
        <v>3</v>
      </c>
      <c r="O143" s="5">
        <v>2</v>
      </c>
      <c r="P143" s="5">
        <f>ROUND(Source!EL125,O143)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8" ht="13" x14ac:dyDescent="0.3">
      <c r="A144" s="5">
        <v>50</v>
      </c>
      <c r="B144" s="5">
        <v>0</v>
      </c>
      <c r="C144" s="5">
        <v>0</v>
      </c>
      <c r="D144" s="5">
        <v>1</v>
      </c>
      <c r="E144" s="5">
        <v>217</v>
      </c>
      <c r="F144" s="5">
        <f>ROUND(Source!AU125,O144)</f>
        <v>96538.04</v>
      </c>
      <c r="G144" s="5" t="s">
        <v>126</v>
      </c>
      <c r="H144" s="5" t="s">
        <v>127</v>
      </c>
      <c r="I144" s="5"/>
      <c r="J144" s="5"/>
      <c r="K144" s="5">
        <v>217</v>
      </c>
      <c r="L144" s="5">
        <v>18</v>
      </c>
      <c r="M144" s="5">
        <v>3</v>
      </c>
      <c r="N144" s="5" t="s">
        <v>3</v>
      </c>
      <c r="O144" s="5">
        <v>2</v>
      </c>
      <c r="P144" s="5">
        <f>ROUND(Source!EM125,O144)</f>
        <v>961161.92</v>
      </c>
      <c r="Q144" s="5"/>
      <c r="R144" s="5"/>
      <c r="S144" s="5"/>
      <c r="T144" s="5"/>
      <c r="U144" s="5"/>
      <c r="V144" s="5"/>
      <c r="W144" s="5">
        <v>96538.04</v>
      </c>
      <c r="X144" s="5">
        <v>1</v>
      </c>
      <c r="Y144" s="5">
        <v>96538.04</v>
      </c>
      <c r="Z144" s="5">
        <v>961161.92</v>
      </c>
      <c r="AA144" s="5">
        <v>1</v>
      </c>
      <c r="AB144" s="5">
        <v>961161.92</v>
      </c>
    </row>
    <row r="145" spans="1:28" ht="13" x14ac:dyDescent="0.3">
      <c r="A145" s="5">
        <v>50</v>
      </c>
      <c r="B145" s="5">
        <v>0</v>
      </c>
      <c r="C145" s="5">
        <v>0</v>
      </c>
      <c r="D145" s="5">
        <v>1</v>
      </c>
      <c r="E145" s="5">
        <v>230</v>
      </c>
      <c r="F145" s="5">
        <f>ROUND(Source!BA125,O145)</f>
        <v>0</v>
      </c>
      <c r="G145" s="5" t="s">
        <v>128</v>
      </c>
      <c r="H145" s="5" t="s">
        <v>129</v>
      </c>
      <c r="I145" s="5"/>
      <c r="J145" s="5"/>
      <c r="K145" s="5">
        <v>230</v>
      </c>
      <c r="L145" s="5">
        <v>19</v>
      </c>
      <c r="M145" s="5">
        <v>3</v>
      </c>
      <c r="N145" s="5" t="s">
        <v>3</v>
      </c>
      <c r="O145" s="5">
        <v>2</v>
      </c>
      <c r="P145" s="5">
        <f>ROUND(Source!ES125,O145)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6" spans="1:28" ht="13" x14ac:dyDescent="0.3">
      <c r="A146" s="5">
        <v>50</v>
      </c>
      <c r="B146" s="5">
        <v>0</v>
      </c>
      <c r="C146" s="5">
        <v>0</v>
      </c>
      <c r="D146" s="5">
        <v>1</v>
      </c>
      <c r="E146" s="5">
        <v>206</v>
      </c>
      <c r="F146" s="5">
        <f>ROUND(Source!T125,O146)</f>
        <v>0</v>
      </c>
      <c r="G146" s="5" t="s">
        <v>130</v>
      </c>
      <c r="H146" s="5" t="s">
        <v>131</v>
      </c>
      <c r="I146" s="5"/>
      <c r="J146" s="5"/>
      <c r="K146" s="5">
        <v>206</v>
      </c>
      <c r="L146" s="5">
        <v>20</v>
      </c>
      <c r="M146" s="5">
        <v>3</v>
      </c>
      <c r="N146" s="5" t="s">
        <v>3</v>
      </c>
      <c r="O146" s="5">
        <v>2</v>
      </c>
      <c r="P146" s="5">
        <f>ROUND(Source!DL125,O146)</f>
        <v>0</v>
      </c>
      <c r="Q146" s="5"/>
      <c r="R146" s="5"/>
      <c r="S146" s="5"/>
      <c r="T146" s="5"/>
      <c r="U146" s="5"/>
      <c r="V146" s="5"/>
      <c r="W146" s="5">
        <v>0</v>
      </c>
      <c r="X146" s="5">
        <v>1</v>
      </c>
      <c r="Y146" s="5">
        <v>0</v>
      </c>
      <c r="Z146" s="5">
        <v>0</v>
      </c>
      <c r="AA146" s="5">
        <v>1</v>
      </c>
      <c r="AB146" s="5">
        <v>0</v>
      </c>
    </row>
    <row r="147" spans="1:28" ht="13" x14ac:dyDescent="0.3">
      <c r="A147" s="5">
        <v>50</v>
      </c>
      <c r="B147" s="5">
        <v>0</v>
      </c>
      <c r="C147" s="5">
        <v>0</v>
      </c>
      <c r="D147" s="5">
        <v>1</v>
      </c>
      <c r="E147" s="5">
        <v>207</v>
      </c>
      <c r="F147" s="5">
        <f>Source!U125</f>
        <v>0</v>
      </c>
      <c r="G147" s="5" t="s">
        <v>132</v>
      </c>
      <c r="H147" s="5" t="s">
        <v>133</v>
      </c>
      <c r="I147" s="5"/>
      <c r="J147" s="5"/>
      <c r="K147" s="5">
        <v>207</v>
      </c>
      <c r="L147" s="5">
        <v>21</v>
      </c>
      <c r="M147" s="5">
        <v>3</v>
      </c>
      <c r="N147" s="5" t="s">
        <v>3</v>
      </c>
      <c r="O147" s="5">
        <v>-1</v>
      </c>
      <c r="P147" s="5">
        <f>Source!DM125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8" ht="13" x14ac:dyDescent="0.3">
      <c r="A148" s="5">
        <v>50</v>
      </c>
      <c r="B148" s="5">
        <v>0</v>
      </c>
      <c r="C148" s="5">
        <v>0</v>
      </c>
      <c r="D148" s="5">
        <v>1</v>
      </c>
      <c r="E148" s="5">
        <v>208</v>
      </c>
      <c r="F148" s="5">
        <f>Source!V125</f>
        <v>0</v>
      </c>
      <c r="G148" s="5" t="s">
        <v>134</v>
      </c>
      <c r="H148" s="5" t="s">
        <v>135</v>
      </c>
      <c r="I148" s="5"/>
      <c r="J148" s="5"/>
      <c r="K148" s="5">
        <v>208</v>
      </c>
      <c r="L148" s="5">
        <v>22</v>
      </c>
      <c r="M148" s="5">
        <v>3</v>
      </c>
      <c r="N148" s="5" t="s">
        <v>3</v>
      </c>
      <c r="O148" s="5">
        <v>-1</v>
      </c>
      <c r="P148" s="5">
        <f>Source!DN125</f>
        <v>0</v>
      </c>
      <c r="Q148" s="5"/>
      <c r="R148" s="5"/>
      <c r="S148" s="5"/>
      <c r="T148" s="5"/>
      <c r="U148" s="5"/>
      <c r="V148" s="5"/>
      <c r="W148" s="5">
        <v>0</v>
      </c>
      <c r="X148" s="5">
        <v>1</v>
      </c>
      <c r="Y148" s="5">
        <v>0</v>
      </c>
      <c r="Z148" s="5">
        <v>0</v>
      </c>
      <c r="AA148" s="5">
        <v>1</v>
      </c>
      <c r="AB148" s="5">
        <v>0</v>
      </c>
    </row>
    <row r="149" spans="1:28" ht="13" x14ac:dyDescent="0.3">
      <c r="A149" s="5">
        <v>50</v>
      </c>
      <c r="B149" s="5">
        <v>0</v>
      </c>
      <c r="C149" s="5">
        <v>0</v>
      </c>
      <c r="D149" s="5">
        <v>1</v>
      </c>
      <c r="E149" s="5">
        <v>209</v>
      </c>
      <c r="F149" s="5">
        <f>ROUND(Source!W125,O149)</f>
        <v>0</v>
      </c>
      <c r="G149" s="5" t="s">
        <v>136</v>
      </c>
      <c r="H149" s="5" t="s">
        <v>137</v>
      </c>
      <c r="I149" s="5"/>
      <c r="J149" s="5"/>
      <c r="K149" s="5">
        <v>209</v>
      </c>
      <c r="L149" s="5">
        <v>23</v>
      </c>
      <c r="M149" s="5">
        <v>3</v>
      </c>
      <c r="N149" s="5" t="s">
        <v>3</v>
      </c>
      <c r="O149" s="5">
        <v>2</v>
      </c>
      <c r="P149" s="5">
        <f>ROUND(Source!DO125,O149)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8" ht="13" x14ac:dyDescent="0.3">
      <c r="A150" s="5">
        <v>50</v>
      </c>
      <c r="B150" s="5">
        <v>0</v>
      </c>
      <c r="C150" s="5">
        <v>0</v>
      </c>
      <c r="D150" s="5">
        <v>1</v>
      </c>
      <c r="E150" s="5">
        <v>233</v>
      </c>
      <c r="F150" s="5">
        <f>ROUND(Source!BD125,O150)</f>
        <v>0</v>
      </c>
      <c r="G150" s="5" t="s">
        <v>138</v>
      </c>
      <c r="H150" s="5" t="s">
        <v>139</v>
      </c>
      <c r="I150" s="5"/>
      <c r="J150" s="5"/>
      <c r="K150" s="5">
        <v>233</v>
      </c>
      <c r="L150" s="5">
        <v>24</v>
      </c>
      <c r="M150" s="5">
        <v>3</v>
      </c>
      <c r="N150" s="5" t="s">
        <v>3</v>
      </c>
      <c r="O150" s="5">
        <v>2</v>
      </c>
      <c r="P150" s="5">
        <f>ROUND(Source!EV125,O150)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8" ht="13" x14ac:dyDescent="0.3">
      <c r="A151" s="5">
        <v>50</v>
      </c>
      <c r="B151" s="5">
        <v>0</v>
      </c>
      <c r="C151" s="5">
        <v>0</v>
      </c>
      <c r="D151" s="5">
        <v>1</v>
      </c>
      <c r="E151" s="5">
        <v>210</v>
      </c>
      <c r="F151" s="5">
        <f>ROUND(Source!X125,O151)</f>
        <v>0</v>
      </c>
      <c r="G151" s="5" t="s">
        <v>140</v>
      </c>
      <c r="H151" s="5" t="s">
        <v>141</v>
      </c>
      <c r="I151" s="5"/>
      <c r="J151" s="5"/>
      <c r="K151" s="5">
        <v>210</v>
      </c>
      <c r="L151" s="5">
        <v>25</v>
      </c>
      <c r="M151" s="5">
        <v>3</v>
      </c>
      <c r="N151" s="5" t="s">
        <v>3</v>
      </c>
      <c r="O151" s="5">
        <v>2</v>
      </c>
      <c r="P151" s="5">
        <f>ROUND(Source!DP125,O151)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ht="13" x14ac:dyDescent="0.3">
      <c r="A152" s="5">
        <v>50</v>
      </c>
      <c r="B152" s="5">
        <v>0</v>
      </c>
      <c r="C152" s="5">
        <v>0</v>
      </c>
      <c r="D152" s="5">
        <v>1</v>
      </c>
      <c r="E152" s="5">
        <v>211</v>
      </c>
      <c r="F152" s="5">
        <f>ROUND(Source!Y125,O152)</f>
        <v>0</v>
      </c>
      <c r="G152" s="5" t="s">
        <v>142</v>
      </c>
      <c r="H152" s="5" t="s">
        <v>143</v>
      </c>
      <c r="I152" s="5"/>
      <c r="J152" s="5"/>
      <c r="K152" s="5">
        <v>211</v>
      </c>
      <c r="L152" s="5">
        <v>26</v>
      </c>
      <c r="M152" s="5">
        <v>3</v>
      </c>
      <c r="N152" s="5" t="s">
        <v>3</v>
      </c>
      <c r="O152" s="5">
        <v>2</v>
      </c>
      <c r="P152" s="5">
        <f>ROUND(Source!DQ125,O152)</f>
        <v>0</v>
      </c>
      <c r="Q152" s="5"/>
      <c r="R152" s="5"/>
      <c r="S152" s="5"/>
      <c r="T152" s="5"/>
      <c r="U152" s="5"/>
      <c r="V152" s="5"/>
      <c r="W152" s="5">
        <v>0</v>
      </c>
      <c r="X152" s="5">
        <v>1</v>
      </c>
      <c r="Y152" s="5">
        <v>0</v>
      </c>
      <c r="Z152" s="5">
        <v>0</v>
      </c>
      <c r="AA152" s="5">
        <v>1</v>
      </c>
      <c r="AB152" s="5">
        <v>0</v>
      </c>
    </row>
    <row r="153" spans="1:28" ht="13" x14ac:dyDescent="0.3">
      <c r="A153" s="5">
        <v>50</v>
      </c>
      <c r="B153" s="5">
        <v>0</v>
      </c>
      <c r="C153" s="5">
        <v>0</v>
      </c>
      <c r="D153" s="5">
        <v>1</v>
      </c>
      <c r="E153" s="5">
        <v>224</v>
      </c>
      <c r="F153" s="5">
        <f>ROUND(Source!AR125,O153)</f>
        <v>96538.04</v>
      </c>
      <c r="G153" s="5" t="s">
        <v>144</v>
      </c>
      <c r="H153" s="5" t="s">
        <v>145</v>
      </c>
      <c r="I153" s="5"/>
      <c r="J153" s="5"/>
      <c r="K153" s="5">
        <v>224</v>
      </c>
      <c r="L153" s="5">
        <v>27</v>
      </c>
      <c r="M153" s="5">
        <v>3</v>
      </c>
      <c r="N153" s="5" t="s">
        <v>3</v>
      </c>
      <c r="O153" s="5">
        <v>2</v>
      </c>
      <c r="P153" s="5">
        <f>ROUND(Source!EJ125,O153)</f>
        <v>961161.92</v>
      </c>
      <c r="Q153" s="5"/>
      <c r="R153" s="5"/>
      <c r="S153" s="5"/>
      <c r="T153" s="5"/>
      <c r="U153" s="5"/>
      <c r="V153" s="5"/>
      <c r="W153" s="5">
        <v>96538.04</v>
      </c>
      <c r="X153" s="5">
        <v>1</v>
      </c>
      <c r="Y153" s="5">
        <v>96538.04</v>
      </c>
      <c r="Z153" s="5">
        <v>961161.92</v>
      </c>
      <c r="AA153" s="5">
        <v>1</v>
      </c>
      <c r="AB153" s="5">
        <v>961161.92</v>
      </c>
    </row>
    <row r="156" spans="1:28" x14ac:dyDescent="0.25">
      <c r="A156">
        <v>70</v>
      </c>
      <c r="B156">
        <v>1</v>
      </c>
      <c r="D156">
        <v>1</v>
      </c>
      <c r="E156" t="s">
        <v>146</v>
      </c>
      <c r="F156" t="s">
        <v>147</v>
      </c>
      <c r="G156">
        <v>0</v>
      </c>
      <c r="H156">
        <v>0</v>
      </c>
      <c r="I156" t="s">
        <v>3</v>
      </c>
      <c r="J156">
        <v>1</v>
      </c>
      <c r="K156">
        <v>0</v>
      </c>
      <c r="L156" t="s">
        <v>3</v>
      </c>
      <c r="M156" t="s">
        <v>3</v>
      </c>
      <c r="N156">
        <v>0</v>
      </c>
      <c r="O156">
        <v>0</v>
      </c>
      <c r="P156" t="s">
        <v>3</v>
      </c>
    </row>
    <row r="157" spans="1:28" x14ac:dyDescent="0.25">
      <c r="A157">
        <v>70</v>
      </c>
      <c r="B157">
        <v>1</v>
      </c>
      <c r="D157">
        <v>2</v>
      </c>
      <c r="E157" t="s">
        <v>148</v>
      </c>
      <c r="F157" t="s">
        <v>149</v>
      </c>
      <c r="G157">
        <v>1</v>
      </c>
      <c r="H157">
        <v>0</v>
      </c>
      <c r="I157" t="s">
        <v>3</v>
      </c>
      <c r="J157">
        <v>1</v>
      </c>
      <c r="K157">
        <v>0</v>
      </c>
      <c r="L157" t="s">
        <v>3</v>
      </c>
      <c r="M157" t="s">
        <v>3</v>
      </c>
      <c r="N157">
        <v>0</v>
      </c>
      <c r="O157">
        <v>1</v>
      </c>
      <c r="P157" t="s">
        <v>3</v>
      </c>
    </row>
    <row r="158" spans="1:28" x14ac:dyDescent="0.25">
      <c r="A158">
        <v>70</v>
      </c>
      <c r="B158">
        <v>1</v>
      </c>
      <c r="D158">
        <v>3</v>
      </c>
      <c r="E158" t="s">
        <v>150</v>
      </c>
      <c r="F158" t="s">
        <v>151</v>
      </c>
      <c r="G158">
        <v>1</v>
      </c>
      <c r="H158">
        <v>0</v>
      </c>
      <c r="I158" t="s">
        <v>3</v>
      </c>
      <c r="J158">
        <v>0</v>
      </c>
      <c r="K158">
        <v>0</v>
      </c>
      <c r="L158" t="s">
        <v>3</v>
      </c>
      <c r="M158" t="s">
        <v>3</v>
      </c>
      <c r="N158">
        <v>0</v>
      </c>
      <c r="O158">
        <v>1</v>
      </c>
      <c r="P158" t="s">
        <v>3</v>
      </c>
    </row>
    <row r="159" spans="1:28" x14ac:dyDescent="0.25">
      <c r="A159">
        <v>70</v>
      </c>
      <c r="B159">
        <v>1</v>
      </c>
      <c r="D159">
        <v>4</v>
      </c>
      <c r="E159" t="s">
        <v>152</v>
      </c>
      <c r="F159" t="s">
        <v>153</v>
      </c>
      <c r="G159">
        <v>1</v>
      </c>
      <c r="H159">
        <v>0</v>
      </c>
      <c r="I159" t="s">
        <v>3</v>
      </c>
      <c r="J159">
        <v>0</v>
      </c>
      <c r="K159">
        <v>0</v>
      </c>
      <c r="L159" t="s">
        <v>3</v>
      </c>
      <c r="M159" t="s">
        <v>3</v>
      </c>
      <c r="N159">
        <v>0</v>
      </c>
      <c r="O159">
        <v>1</v>
      </c>
      <c r="P159" t="s">
        <v>3</v>
      </c>
    </row>
    <row r="160" spans="1:28" x14ac:dyDescent="0.25">
      <c r="A160">
        <v>70</v>
      </c>
      <c r="B160">
        <v>1</v>
      </c>
      <c r="D160">
        <v>5</v>
      </c>
      <c r="E160" t="s">
        <v>154</v>
      </c>
      <c r="F160" t="s">
        <v>155</v>
      </c>
      <c r="G160">
        <v>0</v>
      </c>
      <c r="H160">
        <v>0</v>
      </c>
      <c r="I160" t="s">
        <v>3</v>
      </c>
      <c r="J160">
        <v>0</v>
      </c>
      <c r="K160">
        <v>0</v>
      </c>
      <c r="L160" t="s">
        <v>3</v>
      </c>
      <c r="M160" t="s">
        <v>3</v>
      </c>
      <c r="N160">
        <v>0</v>
      </c>
      <c r="O160">
        <v>0</v>
      </c>
      <c r="P160" t="s">
        <v>3</v>
      </c>
    </row>
    <row r="161" spans="1:50" x14ac:dyDescent="0.25">
      <c r="A161">
        <v>70</v>
      </c>
      <c r="B161">
        <v>1</v>
      </c>
      <c r="D161">
        <v>6</v>
      </c>
      <c r="E161" t="s">
        <v>156</v>
      </c>
      <c r="F161" t="s">
        <v>157</v>
      </c>
      <c r="G161">
        <v>0</v>
      </c>
      <c r="H161">
        <v>0</v>
      </c>
      <c r="I161" t="s">
        <v>3</v>
      </c>
      <c r="J161">
        <v>0</v>
      </c>
      <c r="K161">
        <v>0</v>
      </c>
      <c r="L161" t="s">
        <v>3</v>
      </c>
      <c r="M161" t="s">
        <v>3</v>
      </c>
      <c r="N161">
        <v>0</v>
      </c>
      <c r="O161">
        <v>0</v>
      </c>
      <c r="P161" t="s">
        <v>3</v>
      </c>
    </row>
    <row r="163" spans="1:50" x14ac:dyDescent="0.25">
      <c r="A163">
        <v>-1</v>
      </c>
    </row>
    <row r="165" spans="1:50" ht="13" x14ac:dyDescent="0.3">
      <c r="A165" s="4">
        <v>75</v>
      </c>
      <c r="B165" s="4" t="s">
        <v>158</v>
      </c>
      <c r="C165" s="4">
        <v>2025</v>
      </c>
      <c r="D165" s="4">
        <v>0</v>
      </c>
      <c r="E165" s="4">
        <v>7</v>
      </c>
      <c r="F165" s="4"/>
      <c r="G165" s="4">
        <v>0</v>
      </c>
      <c r="H165" s="4">
        <v>1</v>
      </c>
      <c r="I165" s="4">
        <v>1</v>
      </c>
      <c r="J165" s="4">
        <v>3</v>
      </c>
      <c r="K165" s="4">
        <v>0</v>
      </c>
      <c r="L165" s="4">
        <v>0</v>
      </c>
      <c r="M165" s="4">
        <v>1</v>
      </c>
      <c r="N165" s="4">
        <v>56526441</v>
      </c>
      <c r="O165" s="4">
        <v>1</v>
      </c>
    </row>
    <row r="166" spans="1:50" x14ac:dyDescent="0.25">
      <c r="A166" s="6">
        <v>1</v>
      </c>
      <c r="B166" s="6" t="s">
        <v>159</v>
      </c>
      <c r="C166" s="6" t="s">
        <v>160</v>
      </c>
      <c r="D166" s="6">
        <v>2025</v>
      </c>
      <c r="E166" s="6">
        <v>7</v>
      </c>
      <c r="F166" s="6">
        <v>1</v>
      </c>
      <c r="G166" s="6">
        <v>1</v>
      </c>
      <c r="H166" s="6">
        <v>0</v>
      </c>
      <c r="I166" s="6">
        <v>2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1</v>
      </c>
      <c r="R166" s="6" t="s">
        <v>3</v>
      </c>
      <c r="S166" s="6" t="s">
        <v>3</v>
      </c>
      <c r="T166" s="6" t="s">
        <v>3</v>
      </c>
      <c r="U166" s="6" t="s">
        <v>3</v>
      </c>
      <c r="V166" s="6" t="s">
        <v>3</v>
      </c>
      <c r="W166" s="6" t="s">
        <v>3</v>
      </c>
      <c r="X166" s="6" t="s">
        <v>3</v>
      </c>
      <c r="Y166" s="6" t="s">
        <v>3</v>
      </c>
      <c r="Z166" s="6" t="s">
        <v>3</v>
      </c>
      <c r="AA166" s="6" t="s">
        <v>161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>
        <v>56526442</v>
      </c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25">
      <c r="A167" s="6">
        <v>1</v>
      </c>
      <c r="B167" s="6" t="s">
        <v>159</v>
      </c>
      <c r="C167" s="6" t="s">
        <v>162</v>
      </c>
      <c r="D167" s="6">
        <v>2025</v>
      </c>
      <c r="E167" s="6">
        <v>7</v>
      </c>
      <c r="F167" s="6">
        <v>1</v>
      </c>
      <c r="G167" s="6">
        <v>1</v>
      </c>
      <c r="H167" s="6">
        <v>0</v>
      </c>
      <c r="I167" s="6">
        <v>2</v>
      </c>
      <c r="J167" s="6">
        <v>1</v>
      </c>
      <c r="K167" s="6">
        <v>1</v>
      </c>
      <c r="L167" s="6">
        <v>1</v>
      </c>
      <c r="M167" s="6">
        <v>1</v>
      </c>
      <c r="N167" s="6">
        <v>1</v>
      </c>
      <c r="O167" s="6">
        <v>1</v>
      </c>
      <c r="P167" s="6">
        <v>1</v>
      </c>
      <c r="Q167" s="6">
        <v>1</v>
      </c>
      <c r="R167" s="6" t="s">
        <v>3</v>
      </c>
      <c r="S167" s="6" t="s">
        <v>3</v>
      </c>
      <c r="T167" s="6" t="s">
        <v>3</v>
      </c>
      <c r="U167" s="6" t="s">
        <v>3</v>
      </c>
      <c r="V167" s="6" t="s">
        <v>3</v>
      </c>
      <c r="W167" s="6" t="s">
        <v>3</v>
      </c>
      <c r="X167" s="6" t="s">
        <v>3</v>
      </c>
      <c r="Y167" s="6" t="s">
        <v>3</v>
      </c>
      <c r="Z167" s="6" t="s">
        <v>3</v>
      </c>
      <c r="AA167" s="6" t="s">
        <v>163</v>
      </c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>
        <v>56526443</v>
      </c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ht="13" x14ac:dyDescent="0.3">
      <c r="A168" s="4">
        <v>75</v>
      </c>
      <c r="B168" s="4" t="s">
        <v>164</v>
      </c>
      <c r="C168" s="4">
        <v>2000</v>
      </c>
      <c r="D168" s="4">
        <v>0</v>
      </c>
      <c r="E168" s="4">
        <v>1</v>
      </c>
      <c r="F168" s="4">
        <v>0</v>
      </c>
      <c r="G168" s="4">
        <v>0</v>
      </c>
      <c r="H168" s="4">
        <v>1</v>
      </c>
      <c r="I168" s="4">
        <v>1</v>
      </c>
      <c r="J168" s="4">
        <v>3</v>
      </c>
      <c r="K168" s="4">
        <v>0</v>
      </c>
      <c r="L168" s="4">
        <v>0</v>
      </c>
      <c r="M168" s="4">
        <v>0</v>
      </c>
      <c r="N168" s="4">
        <v>56526439</v>
      </c>
      <c r="O168" s="4">
        <v>2</v>
      </c>
    </row>
    <row r="169" spans="1:50" x14ac:dyDescent="0.25">
      <c r="A169" s="6">
        <v>1</v>
      </c>
      <c r="B169" s="6" t="s">
        <v>159</v>
      </c>
      <c r="C169" s="6" t="s">
        <v>160</v>
      </c>
      <c r="D169" s="6">
        <v>2000</v>
      </c>
      <c r="E169" s="6">
        <v>1</v>
      </c>
      <c r="F169" s="6">
        <v>1</v>
      </c>
      <c r="G169" s="6">
        <v>1</v>
      </c>
      <c r="H169" s="6">
        <v>0</v>
      </c>
      <c r="I169" s="6">
        <v>2</v>
      </c>
      <c r="J169" s="6">
        <v>1</v>
      </c>
      <c r="K169" s="6">
        <v>1</v>
      </c>
      <c r="L169" s="6">
        <v>1</v>
      </c>
      <c r="M169" s="6">
        <v>1</v>
      </c>
      <c r="N169" s="6">
        <v>1</v>
      </c>
      <c r="O169" s="6">
        <v>1</v>
      </c>
      <c r="P169" s="6">
        <v>1</v>
      </c>
      <c r="Q169" s="6">
        <v>1</v>
      </c>
      <c r="R169" s="6" t="s">
        <v>3</v>
      </c>
      <c r="S169" s="6" t="s">
        <v>3</v>
      </c>
      <c r="T169" s="6" t="s">
        <v>3</v>
      </c>
      <c r="U169" s="6" t="s">
        <v>3</v>
      </c>
      <c r="V169" s="6" t="s">
        <v>3</v>
      </c>
      <c r="W169" s="6" t="s">
        <v>3</v>
      </c>
      <c r="X169" s="6" t="s">
        <v>3</v>
      </c>
      <c r="Y169" s="6" t="s">
        <v>3</v>
      </c>
      <c r="Z169" s="6" t="s">
        <v>3</v>
      </c>
      <c r="AA169" s="6" t="s">
        <v>3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>
        <v>56526440</v>
      </c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3" spans="1:50" x14ac:dyDescent="0.25">
      <c r="A173">
        <v>65</v>
      </c>
      <c r="C173">
        <v>1</v>
      </c>
      <c r="D173">
        <v>0</v>
      </c>
      <c r="E17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165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56526441</v>
      </c>
      <c r="E14" s="1">
        <v>56526439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17</v>
      </c>
      <c r="E16" s="8">
        <f>ROUND((Source!P112)/1000,2)</f>
        <v>0</v>
      </c>
      <c r="F16" s="8">
        <f>ROUND((Source!P113)/1000,2)</f>
        <v>0</v>
      </c>
      <c r="G16" s="8">
        <f>ROUND((Source!P104)/1000,2)</f>
        <v>0</v>
      </c>
      <c r="H16" s="8">
        <f>ROUND((Source!P114)/1000+(Source!P115)/1000,2)</f>
        <v>961.16</v>
      </c>
      <c r="I16" s="8">
        <f>E16+F16+G16+H16</f>
        <v>961.16</v>
      </c>
      <c r="J16" s="8">
        <f>ROUND((Source!P110+Source!P109)/1000,2)</f>
        <v>0</v>
      </c>
      <c r="K16" s="8">
        <v>961.16</v>
      </c>
      <c r="L16" s="8">
        <v>0</v>
      </c>
      <c r="M16" s="8">
        <v>0</v>
      </c>
      <c r="N16" s="8">
        <f>I16+L16+M16</f>
        <v>961.16</v>
      </c>
      <c r="T16" s="9">
        <f>ROUND((Source!F112)/1000,2)</f>
        <v>0</v>
      </c>
      <c r="U16" s="9">
        <f>ROUND((Source!F113)/1000,2)</f>
        <v>0</v>
      </c>
      <c r="V16" s="9">
        <f>ROUND((Source!F104)/1000,2)</f>
        <v>0</v>
      </c>
      <c r="W16" s="9">
        <f>ROUND((Source!F114)/1000+(Source!F115)/1000,2)</f>
        <v>96.54</v>
      </c>
      <c r="X16" s="9">
        <f>T16+U16+V16+W16</f>
        <v>96.54</v>
      </c>
      <c r="Y16" s="9">
        <f>ROUND((Source!F110+Source!F109)/1000,2)</f>
        <v>0</v>
      </c>
      <c r="Z16" s="9">
        <v>96.54</v>
      </c>
      <c r="AA16" s="9">
        <v>0</v>
      </c>
      <c r="AB16" s="9">
        <v>0</v>
      </c>
      <c r="AC16" s="9">
        <f>X16+AA16+AB16</f>
        <v>96.54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961161.92</v>
      </c>
      <c r="AU16" s="8">
        <v>0</v>
      </c>
      <c r="AV16" s="8">
        <v>0</v>
      </c>
      <c r="AW16" s="8">
        <v>0</v>
      </c>
      <c r="AX16" s="8">
        <v>0</v>
      </c>
      <c r="AY16" s="8">
        <v>961161.92</v>
      </c>
      <c r="AZ16" s="8">
        <v>0</v>
      </c>
      <c r="BA16" s="8">
        <v>0</v>
      </c>
      <c r="BB16" s="8">
        <v>0</v>
      </c>
      <c r="BC16" s="8">
        <v>0</v>
      </c>
      <c r="BD16" s="8">
        <v>961161.92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961161.92</v>
      </c>
      <c r="BR16" s="9">
        <v>96538.04</v>
      </c>
      <c r="BS16" s="9">
        <v>0</v>
      </c>
      <c r="BT16" s="9">
        <v>0</v>
      </c>
      <c r="BU16" s="9">
        <v>0</v>
      </c>
      <c r="BV16" s="9">
        <v>0</v>
      </c>
      <c r="BW16" s="9">
        <v>96538.04</v>
      </c>
      <c r="BX16" s="9">
        <v>0</v>
      </c>
      <c r="BY16" s="9">
        <v>0</v>
      </c>
      <c r="BZ16" s="9">
        <v>0</v>
      </c>
      <c r="CA16" s="9">
        <v>0</v>
      </c>
      <c r="CB16" s="9">
        <v>96538.04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96538.04</v>
      </c>
    </row>
    <row r="18" spans="1:29" x14ac:dyDescent="0.25">
      <c r="A18">
        <v>51</v>
      </c>
      <c r="E18">
        <v>0</v>
      </c>
      <c r="F18">
        <v>0</v>
      </c>
      <c r="G18">
        <v>0</v>
      </c>
      <c r="H18">
        <v>961.16</v>
      </c>
      <c r="I18">
        <v>961.16</v>
      </c>
      <c r="J18">
        <v>0</v>
      </c>
      <c r="K18">
        <v>961.16</v>
      </c>
      <c r="L18">
        <v>0</v>
      </c>
      <c r="M18">
        <v>0</v>
      </c>
      <c r="N18">
        <v>961.16</v>
      </c>
      <c r="T18">
        <v>0</v>
      </c>
      <c r="U18">
        <v>0</v>
      </c>
      <c r="V18">
        <v>0</v>
      </c>
      <c r="W18">
        <v>96.54</v>
      </c>
      <c r="X18">
        <v>96.54</v>
      </c>
      <c r="Y18">
        <v>0</v>
      </c>
      <c r="Z18">
        <v>96.54</v>
      </c>
      <c r="AA18">
        <v>0</v>
      </c>
      <c r="AB18">
        <v>0</v>
      </c>
      <c r="AC18">
        <v>96.54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961161.92</v>
      </c>
      <c r="G20" s="5" t="s">
        <v>92</v>
      </c>
      <c r="H20" s="5" t="s">
        <v>93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96538.04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0</v>
      </c>
      <c r="G21" s="5" t="s">
        <v>94</v>
      </c>
      <c r="H21" s="5" t="s">
        <v>95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0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96</v>
      </c>
      <c r="H22" s="5" t="s">
        <v>97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0</v>
      </c>
      <c r="G23" s="5" t="s">
        <v>98</v>
      </c>
      <c r="H23" s="5" t="s">
        <v>99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0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0</v>
      </c>
      <c r="G24" s="5" t="s">
        <v>100</v>
      </c>
      <c r="H24" s="5" t="s">
        <v>101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0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102</v>
      </c>
      <c r="H25" s="5" t="s">
        <v>103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0</v>
      </c>
      <c r="G26" s="5" t="s">
        <v>104</v>
      </c>
      <c r="H26" s="5" t="s">
        <v>105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0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106</v>
      </c>
      <c r="H27" s="5" t="s">
        <v>107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108</v>
      </c>
      <c r="H28" s="5" t="s">
        <v>109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110</v>
      </c>
      <c r="H29" s="5" t="s">
        <v>111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961161.92</v>
      </c>
      <c r="G30" s="5" t="s">
        <v>112</v>
      </c>
      <c r="H30" s="5" t="s">
        <v>113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96538.04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114</v>
      </c>
      <c r="H31" s="5" t="s">
        <v>115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</v>
      </c>
      <c r="G32" s="5" t="s">
        <v>116</v>
      </c>
      <c r="H32" s="5" t="s">
        <v>117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0</v>
      </c>
      <c r="G33" s="5" t="s">
        <v>118</v>
      </c>
      <c r="H33" s="5" t="s">
        <v>119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0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120</v>
      </c>
      <c r="H34" s="5" t="s">
        <v>121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122</v>
      </c>
      <c r="H35" s="5" t="s">
        <v>123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124</v>
      </c>
      <c r="H36" s="5" t="s">
        <v>125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961161.92</v>
      </c>
      <c r="G37" s="5" t="s">
        <v>126</v>
      </c>
      <c r="H37" s="5" t="s">
        <v>127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96538.04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128</v>
      </c>
      <c r="H38" s="5" t="s">
        <v>129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130</v>
      </c>
      <c r="H39" s="5" t="s">
        <v>131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0</v>
      </c>
      <c r="G40" s="5" t="s">
        <v>132</v>
      </c>
      <c r="H40" s="5" t="s">
        <v>133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0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134</v>
      </c>
      <c r="H41" s="5" t="s">
        <v>135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136</v>
      </c>
      <c r="H42" s="5" t="s">
        <v>137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138</v>
      </c>
      <c r="H43" s="5" t="s">
        <v>139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0</v>
      </c>
      <c r="G44" s="5" t="s">
        <v>140</v>
      </c>
      <c r="H44" s="5" t="s">
        <v>141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0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0</v>
      </c>
      <c r="G45" s="5" t="s">
        <v>142</v>
      </c>
      <c r="H45" s="5" t="s">
        <v>143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0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961161.92</v>
      </c>
      <c r="G46" s="5" t="s">
        <v>144</v>
      </c>
      <c r="H46" s="5" t="s">
        <v>145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96538.04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158</v>
      </c>
      <c r="C51" s="4">
        <v>2025</v>
      </c>
      <c r="D51" s="4">
        <v>0</v>
      </c>
      <c r="E51" s="4">
        <v>7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56526441</v>
      </c>
      <c r="O51" s="4">
        <v>1</v>
      </c>
    </row>
    <row r="52" spans="1:50" x14ac:dyDescent="0.25">
      <c r="A52" s="6">
        <v>1</v>
      </c>
      <c r="B52" s="6" t="s">
        <v>159</v>
      </c>
      <c r="C52" s="6" t="s">
        <v>160</v>
      </c>
      <c r="D52" s="6">
        <v>2025</v>
      </c>
      <c r="E52" s="6">
        <v>7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161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56526442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159</v>
      </c>
      <c r="C53" s="6" t="s">
        <v>162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163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56526443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164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56526439</v>
      </c>
      <c r="O54" s="4">
        <v>2</v>
      </c>
    </row>
    <row r="55" spans="1:50" x14ac:dyDescent="0.25">
      <c r="A55" s="6">
        <v>1</v>
      </c>
      <c r="B55" s="6" t="s">
        <v>159</v>
      </c>
      <c r="C55" s="6" t="s">
        <v>160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56526440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56526439</v>
      </c>
      <c r="C1">
        <v>56526772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166</v>
      </c>
      <c r="J1" t="s">
        <v>3</v>
      </c>
      <c r="K1" t="s">
        <v>167</v>
      </c>
      <c r="L1">
        <v>1344</v>
      </c>
      <c r="N1">
        <v>1008</v>
      </c>
      <c r="O1" t="s">
        <v>168</v>
      </c>
      <c r="P1" t="s">
        <v>168</v>
      </c>
      <c r="Q1">
        <v>1</v>
      </c>
      <c r="W1">
        <v>0</v>
      </c>
      <c r="X1">
        <v>-1180195794</v>
      </c>
      <c r="Y1">
        <f t="shared" ref="Y1:Y36" si="0">AT1</f>
        <v>31.67</v>
      </c>
      <c r="AA1">
        <v>0</v>
      </c>
      <c r="AB1">
        <v>1</v>
      </c>
      <c r="AC1">
        <v>0</v>
      </c>
      <c r="AD1">
        <v>0</v>
      </c>
      <c r="AE1">
        <v>0</v>
      </c>
      <c r="AF1">
        <v>1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31.67</v>
      </c>
      <c r="AU1" t="s">
        <v>3</v>
      </c>
      <c r="AV1">
        <v>0</v>
      </c>
      <c r="AW1">
        <v>2</v>
      </c>
      <c r="AX1">
        <v>56526796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f>ROUND(Y1*Source!I28*DO1,9)</f>
        <v>0</v>
      </c>
      <c r="CX1">
        <f>ROUND(Y1*Source!I28,9)</f>
        <v>2374.39491</v>
      </c>
      <c r="CY1">
        <f t="shared" ref="CY1:CY36" si="1">AB1</f>
        <v>1</v>
      </c>
      <c r="CZ1">
        <f t="shared" ref="CZ1:CZ36" si="2">AF1</f>
        <v>1</v>
      </c>
      <c r="DA1">
        <f t="shared" ref="DA1:DA36" si="3">AJ1</f>
        <v>1</v>
      </c>
      <c r="DB1">
        <f t="shared" ref="DB1:DB36" si="4">ROUND(ROUND(AT1*CZ1,2),6)</f>
        <v>31.67</v>
      </c>
      <c r="DC1">
        <f t="shared" ref="DC1:DC36" si="5">ROUND(ROUND(AT1*AG1,2),6)</f>
        <v>0</v>
      </c>
      <c r="DD1" t="s">
        <v>3</v>
      </c>
      <c r="DE1" t="s">
        <v>3</v>
      </c>
      <c r="DF1">
        <f t="shared" ref="DF1:DF36" si="6">ROUND(ROUND(AE1,2)*CX1,2)</f>
        <v>0</v>
      </c>
      <c r="DG1">
        <f t="shared" ref="DG1:DG36" si="7">ROUND(ROUND(AF1,2)*CX1,2)</f>
        <v>2374.39</v>
      </c>
      <c r="DH1">
        <f t="shared" ref="DH1:DH36" si="8">ROUND(ROUND(AG1,2)*CX1,2)</f>
        <v>0</v>
      </c>
      <c r="DI1">
        <f t="shared" ref="DI1:DI36" si="9">ROUND(ROUND(AH1,2)*CX1,2)</f>
        <v>0</v>
      </c>
      <c r="DJ1">
        <f t="shared" ref="DJ1:DJ36" si="10">DG1</f>
        <v>2374.39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56526441</v>
      </c>
      <c r="C2">
        <v>56526772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166</v>
      </c>
      <c r="J2" t="s">
        <v>3</v>
      </c>
      <c r="K2" t="s">
        <v>167</v>
      </c>
      <c r="L2">
        <v>1344</v>
      </c>
      <c r="N2">
        <v>1008</v>
      </c>
      <c r="O2" t="s">
        <v>168</v>
      </c>
      <c r="P2" t="s">
        <v>168</v>
      </c>
      <c r="Q2">
        <v>1</v>
      </c>
      <c r="W2">
        <v>0</v>
      </c>
      <c r="X2">
        <v>-1180195794</v>
      </c>
      <c r="Y2">
        <f t="shared" si="0"/>
        <v>31.67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31.67</v>
      </c>
      <c r="AU2" t="s">
        <v>3</v>
      </c>
      <c r="AV2">
        <v>0</v>
      </c>
      <c r="AW2">
        <v>2</v>
      </c>
      <c r="AX2">
        <v>56526796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ROUND(Y2*Source!I29*DO2,9)</f>
        <v>0</v>
      </c>
      <c r="CX2">
        <f>ROUND(Y2*Source!I29,9)</f>
        <v>2374.39491</v>
      </c>
      <c r="CY2">
        <f t="shared" si="1"/>
        <v>1</v>
      </c>
      <c r="CZ2">
        <f t="shared" si="2"/>
        <v>1</v>
      </c>
      <c r="DA2">
        <f t="shared" si="3"/>
        <v>1</v>
      </c>
      <c r="DB2">
        <f t="shared" si="4"/>
        <v>31.67</v>
      </c>
      <c r="DC2">
        <f t="shared" si="5"/>
        <v>0</v>
      </c>
      <c r="DD2" t="s">
        <v>3</v>
      </c>
      <c r="DE2" t="s">
        <v>3</v>
      </c>
      <c r="DF2">
        <f t="shared" si="6"/>
        <v>0</v>
      </c>
      <c r="DG2">
        <f t="shared" si="7"/>
        <v>2374.39</v>
      </c>
      <c r="DH2">
        <f t="shared" si="8"/>
        <v>0</v>
      </c>
      <c r="DI2">
        <f t="shared" si="9"/>
        <v>0</v>
      </c>
      <c r="DJ2">
        <f t="shared" si="10"/>
        <v>2374.39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ROW(Source!A30)</f>
        <v>30</v>
      </c>
      <c r="B3">
        <v>56526439</v>
      </c>
      <c r="C3">
        <v>56526775</v>
      </c>
      <c r="D3">
        <v>54836954</v>
      </c>
      <c r="E3">
        <v>1079</v>
      </c>
      <c r="F3">
        <v>1</v>
      </c>
      <c r="G3">
        <v>1079</v>
      </c>
      <c r="H3">
        <v>2</v>
      </c>
      <c r="I3" t="s">
        <v>166</v>
      </c>
      <c r="J3" t="s">
        <v>3</v>
      </c>
      <c r="K3" t="s">
        <v>167</v>
      </c>
      <c r="L3">
        <v>1344</v>
      </c>
      <c r="N3">
        <v>1008</v>
      </c>
      <c r="O3" t="s">
        <v>168</v>
      </c>
      <c r="P3" t="s">
        <v>168</v>
      </c>
      <c r="Q3">
        <v>1</v>
      </c>
      <c r="W3">
        <v>0</v>
      </c>
      <c r="X3">
        <v>-1180195794</v>
      </c>
      <c r="Y3">
        <f t="shared" si="0"/>
        <v>31.13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31.13</v>
      </c>
      <c r="AU3" t="s">
        <v>3</v>
      </c>
      <c r="AV3">
        <v>0</v>
      </c>
      <c r="AW3">
        <v>2</v>
      </c>
      <c r="AX3">
        <v>56526797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ROUND(Y3*Source!I30*DO3,9)</f>
        <v>0</v>
      </c>
      <c r="CX3">
        <f>ROUND(Y3*Source!I30,9)</f>
        <v>48114.8393</v>
      </c>
      <c r="CY3">
        <f t="shared" si="1"/>
        <v>1</v>
      </c>
      <c r="CZ3">
        <f t="shared" si="2"/>
        <v>1</v>
      </c>
      <c r="DA3">
        <f t="shared" si="3"/>
        <v>1</v>
      </c>
      <c r="DB3">
        <f t="shared" si="4"/>
        <v>31.13</v>
      </c>
      <c r="DC3">
        <f t="shared" si="5"/>
        <v>0</v>
      </c>
      <c r="DD3" t="s">
        <v>3</v>
      </c>
      <c r="DE3" t="s">
        <v>3</v>
      </c>
      <c r="DF3">
        <f t="shared" si="6"/>
        <v>0</v>
      </c>
      <c r="DG3">
        <f t="shared" si="7"/>
        <v>48114.84</v>
      </c>
      <c r="DH3">
        <f t="shared" si="8"/>
        <v>0</v>
      </c>
      <c r="DI3">
        <f t="shared" si="9"/>
        <v>0</v>
      </c>
      <c r="DJ3">
        <f t="shared" si="10"/>
        <v>48114.84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ROW(Source!A31)</f>
        <v>31</v>
      </c>
      <c r="B4">
        <v>56526441</v>
      </c>
      <c r="C4">
        <v>56526775</v>
      </c>
      <c r="D4">
        <v>54836954</v>
      </c>
      <c r="E4">
        <v>1079</v>
      </c>
      <c r="F4">
        <v>1</v>
      </c>
      <c r="G4">
        <v>1079</v>
      </c>
      <c r="H4">
        <v>2</v>
      </c>
      <c r="I4" t="s">
        <v>166</v>
      </c>
      <c r="J4" t="s">
        <v>3</v>
      </c>
      <c r="K4" t="s">
        <v>167</v>
      </c>
      <c r="L4">
        <v>1344</v>
      </c>
      <c r="N4">
        <v>1008</v>
      </c>
      <c r="O4" t="s">
        <v>168</v>
      </c>
      <c r="P4" t="s">
        <v>168</v>
      </c>
      <c r="Q4">
        <v>1</v>
      </c>
      <c r="W4">
        <v>0</v>
      </c>
      <c r="X4">
        <v>-1180195794</v>
      </c>
      <c r="Y4">
        <f t="shared" si="0"/>
        <v>31.13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31.13</v>
      </c>
      <c r="AU4" t="s">
        <v>3</v>
      </c>
      <c r="AV4">
        <v>0</v>
      </c>
      <c r="AW4">
        <v>2</v>
      </c>
      <c r="AX4">
        <v>56526797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ROUND(Y4*Source!I31*DO4,9)</f>
        <v>0</v>
      </c>
      <c r="CX4">
        <f>ROUND(Y4*Source!I31,9)</f>
        <v>48114.8393</v>
      </c>
      <c r="CY4">
        <f t="shared" si="1"/>
        <v>1</v>
      </c>
      <c r="CZ4">
        <f t="shared" si="2"/>
        <v>1</v>
      </c>
      <c r="DA4">
        <f t="shared" si="3"/>
        <v>1</v>
      </c>
      <c r="DB4">
        <f t="shared" si="4"/>
        <v>31.13</v>
      </c>
      <c r="DC4">
        <f t="shared" si="5"/>
        <v>0</v>
      </c>
      <c r="DD4" t="s">
        <v>3</v>
      </c>
      <c r="DE4" t="s">
        <v>3</v>
      </c>
      <c r="DF4">
        <f t="shared" si="6"/>
        <v>0</v>
      </c>
      <c r="DG4">
        <f t="shared" si="7"/>
        <v>48114.84</v>
      </c>
      <c r="DH4">
        <f t="shared" si="8"/>
        <v>0</v>
      </c>
      <c r="DI4">
        <f t="shared" si="9"/>
        <v>0</v>
      </c>
      <c r="DJ4">
        <f t="shared" si="10"/>
        <v>48114.84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ROW(Source!A32)</f>
        <v>32</v>
      </c>
      <c r="B5">
        <v>56526439</v>
      </c>
      <c r="C5">
        <v>56526778</v>
      </c>
      <c r="D5">
        <v>54836954</v>
      </c>
      <c r="E5">
        <v>1079</v>
      </c>
      <c r="F5">
        <v>1</v>
      </c>
      <c r="G5">
        <v>1079</v>
      </c>
      <c r="H5">
        <v>2</v>
      </c>
      <c r="I5" t="s">
        <v>166</v>
      </c>
      <c r="J5" t="s">
        <v>3</v>
      </c>
      <c r="K5" t="s">
        <v>167</v>
      </c>
      <c r="L5">
        <v>1344</v>
      </c>
      <c r="N5">
        <v>1008</v>
      </c>
      <c r="O5" t="s">
        <v>168</v>
      </c>
      <c r="P5" t="s">
        <v>168</v>
      </c>
      <c r="Q5">
        <v>1</v>
      </c>
      <c r="W5">
        <v>0</v>
      </c>
      <c r="X5">
        <v>-1180195794</v>
      </c>
      <c r="Y5">
        <f t="shared" si="0"/>
        <v>36.590000000000003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36.590000000000003</v>
      </c>
      <c r="AU5" t="s">
        <v>3</v>
      </c>
      <c r="AV5">
        <v>0</v>
      </c>
      <c r="AW5">
        <v>2</v>
      </c>
      <c r="AX5">
        <v>56526798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ROUND(Y5*Source!I32*DO5,9)</f>
        <v>0</v>
      </c>
      <c r="CX5">
        <f>ROUND(Y5*Source!I32,9)</f>
        <v>7163.2242999999999</v>
      </c>
      <c r="CY5">
        <f t="shared" si="1"/>
        <v>1</v>
      </c>
      <c r="CZ5">
        <f t="shared" si="2"/>
        <v>1</v>
      </c>
      <c r="DA5">
        <f t="shared" si="3"/>
        <v>1</v>
      </c>
      <c r="DB5">
        <f t="shared" si="4"/>
        <v>36.590000000000003</v>
      </c>
      <c r="DC5">
        <f t="shared" si="5"/>
        <v>0</v>
      </c>
      <c r="DD5" t="s">
        <v>3</v>
      </c>
      <c r="DE5" t="s">
        <v>3</v>
      </c>
      <c r="DF5">
        <f t="shared" si="6"/>
        <v>0</v>
      </c>
      <c r="DG5">
        <f t="shared" si="7"/>
        <v>7163.22</v>
      </c>
      <c r="DH5">
        <f t="shared" si="8"/>
        <v>0</v>
      </c>
      <c r="DI5">
        <f t="shared" si="9"/>
        <v>0</v>
      </c>
      <c r="DJ5">
        <f t="shared" si="10"/>
        <v>7163.22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ROW(Source!A33)</f>
        <v>33</v>
      </c>
      <c r="B6">
        <v>56526441</v>
      </c>
      <c r="C6">
        <v>56526778</v>
      </c>
      <c r="D6">
        <v>54836954</v>
      </c>
      <c r="E6">
        <v>1079</v>
      </c>
      <c r="F6">
        <v>1</v>
      </c>
      <c r="G6">
        <v>1079</v>
      </c>
      <c r="H6">
        <v>2</v>
      </c>
      <c r="I6" t="s">
        <v>166</v>
      </c>
      <c r="J6" t="s">
        <v>3</v>
      </c>
      <c r="K6" t="s">
        <v>167</v>
      </c>
      <c r="L6">
        <v>1344</v>
      </c>
      <c r="N6">
        <v>1008</v>
      </c>
      <c r="O6" t="s">
        <v>168</v>
      </c>
      <c r="P6" t="s">
        <v>168</v>
      </c>
      <c r="Q6">
        <v>1</v>
      </c>
      <c r="W6">
        <v>0</v>
      </c>
      <c r="X6">
        <v>-1180195794</v>
      </c>
      <c r="Y6">
        <f t="shared" si="0"/>
        <v>36.590000000000003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36.590000000000003</v>
      </c>
      <c r="AU6" t="s">
        <v>3</v>
      </c>
      <c r="AV6">
        <v>0</v>
      </c>
      <c r="AW6">
        <v>2</v>
      </c>
      <c r="AX6">
        <v>56526798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ROUND(Y6*Source!I33*DO6,9)</f>
        <v>0</v>
      </c>
      <c r="CX6">
        <f>ROUND(Y6*Source!I33,9)</f>
        <v>7163.2242999999999</v>
      </c>
      <c r="CY6">
        <f t="shared" si="1"/>
        <v>1</v>
      </c>
      <c r="CZ6">
        <f t="shared" si="2"/>
        <v>1</v>
      </c>
      <c r="DA6">
        <f t="shared" si="3"/>
        <v>1</v>
      </c>
      <c r="DB6">
        <f t="shared" si="4"/>
        <v>36.590000000000003</v>
      </c>
      <c r="DC6">
        <f t="shared" si="5"/>
        <v>0</v>
      </c>
      <c r="DD6" t="s">
        <v>3</v>
      </c>
      <c r="DE6" t="s">
        <v>3</v>
      </c>
      <c r="DF6">
        <f t="shared" si="6"/>
        <v>0</v>
      </c>
      <c r="DG6">
        <f t="shared" si="7"/>
        <v>7163.22</v>
      </c>
      <c r="DH6">
        <f t="shared" si="8"/>
        <v>0</v>
      </c>
      <c r="DI6">
        <f t="shared" si="9"/>
        <v>0</v>
      </c>
      <c r="DJ6">
        <f t="shared" si="10"/>
        <v>7163.22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ROW(Source!A34)</f>
        <v>34</v>
      </c>
      <c r="B7">
        <v>56526439</v>
      </c>
      <c r="C7">
        <v>56526781</v>
      </c>
      <c r="D7">
        <v>54836954</v>
      </c>
      <c r="E7">
        <v>1079</v>
      </c>
      <c r="F7">
        <v>1</v>
      </c>
      <c r="G7">
        <v>1079</v>
      </c>
      <c r="H7">
        <v>2</v>
      </c>
      <c r="I7" t="s">
        <v>166</v>
      </c>
      <c r="J7" t="s">
        <v>3</v>
      </c>
      <c r="K7" t="s">
        <v>167</v>
      </c>
      <c r="L7">
        <v>1344</v>
      </c>
      <c r="N7">
        <v>1008</v>
      </c>
      <c r="O7" t="s">
        <v>168</v>
      </c>
      <c r="P7" t="s">
        <v>168</v>
      </c>
      <c r="Q7">
        <v>1</v>
      </c>
      <c r="W7">
        <v>0</v>
      </c>
      <c r="X7">
        <v>-1180195794</v>
      </c>
      <c r="Y7">
        <f t="shared" si="0"/>
        <v>98.3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98.3</v>
      </c>
      <c r="AU7" t="s">
        <v>3</v>
      </c>
      <c r="AV7">
        <v>0</v>
      </c>
      <c r="AW7">
        <v>2</v>
      </c>
      <c r="AX7">
        <v>56526799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ROUND(Y7*Source!I34*DO7,9)</f>
        <v>0</v>
      </c>
      <c r="CX7">
        <f>ROUND(Y7*Source!I34,9)</f>
        <v>417.57839999999999</v>
      </c>
      <c r="CY7">
        <f t="shared" si="1"/>
        <v>1</v>
      </c>
      <c r="CZ7">
        <f t="shared" si="2"/>
        <v>1</v>
      </c>
      <c r="DA7">
        <f t="shared" si="3"/>
        <v>1</v>
      </c>
      <c r="DB7">
        <f t="shared" si="4"/>
        <v>98.3</v>
      </c>
      <c r="DC7">
        <f t="shared" si="5"/>
        <v>0</v>
      </c>
      <c r="DD7" t="s">
        <v>3</v>
      </c>
      <c r="DE7" t="s">
        <v>3</v>
      </c>
      <c r="DF7">
        <f t="shared" si="6"/>
        <v>0</v>
      </c>
      <c r="DG7">
        <f t="shared" si="7"/>
        <v>417.58</v>
      </c>
      <c r="DH7">
        <f t="shared" si="8"/>
        <v>0</v>
      </c>
      <c r="DI7">
        <f t="shared" si="9"/>
        <v>0</v>
      </c>
      <c r="DJ7">
        <f t="shared" si="10"/>
        <v>417.58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ROW(Source!A35)</f>
        <v>35</v>
      </c>
      <c r="B8">
        <v>56526441</v>
      </c>
      <c r="C8">
        <v>56526781</v>
      </c>
      <c r="D8">
        <v>54836954</v>
      </c>
      <c r="E8">
        <v>1079</v>
      </c>
      <c r="F8">
        <v>1</v>
      </c>
      <c r="G8">
        <v>1079</v>
      </c>
      <c r="H8">
        <v>2</v>
      </c>
      <c r="I8" t="s">
        <v>166</v>
      </c>
      <c r="J8" t="s">
        <v>3</v>
      </c>
      <c r="K8" t="s">
        <v>167</v>
      </c>
      <c r="L8">
        <v>1344</v>
      </c>
      <c r="N8">
        <v>1008</v>
      </c>
      <c r="O8" t="s">
        <v>168</v>
      </c>
      <c r="P8" t="s">
        <v>168</v>
      </c>
      <c r="Q8">
        <v>1</v>
      </c>
      <c r="W8">
        <v>0</v>
      </c>
      <c r="X8">
        <v>-1180195794</v>
      </c>
      <c r="Y8">
        <f t="shared" si="0"/>
        <v>98.3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98.3</v>
      </c>
      <c r="AU8" t="s">
        <v>3</v>
      </c>
      <c r="AV8">
        <v>0</v>
      </c>
      <c r="AW8">
        <v>2</v>
      </c>
      <c r="AX8">
        <v>56526799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ROUND(Y8*Source!I35*DO8,9)</f>
        <v>0</v>
      </c>
      <c r="CX8">
        <f>ROUND(Y8*Source!I35,9)</f>
        <v>417.57839999999999</v>
      </c>
      <c r="CY8">
        <f t="shared" si="1"/>
        <v>1</v>
      </c>
      <c r="CZ8">
        <f t="shared" si="2"/>
        <v>1</v>
      </c>
      <c r="DA8">
        <f t="shared" si="3"/>
        <v>1</v>
      </c>
      <c r="DB8">
        <f t="shared" si="4"/>
        <v>98.3</v>
      </c>
      <c r="DC8">
        <f t="shared" si="5"/>
        <v>0</v>
      </c>
      <c r="DD8" t="s">
        <v>3</v>
      </c>
      <c r="DE8" t="s">
        <v>3</v>
      </c>
      <c r="DF8">
        <f t="shared" si="6"/>
        <v>0</v>
      </c>
      <c r="DG8">
        <f t="shared" si="7"/>
        <v>417.58</v>
      </c>
      <c r="DH8">
        <f t="shared" si="8"/>
        <v>0</v>
      </c>
      <c r="DI8">
        <f t="shared" si="9"/>
        <v>0</v>
      </c>
      <c r="DJ8">
        <f t="shared" si="10"/>
        <v>417.58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ROW(Source!A36)</f>
        <v>36</v>
      </c>
      <c r="B9">
        <v>56526439</v>
      </c>
      <c r="C9">
        <v>56526784</v>
      </c>
      <c r="D9">
        <v>54836954</v>
      </c>
      <c r="E9">
        <v>1079</v>
      </c>
      <c r="F9">
        <v>1</v>
      </c>
      <c r="G9">
        <v>1079</v>
      </c>
      <c r="H9">
        <v>2</v>
      </c>
      <c r="I9" t="s">
        <v>166</v>
      </c>
      <c r="J9" t="s">
        <v>3</v>
      </c>
      <c r="K9" t="s">
        <v>167</v>
      </c>
      <c r="L9">
        <v>1344</v>
      </c>
      <c r="N9">
        <v>1008</v>
      </c>
      <c r="O9" t="s">
        <v>168</v>
      </c>
      <c r="P9" t="s">
        <v>168</v>
      </c>
      <c r="Q9">
        <v>1</v>
      </c>
      <c r="W9">
        <v>0</v>
      </c>
      <c r="X9">
        <v>-1180195794</v>
      </c>
      <c r="Y9">
        <f t="shared" si="0"/>
        <v>38.770000000000003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38.770000000000003</v>
      </c>
      <c r="AU9" t="s">
        <v>3</v>
      </c>
      <c r="AV9">
        <v>0</v>
      </c>
      <c r="AW9">
        <v>2</v>
      </c>
      <c r="AX9">
        <v>56526800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ROUND(Y9*Source!I36*DO9,9)</f>
        <v>0</v>
      </c>
      <c r="CX9">
        <f>ROUND(Y9*Source!I36,9)</f>
        <v>1.3569500000000001</v>
      </c>
      <c r="CY9">
        <f t="shared" si="1"/>
        <v>1</v>
      </c>
      <c r="CZ9">
        <f t="shared" si="2"/>
        <v>1</v>
      </c>
      <c r="DA9">
        <f t="shared" si="3"/>
        <v>1</v>
      </c>
      <c r="DB9">
        <f t="shared" si="4"/>
        <v>38.770000000000003</v>
      </c>
      <c r="DC9">
        <f t="shared" si="5"/>
        <v>0</v>
      </c>
      <c r="DD9" t="s">
        <v>3</v>
      </c>
      <c r="DE9" t="s">
        <v>3</v>
      </c>
      <c r="DF9">
        <f t="shared" si="6"/>
        <v>0</v>
      </c>
      <c r="DG9">
        <f t="shared" si="7"/>
        <v>1.36</v>
      </c>
      <c r="DH9">
        <f t="shared" si="8"/>
        <v>0</v>
      </c>
      <c r="DI9">
        <f t="shared" si="9"/>
        <v>0</v>
      </c>
      <c r="DJ9">
        <f t="shared" si="10"/>
        <v>1.36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ROW(Source!A37)</f>
        <v>37</v>
      </c>
      <c r="B10">
        <v>56526441</v>
      </c>
      <c r="C10">
        <v>56526784</v>
      </c>
      <c r="D10">
        <v>54836954</v>
      </c>
      <c r="E10">
        <v>1079</v>
      </c>
      <c r="F10">
        <v>1</v>
      </c>
      <c r="G10">
        <v>1079</v>
      </c>
      <c r="H10">
        <v>2</v>
      </c>
      <c r="I10" t="s">
        <v>166</v>
      </c>
      <c r="J10" t="s">
        <v>3</v>
      </c>
      <c r="K10" t="s">
        <v>167</v>
      </c>
      <c r="L10">
        <v>1344</v>
      </c>
      <c r="N10">
        <v>1008</v>
      </c>
      <c r="O10" t="s">
        <v>168</v>
      </c>
      <c r="P10" t="s">
        <v>168</v>
      </c>
      <c r="Q10">
        <v>1</v>
      </c>
      <c r="W10">
        <v>0</v>
      </c>
      <c r="X10">
        <v>-1180195794</v>
      </c>
      <c r="Y10">
        <f t="shared" si="0"/>
        <v>38.770000000000003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38.770000000000003</v>
      </c>
      <c r="AU10" t="s">
        <v>3</v>
      </c>
      <c r="AV10">
        <v>0</v>
      </c>
      <c r="AW10">
        <v>2</v>
      </c>
      <c r="AX10">
        <v>56526800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ROUND(Y10*Source!I37*DO10,9)</f>
        <v>0</v>
      </c>
      <c r="CX10">
        <f>ROUND(Y10*Source!I37,9)</f>
        <v>1.3569500000000001</v>
      </c>
      <c r="CY10">
        <f t="shared" si="1"/>
        <v>1</v>
      </c>
      <c r="CZ10">
        <f t="shared" si="2"/>
        <v>1</v>
      </c>
      <c r="DA10">
        <f t="shared" si="3"/>
        <v>1</v>
      </c>
      <c r="DB10">
        <f t="shared" si="4"/>
        <v>38.770000000000003</v>
      </c>
      <c r="DC10">
        <f t="shared" si="5"/>
        <v>0</v>
      </c>
      <c r="DD10" t="s">
        <v>3</v>
      </c>
      <c r="DE10" t="s">
        <v>3</v>
      </c>
      <c r="DF10">
        <f t="shared" si="6"/>
        <v>0</v>
      </c>
      <c r="DG10">
        <f t="shared" si="7"/>
        <v>1.36</v>
      </c>
      <c r="DH10">
        <f t="shared" si="8"/>
        <v>0</v>
      </c>
      <c r="DI10">
        <f t="shared" si="9"/>
        <v>0</v>
      </c>
      <c r="DJ10">
        <f t="shared" si="10"/>
        <v>1.36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ROW(Source!A38)</f>
        <v>38</v>
      </c>
      <c r="B11">
        <v>56526439</v>
      </c>
      <c r="C11">
        <v>56526787</v>
      </c>
      <c r="D11">
        <v>54836954</v>
      </c>
      <c r="E11">
        <v>1079</v>
      </c>
      <c r="F11">
        <v>1</v>
      </c>
      <c r="G11">
        <v>1079</v>
      </c>
      <c r="H11">
        <v>2</v>
      </c>
      <c r="I11" t="s">
        <v>166</v>
      </c>
      <c r="J11" t="s">
        <v>3</v>
      </c>
      <c r="K11" t="s">
        <v>167</v>
      </c>
      <c r="L11">
        <v>1344</v>
      </c>
      <c r="N11">
        <v>1008</v>
      </c>
      <c r="O11" t="s">
        <v>168</v>
      </c>
      <c r="P11" t="s">
        <v>168</v>
      </c>
      <c r="Q11">
        <v>1</v>
      </c>
      <c r="W11">
        <v>0</v>
      </c>
      <c r="X11">
        <v>-1180195794</v>
      </c>
      <c r="Y11">
        <f t="shared" si="0"/>
        <v>38.770000000000003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38.770000000000003</v>
      </c>
      <c r="AU11" t="s">
        <v>3</v>
      </c>
      <c r="AV11">
        <v>0</v>
      </c>
      <c r="AW11">
        <v>2</v>
      </c>
      <c r="AX11">
        <v>56526801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ROUND(Y11*Source!I38*DO11,9)</f>
        <v>0</v>
      </c>
      <c r="CX11">
        <f>ROUND(Y11*Source!I38,9)</f>
        <v>135.19099</v>
      </c>
      <c r="CY11">
        <f t="shared" si="1"/>
        <v>1</v>
      </c>
      <c r="CZ11">
        <f t="shared" si="2"/>
        <v>1</v>
      </c>
      <c r="DA11">
        <f t="shared" si="3"/>
        <v>1</v>
      </c>
      <c r="DB11">
        <f t="shared" si="4"/>
        <v>38.770000000000003</v>
      </c>
      <c r="DC11">
        <f t="shared" si="5"/>
        <v>0</v>
      </c>
      <c r="DD11" t="s">
        <v>3</v>
      </c>
      <c r="DE11" t="s">
        <v>3</v>
      </c>
      <c r="DF11">
        <f t="shared" si="6"/>
        <v>0</v>
      </c>
      <c r="DG11">
        <f t="shared" si="7"/>
        <v>135.19</v>
      </c>
      <c r="DH11">
        <f t="shared" si="8"/>
        <v>0</v>
      </c>
      <c r="DI11">
        <f t="shared" si="9"/>
        <v>0</v>
      </c>
      <c r="DJ11">
        <f t="shared" si="10"/>
        <v>135.19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ROW(Source!A39)</f>
        <v>39</v>
      </c>
      <c r="B12">
        <v>56526441</v>
      </c>
      <c r="C12">
        <v>56526787</v>
      </c>
      <c r="D12">
        <v>54836954</v>
      </c>
      <c r="E12">
        <v>1079</v>
      </c>
      <c r="F12">
        <v>1</v>
      </c>
      <c r="G12">
        <v>1079</v>
      </c>
      <c r="H12">
        <v>2</v>
      </c>
      <c r="I12" t="s">
        <v>166</v>
      </c>
      <c r="J12" t="s">
        <v>3</v>
      </c>
      <c r="K12" t="s">
        <v>167</v>
      </c>
      <c r="L12">
        <v>1344</v>
      </c>
      <c r="N12">
        <v>1008</v>
      </c>
      <c r="O12" t="s">
        <v>168</v>
      </c>
      <c r="P12" t="s">
        <v>168</v>
      </c>
      <c r="Q12">
        <v>1</v>
      </c>
      <c r="W12">
        <v>0</v>
      </c>
      <c r="X12">
        <v>-1180195794</v>
      </c>
      <c r="Y12">
        <f t="shared" si="0"/>
        <v>38.770000000000003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38.770000000000003</v>
      </c>
      <c r="AU12" t="s">
        <v>3</v>
      </c>
      <c r="AV12">
        <v>0</v>
      </c>
      <c r="AW12">
        <v>2</v>
      </c>
      <c r="AX12">
        <v>56526801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ROUND(Y12*Source!I39*DO12,9)</f>
        <v>0</v>
      </c>
      <c r="CX12">
        <f>ROUND(Y12*Source!I39,9)</f>
        <v>135.19099</v>
      </c>
      <c r="CY12">
        <f t="shared" si="1"/>
        <v>1</v>
      </c>
      <c r="CZ12">
        <f t="shared" si="2"/>
        <v>1</v>
      </c>
      <c r="DA12">
        <f t="shared" si="3"/>
        <v>1</v>
      </c>
      <c r="DB12">
        <f t="shared" si="4"/>
        <v>38.770000000000003</v>
      </c>
      <c r="DC12">
        <f t="shared" si="5"/>
        <v>0</v>
      </c>
      <c r="DD12" t="s">
        <v>3</v>
      </c>
      <c r="DE12" t="s">
        <v>3</v>
      </c>
      <c r="DF12">
        <f t="shared" si="6"/>
        <v>0</v>
      </c>
      <c r="DG12">
        <f t="shared" si="7"/>
        <v>135.19</v>
      </c>
      <c r="DH12">
        <f t="shared" si="8"/>
        <v>0</v>
      </c>
      <c r="DI12">
        <f t="shared" si="9"/>
        <v>0</v>
      </c>
      <c r="DJ12">
        <f t="shared" si="10"/>
        <v>135.19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ROW(Source!A40)</f>
        <v>40</v>
      </c>
      <c r="B13">
        <v>56526439</v>
      </c>
      <c r="C13">
        <v>56526790</v>
      </c>
      <c r="D13">
        <v>54836954</v>
      </c>
      <c r="E13">
        <v>1079</v>
      </c>
      <c r="F13">
        <v>1</v>
      </c>
      <c r="G13">
        <v>1079</v>
      </c>
      <c r="H13">
        <v>2</v>
      </c>
      <c r="I13" t="s">
        <v>166</v>
      </c>
      <c r="J13" t="s">
        <v>3</v>
      </c>
      <c r="K13" t="s">
        <v>167</v>
      </c>
      <c r="L13">
        <v>1344</v>
      </c>
      <c r="N13">
        <v>1008</v>
      </c>
      <c r="O13" t="s">
        <v>168</v>
      </c>
      <c r="P13" t="s">
        <v>168</v>
      </c>
      <c r="Q13">
        <v>1</v>
      </c>
      <c r="W13">
        <v>0</v>
      </c>
      <c r="X13">
        <v>-1180195794</v>
      </c>
      <c r="Y13">
        <f t="shared" si="0"/>
        <v>36.299999999999997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36.299999999999997</v>
      </c>
      <c r="AU13" t="s">
        <v>3</v>
      </c>
      <c r="AV13">
        <v>0</v>
      </c>
      <c r="AW13">
        <v>2</v>
      </c>
      <c r="AX13">
        <v>56526802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ROUND(Y13*Source!I40*DO13,9)</f>
        <v>0</v>
      </c>
      <c r="CX13">
        <f>ROUND(Y13*Source!I40,9)</f>
        <v>0.98009999999999997</v>
      </c>
      <c r="CY13">
        <f t="shared" si="1"/>
        <v>1</v>
      </c>
      <c r="CZ13">
        <f t="shared" si="2"/>
        <v>1</v>
      </c>
      <c r="DA13">
        <f t="shared" si="3"/>
        <v>1</v>
      </c>
      <c r="DB13">
        <f t="shared" si="4"/>
        <v>36.299999999999997</v>
      </c>
      <c r="DC13">
        <f t="shared" si="5"/>
        <v>0</v>
      </c>
      <c r="DD13" t="s">
        <v>3</v>
      </c>
      <c r="DE13" t="s">
        <v>3</v>
      </c>
      <c r="DF13">
        <f t="shared" si="6"/>
        <v>0</v>
      </c>
      <c r="DG13">
        <f t="shared" si="7"/>
        <v>0.98</v>
      </c>
      <c r="DH13">
        <f t="shared" si="8"/>
        <v>0</v>
      </c>
      <c r="DI13">
        <f t="shared" si="9"/>
        <v>0</v>
      </c>
      <c r="DJ13">
        <f t="shared" si="10"/>
        <v>0.98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ROW(Source!A41)</f>
        <v>41</v>
      </c>
      <c r="B14">
        <v>56526441</v>
      </c>
      <c r="C14">
        <v>56526790</v>
      </c>
      <c r="D14">
        <v>54836954</v>
      </c>
      <c r="E14">
        <v>1079</v>
      </c>
      <c r="F14">
        <v>1</v>
      </c>
      <c r="G14">
        <v>1079</v>
      </c>
      <c r="H14">
        <v>2</v>
      </c>
      <c r="I14" t="s">
        <v>166</v>
      </c>
      <c r="J14" t="s">
        <v>3</v>
      </c>
      <c r="K14" t="s">
        <v>167</v>
      </c>
      <c r="L14">
        <v>1344</v>
      </c>
      <c r="N14">
        <v>1008</v>
      </c>
      <c r="O14" t="s">
        <v>168</v>
      </c>
      <c r="P14" t="s">
        <v>168</v>
      </c>
      <c r="Q14">
        <v>1</v>
      </c>
      <c r="W14">
        <v>0</v>
      </c>
      <c r="X14">
        <v>-1180195794</v>
      </c>
      <c r="Y14">
        <f t="shared" si="0"/>
        <v>36.299999999999997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36.299999999999997</v>
      </c>
      <c r="AU14" t="s">
        <v>3</v>
      </c>
      <c r="AV14">
        <v>0</v>
      </c>
      <c r="AW14">
        <v>2</v>
      </c>
      <c r="AX14">
        <v>56526802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ROUND(Y14*Source!I41*DO14,9)</f>
        <v>0</v>
      </c>
      <c r="CX14">
        <f>ROUND(Y14*Source!I41,9)</f>
        <v>0.98009999999999997</v>
      </c>
      <c r="CY14">
        <f t="shared" si="1"/>
        <v>1</v>
      </c>
      <c r="CZ14">
        <f t="shared" si="2"/>
        <v>1</v>
      </c>
      <c r="DA14">
        <f t="shared" si="3"/>
        <v>1</v>
      </c>
      <c r="DB14">
        <f t="shared" si="4"/>
        <v>36.299999999999997</v>
      </c>
      <c r="DC14">
        <f t="shared" si="5"/>
        <v>0</v>
      </c>
      <c r="DD14" t="s">
        <v>3</v>
      </c>
      <c r="DE14" t="s">
        <v>3</v>
      </c>
      <c r="DF14">
        <f t="shared" si="6"/>
        <v>0</v>
      </c>
      <c r="DG14">
        <f t="shared" si="7"/>
        <v>0.98</v>
      </c>
      <c r="DH14">
        <f t="shared" si="8"/>
        <v>0</v>
      </c>
      <c r="DI14">
        <f t="shared" si="9"/>
        <v>0</v>
      </c>
      <c r="DJ14">
        <f t="shared" si="10"/>
        <v>0.98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ROW(Source!A42)</f>
        <v>42</v>
      </c>
      <c r="B15">
        <v>56526439</v>
      </c>
      <c r="C15">
        <v>56526793</v>
      </c>
      <c r="D15">
        <v>54836954</v>
      </c>
      <c r="E15">
        <v>1079</v>
      </c>
      <c r="F15">
        <v>1</v>
      </c>
      <c r="G15">
        <v>1079</v>
      </c>
      <c r="H15">
        <v>2</v>
      </c>
      <c r="I15" t="s">
        <v>166</v>
      </c>
      <c r="J15" t="s">
        <v>3</v>
      </c>
      <c r="K15" t="s">
        <v>167</v>
      </c>
      <c r="L15">
        <v>1344</v>
      </c>
      <c r="N15">
        <v>1008</v>
      </c>
      <c r="O15" t="s">
        <v>168</v>
      </c>
      <c r="P15" t="s">
        <v>168</v>
      </c>
      <c r="Q15">
        <v>1</v>
      </c>
      <c r="W15">
        <v>0</v>
      </c>
      <c r="X15">
        <v>-1180195794</v>
      </c>
      <c r="Y15">
        <f t="shared" si="0"/>
        <v>31.67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31.67</v>
      </c>
      <c r="AU15" t="s">
        <v>3</v>
      </c>
      <c r="AV15">
        <v>0</v>
      </c>
      <c r="AW15">
        <v>2</v>
      </c>
      <c r="AX15">
        <v>56526803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ROUND(Y15*Source!I42*DO15,9)</f>
        <v>0</v>
      </c>
      <c r="CX15">
        <f>ROUND(Y15*Source!I42,9)</f>
        <v>20.680510000000002</v>
      </c>
      <c r="CY15">
        <f t="shared" si="1"/>
        <v>1</v>
      </c>
      <c r="CZ15">
        <f t="shared" si="2"/>
        <v>1</v>
      </c>
      <c r="DA15">
        <f t="shared" si="3"/>
        <v>1</v>
      </c>
      <c r="DB15">
        <f t="shared" si="4"/>
        <v>31.67</v>
      </c>
      <c r="DC15">
        <f t="shared" si="5"/>
        <v>0</v>
      </c>
      <c r="DD15" t="s">
        <v>3</v>
      </c>
      <c r="DE15" t="s">
        <v>3</v>
      </c>
      <c r="DF15">
        <f t="shared" si="6"/>
        <v>0</v>
      </c>
      <c r="DG15">
        <f t="shared" si="7"/>
        <v>20.68</v>
      </c>
      <c r="DH15">
        <f t="shared" si="8"/>
        <v>0</v>
      </c>
      <c r="DI15">
        <f t="shared" si="9"/>
        <v>0</v>
      </c>
      <c r="DJ15">
        <f t="shared" si="10"/>
        <v>20.68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ROW(Source!A43)</f>
        <v>43</v>
      </c>
      <c r="B16">
        <v>56526441</v>
      </c>
      <c r="C16">
        <v>56526793</v>
      </c>
      <c r="D16">
        <v>54836954</v>
      </c>
      <c r="E16">
        <v>1079</v>
      </c>
      <c r="F16">
        <v>1</v>
      </c>
      <c r="G16">
        <v>1079</v>
      </c>
      <c r="H16">
        <v>2</v>
      </c>
      <c r="I16" t="s">
        <v>166</v>
      </c>
      <c r="J16" t="s">
        <v>3</v>
      </c>
      <c r="K16" t="s">
        <v>167</v>
      </c>
      <c r="L16">
        <v>1344</v>
      </c>
      <c r="N16">
        <v>1008</v>
      </c>
      <c r="O16" t="s">
        <v>168</v>
      </c>
      <c r="P16" t="s">
        <v>168</v>
      </c>
      <c r="Q16">
        <v>1</v>
      </c>
      <c r="W16">
        <v>0</v>
      </c>
      <c r="X16">
        <v>-1180195794</v>
      </c>
      <c r="Y16">
        <f t="shared" si="0"/>
        <v>31.67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31.67</v>
      </c>
      <c r="AU16" t="s">
        <v>3</v>
      </c>
      <c r="AV16">
        <v>0</v>
      </c>
      <c r="AW16">
        <v>2</v>
      </c>
      <c r="AX16">
        <v>56526803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ROUND(Y16*Source!I43*DO16,9)</f>
        <v>0</v>
      </c>
      <c r="CX16">
        <f>ROUND(Y16*Source!I43,9)</f>
        <v>20.680510000000002</v>
      </c>
      <c r="CY16">
        <f t="shared" si="1"/>
        <v>1</v>
      </c>
      <c r="CZ16">
        <f t="shared" si="2"/>
        <v>1</v>
      </c>
      <c r="DA16">
        <f t="shared" si="3"/>
        <v>1</v>
      </c>
      <c r="DB16">
        <f t="shared" si="4"/>
        <v>31.67</v>
      </c>
      <c r="DC16">
        <f t="shared" si="5"/>
        <v>0</v>
      </c>
      <c r="DD16" t="s">
        <v>3</v>
      </c>
      <c r="DE16" t="s">
        <v>3</v>
      </c>
      <c r="DF16">
        <f t="shared" si="6"/>
        <v>0</v>
      </c>
      <c r="DG16">
        <f t="shared" si="7"/>
        <v>20.68</v>
      </c>
      <c r="DH16">
        <f t="shared" si="8"/>
        <v>0</v>
      </c>
      <c r="DI16">
        <f t="shared" si="9"/>
        <v>0</v>
      </c>
      <c r="DJ16">
        <f t="shared" si="10"/>
        <v>20.68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ROW(Source!A44)</f>
        <v>44</v>
      </c>
      <c r="B17">
        <v>56526439</v>
      </c>
      <c r="C17">
        <v>56526804</v>
      </c>
      <c r="D17">
        <v>54836954</v>
      </c>
      <c r="E17">
        <v>1079</v>
      </c>
      <c r="F17">
        <v>1</v>
      </c>
      <c r="G17">
        <v>1079</v>
      </c>
      <c r="H17">
        <v>2</v>
      </c>
      <c r="I17" t="s">
        <v>166</v>
      </c>
      <c r="J17" t="s">
        <v>3</v>
      </c>
      <c r="K17" t="s">
        <v>167</v>
      </c>
      <c r="L17">
        <v>1344</v>
      </c>
      <c r="N17">
        <v>1008</v>
      </c>
      <c r="O17" t="s">
        <v>168</v>
      </c>
      <c r="P17" t="s">
        <v>168</v>
      </c>
      <c r="Q17">
        <v>1</v>
      </c>
      <c r="W17">
        <v>0</v>
      </c>
      <c r="X17">
        <v>-1180195794</v>
      </c>
      <c r="Y17">
        <f t="shared" si="0"/>
        <v>47.51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0</v>
      </c>
      <c r="AQ17">
        <v>0</v>
      </c>
      <c r="AR17">
        <v>0</v>
      </c>
      <c r="AS17" t="s">
        <v>3</v>
      </c>
      <c r="AT17">
        <v>47.51</v>
      </c>
      <c r="AU17" t="s">
        <v>3</v>
      </c>
      <c r="AV17">
        <v>0</v>
      </c>
      <c r="AW17">
        <v>2</v>
      </c>
      <c r="AX17">
        <v>56526805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ROUND(Y17*Source!I44*DO17,9)</f>
        <v>0</v>
      </c>
      <c r="CX17">
        <f>ROUND(Y17*Source!I44,9)</f>
        <v>184.00622999999999</v>
      </c>
      <c r="CY17">
        <f t="shared" si="1"/>
        <v>1</v>
      </c>
      <c r="CZ17">
        <f t="shared" si="2"/>
        <v>1</v>
      </c>
      <c r="DA17">
        <f t="shared" si="3"/>
        <v>1</v>
      </c>
      <c r="DB17">
        <f t="shared" si="4"/>
        <v>47.51</v>
      </c>
      <c r="DC17">
        <f t="shared" si="5"/>
        <v>0</v>
      </c>
      <c r="DD17" t="s">
        <v>3</v>
      </c>
      <c r="DE17" t="s">
        <v>3</v>
      </c>
      <c r="DF17">
        <f t="shared" si="6"/>
        <v>0</v>
      </c>
      <c r="DG17">
        <f t="shared" si="7"/>
        <v>184.01</v>
      </c>
      <c r="DH17">
        <f t="shared" si="8"/>
        <v>0</v>
      </c>
      <c r="DI17">
        <f t="shared" si="9"/>
        <v>0</v>
      </c>
      <c r="DJ17">
        <f t="shared" si="10"/>
        <v>184.01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ROW(Source!A45)</f>
        <v>45</v>
      </c>
      <c r="B18">
        <v>56526441</v>
      </c>
      <c r="C18">
        <v>56526804</v>
      </c>
      <c r="D18">
        <v>54836954</v>
      </c>
      <c r="E18">
        <v>1079</v>
      </c>
      <c r="F18">
        <v>1</v>
      </c>
      <c r="G18">
        <v>1079</v>
      </c>
      <c r="H18">
        <v>2</v>
      </c>
      <c r="I18" t="s">
        <v>166</v>
      </c>
      <c r="J18" t="s">
        <v>3</v>
      </c>
      <c r="K18" t="s">
        <v>167</v>
      </c>
      <c r="L18">
        <v>1344</v>
      </c>
      <c r="N18">
        <v>1008</v>
      </c>
      <c r="O18" t="s">
        <v>168</v>
      </c>
      <c r="P18" t="s">
        <v>168</v>
      </c>
      <c r="Q18">
        <v>1</v>
      </c>
      <c r="W18">
        <v>0</v>
      </c>
      <c r="X18">
        <v>-1180195794</v>
      </c>
      <c r="Y18">
        <f t="shared" si="0"/>
        <v>47.51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0</v>
      </c>
      <c r="AQ18">
        <v>0</v>
      </c>
      <c r="AR18">
        <v>0</v>
      </c>
      <c r="AS18" t="s">
        <v>3</v>
      </c>
      <c r="AT18">
        <v>47.51</v>
      </c>
      <c r="AU18" t="s">
        <v>3</v>
      </c>
      <c r="AV18">
        <v>0</v>
      </c>
      <c r="AW18">
        <v>2</v>
      </c>
      <c r="AX18">
        <v>56526805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ROUND(Y18*Source!I45*DO18,9)</f>
        <v>0</v>
      </c>
      <c r="CX18">
        <f>ROUND(Y18*Source!I45,9)</f>
        <v>184.00622999999999</v>
      </c>
      <c r="CY18">
        <f t="shared" si="1"/>
        <v>1</v>
      </c>
      <c r="CZ18">
        <f t="shared" si="2"/>
        <v>1</v>
      </c>
      <c r="DA18">
        <f t="shared" si="3"/>
        <v>1</v>
      </c>
      <c r="DB18">
        <f t="shared" si="4"/>
        <v>47.51</v>
      </c>
      <c r="DC18">
        <f t="shared" si="5"/>
        <v>0</v>
      </c>
      <c r="DD18" t="s">
        <v>3</v>
      </c>
      <c r="DE18" t="s">
        <v>3</v>
      </c>
      <c r="DF18">
        <f t="shared" si="6"/>
        <v>0</v>
      </c>
      <c r="DG18">
        <f t="shared" si="7"/>
        <v>184.01</v>
      </c>
      <c r="DH18">
        <f t="shared" si="8"/>
        <v>0</v>
      </c>
      <c r="DI18">
        <f t="shared" si="9"/>
        <v>0</v>
      </c>
      <c r="DJ18">
        <f t="shared" si="10"/>
        <v>184.01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ROW(Source!A46)</f>
        <v>46</v>
      </c>
      <c r="B19">
        <v>56526439</v>
      </c>
      <c r="C19">
        <v>56526806</v>
      </c>
      <c r="D19">
        <v>54836954</v>
      </c>
      <c r="E19">
        <v>1079</v>
      </c>
      <c r="F19">
        <v>1</v>
      </c>
      <c r="G19">
        <v>1079</v>
      </c>
      <c r="H19">
        <v>2</v>
      </c>
      <c r="I19" t="s">
        <v>166</v>
      </c>
      <c r="J19" t="s">
        <v>3</v>
      </c>
      <c r="K19" t="s">
        <v>167</v>
      </c>
      <c r="L19">
        <v>1344</v>
      </c>
      <c r="N19">
        <v>1008</v>
      </c>
      <c r="O19" t="s">
        <v>168</v>
      </c>
      <c r="P19" t="s">
        <v>168</v>
      </c>
      <c r="Q19">
        <v>1</v>
      </c>
      <c r="W19">
        <v>0</v>
      </c>
      <c r="X19">
        <v>-1180195794</v>
      </c>
      <c r="Y19">
        <f t="shared" si="0"/>
        <v>22.57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22.57</v>
      </c>
      <c r="AU19" t="s">
        <v>3</v>
      </c>
      <c r="AV19">
        <v>0</v>
      </c>
      <c r="AW19">
        <v>2</v>
      </c>
      <c r="AX19">
        <v>56526809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ROUND(Y19*Source!I46*DO19,9)</f>
        <v>0</v>
      </c>
      <c r="CX19">
        <f>ROUND(Y19*Source!I46,9)</f>
        <v>15046.945030000001</v>
      </c>
      <c r="CY19">
        <f t="shared" si="1"/>
        <v>1</v>
      </c>
      <c r="CZ19">
        <f t="shared" si="2"/>
        <v>1</v>
      </c>
      <c r="DA19">
        <f t="shared" si="3"/>
        <v>1</v>
      </c>
      <c r="DB19">
        <f t="shared" si="4"/>
        <v>22.57</v>
      </c>
      <c r="DC19">
        <f t="shared" si="5"/>
        <v>0</v>
      </c>
      <c r="DD19" t="s">
        <v>3</v>
      </c>
      <c r="DE19" t="s">
        <v>3</v>
      </c>
      <c r="DF19">
        <f t="shared" si="6"/>
        <v>0</v>
      </c>
      <c r="DG19">
        <f t="shared" si="7"/>
        <v>15046.95</v>
      </c>
      <c r="DH19">
        <f t="shared" si="8"/>
        <v>0</v>
      </c>
      <c r="DI19">
        <f t="shared" si="9"/>
        <v>0</v>
      </c>
      <c r="DJ19">
        <f t="shared" si="10"/>
        <v>15046.95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ROW(Source!A47)</f>
        <v>47</v>
      </c>
      <c r="B20">
        <v>56526441</v>
      </c>
      <c r="C20">
        <v>56526806</v>
      </c>
      <c r="D20">
        <v>54836954</v>
      </c>
      <c r="E20">
        <v>1079</v>
      </c>
      <c r="F20">
        <v>1</v>
      </c>
      <c r="G20">
        <v>1079</v>
      </c>
      <c r="H20">
        <v>2</v>
      </c>
      <c r="I20" t="s">
        <v>166</v>
      </c>
      <c r="J20" t="s">
        <v>3</v>
      </c>
      <c r="K20" t="s">
        <v>167</v>
      </c>
      <c r="L20">
        <v>1344</v>
      </c>
      <c r="N20">
        <v>1008</v>
      </c>
      <c r="O20" t="s">
        <v>168</v>
      </c>
      <c r="P20" t="s">
        <v>168</v>
      </c>
      <c r="Q20">
        <v>1</v>
      </c>
      <c r="W20">
        <v>0</v>
      </c>
      <c r="X20">
        <v>-1180195794</v>
      </c>
      <c r="Y20">
        <f t="shared" si="0"/>
        <v>22.57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22.57</v>
      </c>
      <c r="AU20" t="s">
        <v>3</v>
      </c>
      <c r="AV20">
        <v>0</v>
      </c>
      <c r="AW20">
        <v>2</v>
      </c>
      <c r="AX20">
        <v>56526809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ROUND(Y20*Source!I47*DO20,9)</f>
        <v>0</v>
      </c>
      <c r="CX20">
        <f>ROUND(Y20*Source!I47,9)</f>
        <v>15046.945030000001</v>
      </c>
      <c r="CY20">
        <f t="shared" si="1"/>
        <v>1</v>
      </c>
      <c r="CZ20">
        <f t="shared" si="2"/>
        <v>1</v>
      </c>
      <c r="DA20">
        <f t="shared" si="3"/>
        <v>1</v>
      </c>
      <c r="DB20">
        <f t="shared" si="4"/>
        <v>22.57</v>
      </c>
      <c r="DC20">
        <f t="shared" si="5"/>
        <v>0</v>
      </c>
      <c r="DD20" t="s">
        <v>3</v>
      </c>
      <c r="DE20" t="s">
        <v>3</v>
      </c>
      <c r="DF20">
        <f t="shared" si="6"/>
        <v>0</v>
      </c>
      <c r="DG20">
        <f t="shared" si="7"/>
        <v>15046.95</v>
      </c>
      <c r="DH20">
        <f t="shared" si="8"/>
        <v>0</v>
      </c>
      <c r="DI20">
        <f t="shared" si="9"/>
        <v>0</v>
      </c>
      <c r="DJ20">
        <f t="shared" si="10"/>
        <v>15046.95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ROW(Source!A48)</f>
        <v>48</v>
      </c>
      <c r="B21">
        <v>56526439</v>
      </c>
      <c r="C21">
        <v>56526810</v>
      </c>
      <c r="D21">
        <v>54836954</v>
      </c>
      <c r="E21">
        <v>1079</v>
      </c>
      <c r="F21">
        <v>1</v>
      </c>
      <c r="G21">
        <v>1079</v>
      </c>
      <c r="H21">
        <v>2</v>
      </c>
      <c r="I21" t="s">
        <v>166</v>
      </c>
      <c r="J21" t="s">
        <v>3</v>
      </c>
      <c r="K21" t="s">
        <v>167</v>
      </c>
      <c r="L21">
        <v>1344</v>
      </c>
      <c r="N21">
        <v>1008</v>
      </c>
      <c r="O21" t="s">
        <v>168</v>
      </c>
      <c r="P21" t="s">
        <v>168</v>
      </c>
      <c r="Q21">
        <v>1</v>
      </c>
      <c r="W21">
        <v>0</v>
      </c>
      <c r="X21">
        <v>-1180195794</v>
      </c>
      <c r="Y21">
        <f t="shared" si="0"/>
        <v>21.71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21.71</v>
      </c>
      <c r="AU21" t="s">
        <v>3</v>
      </c>
      <c r="AV21">
        <v>0</v>
      </c>
      <c r="AW21">
        <v>2</v>
      </c>
      <c r="AX21">
        <v>56526813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ROUND(Y21*Source!I48*DO21,9)</f>
        <v>0</v>
      </c>
      <c r="CX21">
        <f>ROUND(Y21*Source!I48,9)</f>
        <v>3175.1092100000001</v>
      </c>
      <c r="CY21">
        <f t="shared" si="1"/>
        <v>1</v>
      </c>
      <c r="CZ21">
        <f t="shared" si="2"/>
        <v>1</v>
      </c>
      <c r="DA21">
        <f t="shared" si="3"/>
        <v>1</v>
      </c>
      <c r="DB21">
        <f t="shared" si="4"/>
        <v>21.71</v>
      </c>
      <c r="DC21">
        <f t="shared" si="5"/>
        <v>0</v>
      </c>
      <c r="DD21" t="s">
        <v>3</v>
      </c>
      <c r="DE21" t="s">
        <v>3</v>
      </c>
      <c r="DF21">
        <f t="shared" si="6"/>
        <v>0</v>
      </c>
      <c r="DG21">
        <f t="shared" si="7"/>
        <v>3175.11</v>
      </c>
      <c r="DH21">
        <f t="shared" si="8"/>
        <v>0</v>
      </c>
      <c r="DI21">
        <f t="shared" si="9"/>
        <v>0</v>
      </c>
      <c r="DJ21">
        <f t="shared" si="10"/>
        <v>3175.11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ROW(Source!A49)</f>
        <v>49</v>
      </c>
      <c r="B22">
        <v>56526441</v>
      </c>
      <c r="C22">
        <v>56526810</v>
      </c>
      <c r="D22">
        <v>54836954</v>
      </c>
      <c r="E22">
        <v>1079</v>
      </c>
      <c r="F22">
        <v>1</v>
      </c>
      <c r="G22">
        <v>1079</v>
      </c>
      <c r="H22">
        <v>2</v>
      </c>
      <c r="I22" t="s">
        <v>166</v>
      </c>
      <c r="J22" t="s">
        <v>3</v>
      </c>
      <c r="K22" t="s">
        <v>167</v>
      </c>
      <c r="L22">
        <v>1344</v>
      </c>
      <c r="N22">
        <v>1008</v>
      </c>
      <c r="O22" t="s">
        <v>168</v>
      </c>
      <c r="P22" t="s">
        <v>168</v>
      </c>
      <c r="Q22">
        <v>1</v>
      </c>
      <c r="W22">
        <v>0</v>
      </c>
      <c r="X22">
        <v>-1180195794</v>
      </c>
      <c r="Y22">
        <f t="shared" si="0"/>
        <v>21.71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21.71</v>
      </c>
      <c r="AU22" t="s">
        <v>3</v>
      </c>
      <c r="AV22">
        <v>0</v>
      </c>
      <c r="AW22">
        <v>2</v>
      </c>
      <c r="AX22">
        <v>56526813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ROUND(Y22*Source!I49*DO22,9)</f>
        <v>0</v>
      </c>
      <c r="CX22">
        <f>ROUND(Y22*Source!I49,9)</f>
        <v>3175.1092100000001</v>
      </c>
      <c r="CY22">
        <f t="shared" si="1"/>
        <v>1</v>
      </c>
      <c r="CZ22">
        <f t="shared" si="2"/>
        <v>1</v>
      </c>
      <c r="DA22">
        <f t="shared" si="3"/>
        <v>1</v>
      </c>
      <c r="DB22">
        <f t="shared" si="4"/>
        <v>21.71</v>
      </c>
      <c r="DC22">
        <f t="shared" si="5"/>
        <v>0</v>
      </c>
      <c r="DD22" t="s">
        <v>3</v>
      </c>
      <c r="DE22" t="s">
        <v>3</v>
      </c>
      <c r="DF22">
        <f t="shared" si="6"/>
        <v>0</v>
      </c>
      <c r="DG22">
        <f t="shared" si="7"/>
        <v>3175.11</v>
      </c>
      <c r="DH22">
        <f t="shared" si="8"/>
        <v>0</v>
      </c>
      <c r="DI22">
        <f t="shared" si="9"/>
        <v>0</v>
      </c>
      <c r="DJ22">
        <f t="shared" si="10"/>
        <v>3175.11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ROW(Source!A50)</f>
        <v>50</v>
      </c>
      <c r="B23">
        <v>56526439</v>
      </c>
      <c r="C23">
        <v>56526814</v>
      </c>
      <c r="D23">
        <v>54836954</v>
      </c>
      <c r="E23">
        <v>1079</v>
      </c>
      <c r="F23">
        <v>1</v>
      </c>
      <c r="G23">
        <v>1079</v>
      </c>
      <c r="H23">
        <v>2</v>
      </c>
      <c r="I23" t="s">
        <v>166</v>
      </c>
      <c r="J23" t="s">
        <v>3</v>
      </c>
      <c r="K23" t="s">
        <v>167</v>
      </c>
      <c r="L23">
        <v>1344</v>
      </c>
      <c r="N23">
        <v>1008</v>
      </c>
      <c r="O23" t="s">
        <v>168</v>
      </c>
      <c r="P23" t="s">
        <v>168</v>
      </c>
      <c r="Q23">
        <v>1</v>
      </c>
      <c r="W23">
        <v>0</v>
      </c>
      <c r="X23">
        <v>-1180195794</v>
      </c>
      <c r="Y23">
        <f t="shared" si="0"/>
        <v>21.71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21.71</v>
      </c>
      <c r="AU23" t="s">
        <v>3</v>
      </c>
      <c r="AV23">
        <v>0</v>
      </c>
      <c r="AW23">
        <v>2</v>
      </c>
      <c r="AX23">
        <v>56526817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ROUND(Y23*Source!I50*DO23,9)</f>
        <v>0</v>
      </c>
      <c r="CX23">
        <f>ROUND(Y23*Source!I50,9)</f>
        <v>6.7083899999999996</v>
      </c>
      <c r="CY23">
        <f t="shared" si="1"/>
        <v>1</v>
      </c>
      <c r="CZ23">
        <f t="shared" si="2"/>
        <v>1</v>
      </c>
      <c r="DA23">
        <f t="shared" si="3"/>
        <v>1</v>
      </c>
      <c r="DB23">
        <f t="shared" si="4"/>
        <v>21.71</v>
      </c>
      <c r="DC23">
        <f t="shared" si="5"/>
        <v>0</v>
      </c>
      <c r="DD23" t="s">
        <v>3</v>
      </c>
      <c r="DE23" t="s">
        <v>3</v>
      </c>
      <c r="DF23">
        <f t="shared" si="6"/>
        <v>0</v>
      </c>
      <c r="DG23">
        <f t="shared" si="7"/>
        <v>6.71</v>
      </c>
      <c r="DH23">
        <f t="shared" si="8"/>
        <v>0</v>
      </c>
      <c r="DI23">
        <f t="shared" si="9"/>
        <v>0</v>
      </c>
      <c r="DJ23">
        <f t="shared" si="10"/>
        <v>6.71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ROW(Source!A51)</f>
        <v>51</v>
      </c>
      <c r="B24">
        <v>56526441</v>
      </c>
      <c r="C24">
        <v>56526814</v>
      </c>
      <c r="D24">
        <v>54836954</v>
      </c>
      <c r="E24">
        <v>1079</v>
      </c>
      <c r="F24">
        <v>1</v>
      </c>
      <c r="G24">
        <v>1079</v>
      </c>
      <c r="H24">
        <v>2</v>
      </c>
      <c r="I24" t="s">
        <v>166</v>
      </c>
      <c r="J24" t="s">
        <v>3</v>
      </c>
      <c r="K24" t="s">
        <v>167</v>
      </c>
      <c r="L24">
        <v>1344</v>
      </c>
      <c r="N24">
        <v>1008</v>
      </c>
      <c r="O24" t="s">
        <v>168</v>
      </c>
      <c r="P24" t="s">
        <v>168</v>
      </c>
      <c r="Q24">
        <v>1</v>
      </c>
      <c r="W24">
        <v>0</v>
      </c>
      <c r="X24">
        <v>-1180195794</v>
      </c>
      <c r="Y24">
        <f t="shared" si="0"/>
        <v>21.71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21.71</v>
      </c>
      <c r="AU24" t="s">
        <v>3</v>
      </c>
      <c r="AV24">
        <v>0</v>
      </c>
      <c r="AW24">
        <v>2</v>
      </c>
      <c r="AX24">
        <v>56526817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ROUND(Y24*Source!I51*DO24,9)</f>
        <v>0</v>
      </c>
      <c r="CX24">
        <f>ROUND(Y24*Source!I51,9)</f>
        <v>6.7083899999999996</v>
      </c>
      <c r="CY24">
        <f t="shared" si="1"/>
        <v>1</v>
      </c>
      <c r="CZ24">
        <f t="shared" si="2"/>
        <v>1</v>
      </c>
      <c r="DA24">
        <f t="shared" si="3"/>
        <v>1</v>
      </c>
      <c r="DB24">
        <f t="shared" si="4"/>
        <v>21.71</v>
      </c>
      <c r="DC24">
        <f t="shared" si="5"/>
        <v>0</v>
      </c>
      <c r="DD24" t="s">
        <v>3</v>
      </c>
      <c r="DE24" t="s">
        <v>3</v>
      </c>
      <c r="DF24">
        <f t="shared" si="6"/>
        <v>0</v>
      </c>
      <c r="DG24">
        <f t="shared" si="7"/>
        <v>6.71</v>
      </c>
      <c r="DH24">
        <f t="shared" si="8"/>
        <v>0</v>
      </c>
      <c r="DI24">
        <f t="shared" si="9"/>
        <v>0</v>
      </c>
      <c r="DJ24">
        <f t="shared" si="10"/>
        <v>6.71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ROW(Source!A52)</f>
        <v>52</v>
      </c>
      <c r="B25">
        <v>56526439</v>
      </c>
      <c r="C25">
        <v>56526818</v>
      </c>
      <c r="D25">
        <v>54836954</v>
      </c>
      <c r="E25">
        <v>1079</v>
      </c>
      <c r="F25">
        <v>1</v>
      </c>
      <c r="G25">
        <v>1079</v>
      </c>
      <c r="H25">
        <v>2</v>
      </c>
      <c r="I25" t="s">
        <v>166</v>
      </c>
      <c r="J25" t="s">
        <v>3</v>
      </c>
      <c r="K25" t="s">
        <v>167</v>
      </c>
      <c r="L25">
        <v>1344</v>
      </c>
      <c r="N25">
        <v>1008</v>
      </c>
      <c r="O25" t="s">
        <v>168</v>
      </c>
      <c r="P25" t="s">
        <v>168</v>
      </c>
      <c r="Q25">
        <v>1</v>
      </c>
      <c r="W25">
        <v>0</v>
      </c>
      <c r="X25">
        <v>-1180195794</v>
      </c>
      <c r="Y25">
        <f t="shared" si="0"/>
        <v>21.71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21.71</v>
      </c>
      <c r="AU25" t="s">
        <v>3</v>
      </c>
      <c r="AV25">
        <v>0</v>
      </c>
      <c r="AW25">
        <v>2</v>
      </c>
      <c r="AX25">
        <v>56526821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ROUND(Y25*Source!I52*DO25,9)</f>
        <v>0</v>
      </c>
      <c r="CX25">
        <f>ROUND(Y25*Source!I52,9)</f>
        <v>4474.2356099999997</v>
      </c>
      <c r="CY25">
        <f t="shared" si="1"/>
        <v>1</v>
      </c>
      <c r="CZ25">
        <f t="shared" si="2"/>
        <v>1</v>
      </c>
      <c r="DA25">
        <f t="shared" si="3"/>
        <v>1</v>
      </c>
      <c r="DB25">
        <f t="shared" si="4"/>
        <v>21.71</v>
      </c>
      <c r="DC25">
        <f t="shared" si="5"/>
        <v>0</v>
      </c>
      <c r="DD25" t="s">
        <v>3</v>
      </c>
      <c r="DE25" t="s">
        <v>3</v>
      </c>
      <c r="DF25">
        <f t="shared" si="6"/>
        <v>0</v>
      </c>
      <c r="DG25">
        <f t="shared" si="7"/>
        <v>4474.24</v>
      </c>
      <c r="DH25">
        <f t="shared" si="8"/>
        <v>0</v>
      </c>
      <c r="DI25">
        <f t="shared" si="9"/>
        <v>0</v>
      </c>
      <c r="DJ25">
        <f t="shared" si="10"/>
        <v>4474.24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ROW(Source!A53)</f>
        <v>53</v>
      </c>
      <c r="B26">
        <v>56526441</v>
      </c>
      <c r="C26">
        <v>56526818</v>
      </c>
      <c r="D26">
        <v>54836954</v>
      </c>
      <c r="E26">
        <v>1079</v>
      </c>
      <c r="F26">
        <v>1</v>
      </c>
      <c r="G26">
        <v>1079</v>
      </c>
      <c r="H26">
        <v>2</v>
      </c>
      <c r="I26" t="s">
        <v>166</v>
      </c>
      <c r="J26" t="s">
        <v>3</v>
      </c>
      <c r="K26" t="s">
        <v>167</v>
      </c>
      <c r="L26">
        <v>1344</v>
      </c>
      <c r="N26">
        <v>1008</v>
      </c>
      <c r="O26" t="s">
        <v>168</v>
      </c>
      <c r="P26" t="s">
        <v>168</v>
      </c>
      <c r="Q26">
        <v>1</v>
      </c>
      <c r="W26">
        <v>0</v>
      </c>
      <c r="X26">
        <v>-1180195794</v>
      </c>
      <c r="Y26">
        <f t="shared" si="0"/>
        <v>21.71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21.71</v>
      </c>
      <c r="AU26" t="s">
        <v>3</v>
      </c>
      <c r="AV26">
        <v>0</v>
      </c>
      <c r="AW26">
        <v>2</v>
      </c>
      <c r="AX26">
        <v>56526821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ROUND(Y26*Source!I53*DO26,9)</f>
        <v>0</v>
      </c>
      <c r="CX26">
        <f>ROUND(Y26*Source!I53,9)</f>
        <v>4474.2356099999997</v>
      </c>
      <c r="CY26">
        <f t="shared" si="1"/>
        <v>1</v>
      </c>
      <c r="CZ26">
        <f t="shared" si="2"/>
        <v>1</v>
      </c>
      <c r="DA26">
        <f t="shared" si="3"/>
        <v>1</v>
      </c>
      <c r="DB26">
        <f t="shared" si="4"/>
        <v>21.71</v>
      </c>
      <c r="DC26">
        <f t="shared" si="5"/>
        <v>0</v>
      </c>
      <c r="DD26" t="s">
        <v>3</v>
      </c>
      <c r="DE26" t="s">
        <v>3</v>
      </c>
      <c r="DF26">
        <f t="shared" si="6"/>
        <v>0</v>
      </c>
      <c r="DG26">
        <f t="shared" si="7"/>
        <v>4474.24</v>
      </c>
      <c r="DH26">
        <f t="shared" si="8"/>
        <v>0</v>
      </c>
      <c r="DI26">
        <f t="shared" si="9"/>
        <v>0</v>
      </c>
      <c r="DJ26">
        <f t="shared" si="10"/>
        <v>4474.24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ROW(Source!A54)</f>
        <v>54</v>
      </c>
      <c r="B27">
        <v>56526439</v>
      </c>
      <c r="C27">
        <v>56526822</v>
      </c>
      <c r="D27">
        <v>54836954</v>
      </c>
      <c r="E27">
        <v>1079</v>
      </c>
      <c r="F27">
        <v>1</v>
      </c>
      <c r="G27">
        <v>1079</v>
      </c>
      <c r="H27">
        <v>2</v>
      </c>
      <c r="I27" t="s">
        <v>166</v>
      </c>
      <c r="J27" t="s">
        <v>3</v>
      </c>
      <c r="K27" t="s">
        <v>167</v>
      </c>
      <c r="L27">
        <v>1344</v>
      </c>
      <c r="N27">
        <v>1008</v>
      </c>
      <c r="O27" t="s">
        <v>168</v>
      </c>
      <c r="P27" t="s">
        <v>168</v>
      </c>
      <c r="Q27">
        <v>1</v>
      </c>
      <c r="W27">
        <v>0</v>
      </c>
      <c r="X27">
        <v>-1180195794</v>
      </c>
      <c r="Y27">
        <f t="shared" si="0"/>
        <v>21.71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21.71</v>
      </c>
      <c r="AU27" t="s">
        <v>3</v>
      </c>
      <c r="AV27">
        <v>0</v>
      </c>
      <c r="AW27">
        <v>2</v>
      </c>
      <c r="AX27">
        <v>56526825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ROUND(Y27*Source!I54*DO27,9)</f>
        <v>0</v>
      </c>
      <c r="CX27">
        <f>ROUND(Y27*Source!I54,9)</f>
        <v>100.47387999999999</v>
      </c>
      <c r="CY27">
        <f t="shared" si="1"/>
        <v>1</v>
      </c>
      <c r="CZ27">
        <f t="shared" si="2"/>
        <v>1</v>
      </c>
      <c r="DA27">
        <f t="shared" si="3"/>
        <v>1</v>
      </c>
      <c r="DB27">
        <f t="shared" si="4"/>
        <v>21.71</v>
      </c>
      <c r="DC27">
        <f t="shared" si="5"/>
        <v>0</v>
      </c>
      <c r="DD27" t="s">
        <v>3</v>
      </c>
      <c r="DE27" t="s">
        <v>3</v>
      </c>
      <c r="DF27">
        <f t="shared" si="6"/>
        <v>0</v>
      </c>
      <c r="DG27">
        <f t="shared" si="7"/>
        <v>100.47</v>
      </c>
      <c r="DH27">
        <f t="shared" si="8"/>
        <v>0</v>
      </c>
      <c r="DI27">
        <f t="shared" si="9"/>
        <v>0</v>
      </c>
      <c r="DJ27">
        <f t="shared" si="10"/>
        <v>100.47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ROW(Source!A55)</f>
        <v>55</v>
      </c>
      <c r="B28">
        <v>56526441</v>
      </c>
      <c r="C28">
        <v>56526822</v>
      </c>
      <c r="D28">
        <v>54836954</v>
      </c>
      <c r="E28">
        <v>1079</v>
      </c>
      <c r="F28">
        <v>1</v>
      </c>
      <c r="G28">
        <v>1079</v>
      </c>
      <c r="H28">
        <v>2</v>
      </c>
      <c r="I28" t="s">
        <v>166</v>
      </c>
      <c r="J28" t="s">
        <v>3</v>
      </c>
      <c r="K28" t="s">
        <v>167</v>
      </c>
      <c r="L28">
        <v>1344</v>
      </c>
      <c r="N28">
        <v>1008</v>
      </c>
      <c r="O28" t="s">
        <v>168</v>
      </c>
      <c r="P28" t="s">
        <v>168</v>
      </c>
      <c r="Q28">
        <v>1</v>
      </c>
      <c r="W28">
        <v>0</v>
      </c>
      <c r="X28">
        <v>-1180195794</v>
      </c>
      <c r="Y28">
        <f t="shared" si="0"/>
        <v>21.71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21.71</v>
      </c>
      <c r="AU28" t="s">
        <v>3</v>
      </c>
      <c r="AV28">
        <v>0</v>
      </c>
      <c r="AW28">
        <v>2</v>
      </c>
      <c r="AX28">
        <v>56526825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ROUND(Y28*Source!I55*DO28,9)</f>
        <v>0</v>
      </c>
      <c r="CX28">
        <f>ROUND(Y28*Source!I55,9)</f>
        <v>100.47387999999999</v>
      </c>
      <c r="CY28">
        <f t="shared" si="1"/>
        <v>1</v>
      </c>
      <c r="CZ28">
        <f t="shared" si="2"/>
        <v>1</v>
      </c>
      <c r="DA28">
        <f t="shared" si="3"/>
        <v>1</v>
      </c>
      <c r="DB28">
        <f t="shared" si="4"/>
        <v>21.71</v>
      </c>
      <c r="DC28">
        <f t="shared" si="5"/>
        <v>0</v>
      </c>
      <c r="DD28" t="s">
        <v>3</v>
      </c>
      <c r="DE28" t="s">
        <v>3</v>
      </c>
      <c r="DF28">
        <f t="shared" si="6"/>
        <v>0</v>
      </c>
      <c r="DG28">
        <f t="shared" si="7"/>
        <v>100.47</v>
      </c>
      <c r="DH28">
        <f t="shared" si="8"/>
        <v>0</v>
      </c>
      <c r="DI28">
        <f t="shared" si="9"/>
        <v>0</v>
      </c>
      <c r="DJ28">
        <f t="shared" si="10"/>
        <v>100.47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ROW(Source!A56)</f>
        <v>56</v>
      </c>
      <c r="B29">
        <v>56526439</v>
      </c>
      <c r="C29">
        <v>56526826</v>
      </c>
      <c r="D29">
        <v>54836954</v>
      </c>
      <c r="E29">
        <v>1079</v>
      </c>
      <c r="F29">
        <v>1</v>
      </c>
      <c r="G29">
        <v>1079</v>
      </c>
      <c r="H29">
        <v>2</v>
      </c>
      <c r="I29" t="s">
        <v>166</v>
      </c>
      <c r="J29" t="s">
        <v>3</v>
      </c>
      <c r="K29" t="s">
        <v>167</v>
      </c>
      <c r="L29">
        <v>1344</v>
      </c>
      <c r="N29">
        <v>1008</v>
      </c>
      <c r="O29" t="s">
        <v>168</v>
      </c>
      <c r="P29" t="s">
        <v>168</v>
      </c>
      <c r="Q29">
        <v>1</v>
      </c>
      <c r="W29">
        <v>0</v>
      </c>
      <c r="X29">
        <v>-1180195794</v>
      </c>
      <c r="Y29">
        <f t="shared" si="0"/>
        <v>24.39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0</v>
      </c>
      <c r="AQ29">
        <v>0</v>
      </c>
      <c r="AR29">
        <v>0</v>
      </c>
      <c r="AS29" t="s">
        <v>3</v>
      </c>
      <c r="AT29">
        <v>24.39</v>
      </c>
      <c r="AU29" t="s">
        <v>3</v>
      </c>
      <c r="AV29">
        <v>0</v>
      </c>
      <c r="AW29">
        <v>2</v>
      </c>
      <c r="AX29">
        <v>56526827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ROUND(Y29*Source!I56*DO29,9)</f>
        <v>0</v>
      </c>
      <c r="CX29">
        <f>ROUND(Y29*Source!I56,9)</f>
        <v>88.072289999999995</v>
      </c>
      <c r="CY29">
        <f t="shared" si="1"/>
        <v>1</v>
      </c>
      <c r="CZ29">
        <f t="shared" si="2"/>
        <v>1</v>
      </c>
      <c r="DA29">
        <f t="shared" si="3"/>
        <v>1</v>
      </c>
      <c r="DB29">
        <f t="shared" si="4"/>
        <v>24.39</v>
      </c>
      <c r="DC29">
        <f t="shared" si="5"/>
        <v>0</v>
      </c>
      <c r="DD29" t="s">
        <v>3</v>
      </c>
      <c r="DE29" t="s">
        <v>3</v>
      </c>
      <c r="DF29">
        <f t="shared" si="6"/>
        <v>0</v>
      </c>
      <c r="DG29">
        <f t="shared" si="7"/>
        <v>88.07</v>
      </c>
      <c r="DH29">
        <f t="shared" si="8"/>
        <v>0</v>
      </c>
      <c r="DI29">
        <f t="shared" si="9"/>
        <v>0</v>
      </c>
      <c r="DJ29">
        <f t="shared" si="10"/>
        <v>88.07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ROW(Source!A57)</f>
        <v>57</v>
      </c>
      <c r="B30">
        <v>56526441</v>
      </c>
      <c r="C30">
        <v>56526826</v>
      </c>
      <c r="D30">
        <v>54836954</v>
      </c>
      <c r="E30">
        <v>1079</v>
      </c>
      <c r="F30">
        <v>1</v>
      </c>
      <c r="G30">
        <v>1079</v>
      </c>
      <c r="H30">
        <v>2</v>
      </c>
      <c r="I30" t="s">
        <v>166</v>
      </c>
      <c r="J30" t="s">
        <v>3</v>
      </c>
      <c r="K30" t="s">
        <v>167</v>
      </c>
      <c r="L30">
        <v>1344</v>
      </c>
      <c r="N30">
        <v>1008</v>
      </c>
      <c r="O30" t="s">
        <v>168</v>
      </c>
      <c r="P30" t="s">
        <v>168</v>
      </c>
      <c r="Q30">
        <v>1</v>
      </c>
      <c r="W30">
        <v>0</v>
      </c>
      <c r="X30">
        <v>-1180195794</v>
      </c>
      <c r="Y30">
        <f t="shared" si="0"/>
        <v>24.39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0</v>
      </c>
      <c r="AQ30">
        <v>0</v>
      </c>
      <c r="AR30">
        <v>0</v>
      </c>
      <c r="AS30" t="s">
        <v>3</v>
      </c>
      <c r="AT30">
        <v>24.39</v>
      </c>
      <c r="AU30" t="s">
        <v>3</v>
      </c>
      <c r="AV30">
        <v>0</v>
      </c>
      <c r="AW30">
        <v>2</v>
      </c>
      <c r="AX30">
        <v>56526827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ROUND(Y30*Source!I57*DO30,9)</f>
        <v>0</v>
      </c>
      <c r="CX30">
        <f>ROUND(Y30*Source!I57,9)</f>
        <v>88.072289999999995</v>
      </c>
      <c r="CY30">
        <f t="shared" si="1"/>
        <v>1</v>
      </c>
      <c r="CZ30">
        <f t="shared" si="2"/>
        <v>1</v>
      </c>
      <c r="DA30">
        <f t="shared" si="3"/>
        <v>1</v>
      </c>
      <c r="DB30">
        <f t="shared" si="4"/>
        <v>24.39</v>
      </c>
      <c r="DC30">
        <f t="shared" si="5"/>
        <v>0</v>
      </c>
      <c r="DD30" t="s">
        <v>3</v>
      </c>
      <c r="DE30" t="s">
        <v>3</v>
      </c>
      <c r="DF30">
        <f t="shared" si="6"/>
        <v>0</v>
      </c>
      <c r="DG30">
        <f t="shared" si="7"/>
        <v>88.07</v>
      </c>
      <c r="DH30">
        <f t="shared" si="8"/>
        <v>0</v>
      </c>
      <c r="DI30">
        <f t="shared" si="9"/>
        <v>0</v>
      </c>
      <c r="DJ30">
        <f t="shared" si="10"/>
        <v>88.07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ROW(Source!A58)</f>
        <v>58</v>
      </c>
      <c r="B31">
        <v>56526439</v>
      </c>
      <c r="C31">
        <v>56526828</v>
      </c>
      <c r="D31">
        <v>54836954</v>
      </c>
      <c r="E31">
        <v>1079</v>
      </c>
      <c r="F31">
        <v>1</v>
      </c>
      <c r="G31">
        <v>1079</v>
      </c>
      <c r="H31">
        <v>2</v>
      </c>
      <c r="I31" t="s">
        <v>166</v>
      </c>
      <c r="J31" t="s">
        <v>3</v>
      </c>
      <c r="K31" t="s">
        <v>167</v>
      </c>
      <c r="L31">
        <v>1344</v>
      </c>
      <c r="N31">
        <v>1008</v>
      </c>
      <c r="O31" t="s">
        <v>168</v>
      </c>
      <c r="P31" t="s">
        <v>168</v>
      </c>
      <c r="Q31">
        <v>1</v>
      </c>
      <c r="W31">
        <v>0</v>
      </c>
      <c r="X31">
        <v>-1180195794</v>
      </c>
      <c r="Y31">
        <f t="shared" si="0"/>
        <v>16.260000000000002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16.260000000000002</v>
      </c>
      <c r="AU31" t="s">
        <v>3</v>
      </c>
      <c r="AV31">
        <v>0</v>
      </c>
      <c r="AW31">
        <v>2</v>
      </c>
      <c r="AX31">
        <v>56526831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ROUND(Y31*Source!I58*DO31,9)</f>
        <v>0</v>
      </c>
      <c r="CX31">
        <f>ROUND(Y31*Source!I58,9)</f>
        <v>27.398099999999999</v>
      </c>
      <c r="CY31">
        <f t="shared" si="1"/>
        <v>1</v>
      </c>
      <c r="CZ31">
        <f t="shared" si="2"/>
        <v>1</v>
      </c>
      <c r="DA31">
        <f t="shared" si="3"/>
        <v>1</v>
      </c>
      <c r="DB31">
        <f t="shared" si="4"/>
        <v>16.260000000000002</v>
      </c>
      <c r="DC31">
        <f t="shared" si="5"/>
        <v>0</v>
      </c>
      <c r="DD31" t="s">
        <v>3</v>
      </c>
      <c r="DE31" t="s">
        <v>3</v>
      </c>
      <c r="DF31">
        <f t="shared" si="6"/>
        <v>0</v>
      </c>
      <c r="DG31">
        <f t="shared" si="7"/>
        <v>27.4</v>
      </c>
      <c r="DH31">
        <f t="shared" si="8"/>
        <v>0</v>
      </c>
      <c r="DI31">
        <f t="shared" si="9"/>
        <v>0</v>
      </c>
      <c r="DJ31">
        <f t="shared" si="10"/>
        <v>27.4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ROW(Source!A59)</f>
        <v>59</v>
      </c>
      <c r="B32">
        <v>56526441</v>
      </c>
      <c r="C32">
        <v>56526828</v>
      </c>
      <c r="D32">
        <v>54836954</v>
      </c>
      <c r="E32">
        <v>1079</v>
      </c>
      <c r="F32">
        <v>1</v>
      </c>
      <c r="G32">
        <v>1079</v>
      </c>
      <c r="H32">
        <v>2</v>
      </c>
      <c r="I32" t="s">
        <v>166</v>
      </c>
      <c r="J32" t="s">
        <v>3</v>
      </c>
      <c r="K32" t="s">
        <v>167</v>
      </c>
      <c r="L32">
        <v>1344</v>
      </c>
      <c r="N32">
        <v>1008</v>
      </c>
      <c r="O32" t="s">
        <v>168</v>
      </c>
      <c r="P32" t="s">
        <v>168</v>
      </c>
      <c r="Q32">
        <v>1</v>
      </c>
      <c r="W32">
        <v>0</v>
      </c>
      <c r="X32">
        <v>-1180195794</v>
      </c>
      <c r="Y32">
        <f t="shared" si="0"/>
        <v>16.260000000000002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16.260000000000002</v>
      </c>
      <c r="AU32" t="s">
        <v>3</v>
      </c>
      <c r="AV32">
        <v>0</v>
      </c>
      <c r="AW32">
        <v>2</v>
      </c>
      <c r="AX32">
        <v>56526831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ROUND(Y32*Source!I59*DO32,9)</f>
        <v>0</v>
      </c>
      <c r="CX32">
        <f>ROUND(Y32*Source!I59,9)</f>
        <v>27.398099999999999</v>
      </c>
      <c r="CY32">
        <f t="shared" si="1"/>
        <v>1</v>
      </c>
      <c r="CZ32">
        <f t="shared" si="2"/>
        <v>1</v>
      </c>
      <c r="DA32">
        <f t="shared" si="3"/>
        <v>1</v>
      </c>
      <c r="DB32">
        <f t="shared" si="4"/>
        <v>16.260000000000002</v>
      </c>
      <c r="DC32">
        <f t="shared" si="5"/>
        <v>0</v>
      </c>
      <c r="DD32" t="s">
        <v>3</v>
      </c>
      <c r="DE32" t="s">
        <v>3</v>
      </c>
      <c r="DF32">
        <f t="shared" si="6"/>
        <v>0</v>
      </c>
      <c r="DG32">
        <f t="shared" si="7"/>
        <v>27.4</v>
      </c>
      <c r="DH32">
        <f t="shared" si="8"/>
        <v>0</v>
      </c>
      <c r="DI32">
        <f t="shared" si="9"/>
        <v>0</v>
      </c>
      <c r="DJ32">
        <f t="shared" si="10"/>
        <v>27.4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ROW(Source!A60)</f>
        <v>60</v>
      </c>
      <c r="B33">
        <v>56526439</v>
      </c>
      <c r="C33">
        <v>56526832</v>
      </c>
      <c r="D33">
        <v>54836954</v>
      </c>
      <c r="E33">
        <v>1079</v>
      </c>
      <c r="F33">
        <v>1</v>
      </c>
      <c r="G33">
        <v>1079</v>
      </c>
      <c r="H33">
        <v>2</v>
      </c>
      <c r="I33" t="s">
        <v>166</v>
      </c>
      <c r="J33" t="s">
        <v>3</v>
      </c>
      <c r="K33" t="s">
        <v>167</v>
      </c>
      <c r="L33">
        <v>1344</v>
      </c>
      <c r="N33">
        <v>1008</v>
      </c>
      <c r="O33" t="s">
        <v>168</v>
      </c>
      <c r="P33" t="s">
        <v>168</v>
      </c>
      <c r="Q33">
        <v>1</v>
      </c>
      <c r="W33">
        <v>0</v>
      </c>
      <c r="X33">
        <v>-1180195794</v>
      </c>
      <c r="Y33">
        <f t="shared" si="0"/>
        <v>27.64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0</v>
      </c>
      <c r="AQ33">
        <v>0</v>
      </c>
      <c r="AR33">
        <v>0</v>
      </c>
      <c r="AS33" t="s">
        <v>3</v>
      </c>
      <c r="AT33">
        <v>27.64</v>
      </c>
      <c r="AU33" t="s">
        <v>3</v>
      </c>
      <c r="AV33">
        <v>0</v>
      </c>
      <c r="AW33">
        <v>2</v>
      </c>
      <c r="AX33">
        <v>56526833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ROUND(Y33*Source!I60*DO33,9)</f>
        <v>0</v>
      </c>
      <c r="CX33">
        <f>ROUND(Y33*Source!I60,9)</f>
        <v>71.864000000000004</v>
      </c>
      <c r="CY33">
        <f t="shared" si="1"/>
        <v>1</v>
      </c>
      <c r="CZ33">
        <f t="shared" si="2"/>
        <v>1</v>
      </c>
      <c r="DA33">
        <f t="shared" si="3"/>
        <v>1</v>
      </c>
      <c r="DB33">
        <f t="shared" si="4"/>
        <v>27.64</v>
      </c>
      <c r="DC33">
        <f t="shared" si="5"/>
        <v>0</v>
      </c>
      <c r="DD33" t="s">
        <v>3</v>
      </c>
      <c r="DE33" t="s">
        <v>3</v>
      </c>
      <c r="DF33">
        <f t="shared" si="6"/>
        <v>0</v>
      </c>
      <c r="DG33">
        <f t="shared" si="7"/>
        <v>71.86</v>
      </c>
      <c r="DH33">
        <f t="shared" si="8"/>
        <v>0</v>
      </c>
      <c r="DI33">
        <f t="shared" si="9"/>
        <v>0</v>
      </c>
      <c r="DJ33">
        <f t="shared" si="10"/>
        <v>71.86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ROW(Source!A61)</f>
        <v>61</v>
      </c>
      <c r="B34">
        <v>56526441</v>
      </c>
      <c r="C34">
        <v>56526832</v>
      </c>
      <c r="D34">
        <v>54836954</v>
      </c>
      <c r="E34">
        <v>1079</v>
      </c>
      <c r="F34">
        <v>1</v>
      </c>
      <c r="G34">
        <v>1079</v>
      </c>
      <c r="H34">
        <v>2</v>
      </c>
      <c r="I34" t="s">
        <v>166</v>
      </c>
      <c r="J34" t="s">
        <v>3</v>
      </c>
      <c r="K34" t="s">
        <v>167</v>
      </c>
      <c r="L34">
        <v>1344</v>
      </c>
      <c r="N34">
        <v>1008</v>
      </c>
      <c r="O34" t="s">
        <v>168</v>
      </c>
      <c r="P34" t="s">
        <v>168</v>
      </c>
      <c r="Q34">
        <v>1</v>
      </c>
      <c r="W34">
        <v>0</v>
      </c>
      <c r="X34">
        <v>-1180195794</v>
      </c>
      <c r="Y34">
        <f t="shared" si="0"/>
        <v>27.64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0</v>
      </c>
      <c r="AQ34">
        <v>0</v>
      </c>
      <c r="AR34">
        <v>0</v>
      </c>
      <c r="AS34" t="s">
        <v>3</v>
      </c>
      <c r="AT34">
        <v>27.64</v>
      </c>
      <c r="AU34" t="s">
        <v>3</v>
      </c>
      <c r="AV34">
        <v>0</v>
      </c>
      <c r="AW34">
        <v>2</v>
      </c>
      <c r="AX34">
        <v>56526833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ROUND(Y34*Source!I61*DO34,9)</f>
        <v>0</v>
      </c>
      <c r="CX34">
        <f>ROUND(Y34*Source!I61,9)</f>
        <v>71.864000000000004</v>
      </c>
      <c r="CY34">
        <f t="shared" si="1"/>
        <v>1</v>
      </c>
      <c r="CZ34">
        <f t="shared" si="2"/>
        <v>1</v>
      </c>
      <c r="DA34">
        <f t="shared" si="3"/>
        <v>1</v>
      </c>
      <c r="DB34">
        <f t="shared" si="4"/>
        <v>27.64</v>
      </c>
      <c r="DC34">
        <f t="shared" si="5"/>
        <v>0</v>
      </c>
      <c r="DD34" t="s">
        <v>3</v>
      </c>
      <c r="DE34" t="s">
        <v>3</v>
      </c>
      <c r="DF34">
        <f t="shared" si="6"/>
        <v>0</v>
      </c>
      <c r="DG34">
        <f t="shared" si="7"/>
        <v>71.86</v>
      </c>
      <c r="DH34">
        <f t="shared" si="8"/>
        <v>0</v>
      </c>
      <c r="DI34">
        <f t="shared" si="9"/>
        <v>0</v>
      </c>
      <c r="DJ34">
        <f t="shared" si="10"/>
        <v>71.86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ROW(Source!A62)</f>
        <v>62</v>
      </c>
      <c r="B35">
        <v>56526439</v>
      </c>
      <c r="C35">
        <v>56526834</v>
      </c>
      <c r="D35">
        <v>54836954</v>
      </c>
      <c r="E35">
        <v>1079</v>
      </c>
      <c r="F35">
        <v>1</v>
      </c>
      <c r="G35">
        <v>1079</v>
      </c>
      <c r="H35">
        <v>2</v>
      </c>
      <c r="I35" t="s">
        <v>166</v>
      </c>
      <c r="J35" t="s">
        <v>3</v>
      </c>
      <c r="K35" t="s">
        <v>167</v>
      </c>
      <c r="L35">
        <v>1344</v>
      </c>
      <c r="N35">
        <v>1008</v>
      </c>
      <c r="O35" t="s">
        <v>168</v>
      </c>
      <c r="P35" t="s">
        <v>168</v>
      </c>
      <c r="Q35">
        <v>1</v>
      </c>
      <c r="W35">
        <v>0</v>
      </c>
      <c r="X35">
        <v>-1180195794</v>
      </c>
      <c r="Y35">
        <f t="shared" si="0"/>
        <v>47.51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47.51</v>
      </c>
      <c r="AU35" t="s">
        <v>3</v>
      </c>
      <c r="AV35">
        <v>0</v>
      </c>
      <c r="AW35">
        <v>2</v>
      </c>
      <c r="AX35">
        <v>56526837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ROUND(Y35*Source!I62*DO35,9)</f>
        <v>0</v>
      </c>
      <c r="CX35">
        <f>ROUND(Y35*Source!I62,9)</f>
        <v>15134.975640000001</v>
      </c>
      <c r="CY35">
        <f t="shared" si="1"/>
        <v>1</v>
      </c>
      <c r="CZ35">
        <f t="shared" si="2"/>
        <v>1</v>
      </c>
      <c r="DA35">
        <f t="shared" si="3"/>
        <v>1</v>
      </c>
      <c r="DB35">
        <f t="shared" si="4"/>
        <v>47.51</v>
      </c>
      <c r="DC35">
        <f t="shared" si="5"/>
        <v>0</v>
      </c>
      <c r="DD35" t="s">
        <v>3</v>
      </c>
      <c r="DE35" t="s">
        <v>3</v>
      </c>
      <c r="DF35">
        <f t="shared" si="6"/>
        <v>0</v>
      </c>
      <c r="DG35">
        <f t="shared" si="7"/>
        <v>15134.98</v>
      </c>
      <c r="DH35">
        <f t="shared" si="8"/>
        <v>0</v>
      </c>
      <c r="DI35">
        <f t="shared" si="9"/>
        <v>0</v>
      </c>
      <c r="DJ35">
        <f t="shared" si="10"/>
        <v>15134.98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ROW(Source!A63)</f>
        <v>63</v>
      </c>
      <c r="B36">
        <v>56526441</v>
      </c>
      <c r="C36">
        <v>56526834</v>
      </c>
      <c r="D36">
        <v>54836954</v>
      </c>
      <c r="E36">
        <v>1079</v>
      </c>
      <c r="F36">
        <v>1</v>
      </c>
      <c r="G36">
        <v>1079</v>
      </c>
      <c r="H36">
        <v>2</v>
      </c>
      <c r="I36" t="s">
        <v>166</v>
      </c>
      <c r="J36" t="s">
        <v>3</v>
      </c>
      <c r="K36" t="s">
        <v>167</v>
      </c>
      <c r="L36">
        <v>1344</v>
      </c>
      <c r="N36">
        <v>1008</v>
      </c>
      <c r="O36" t="s">
        <v>168</v>
      </c>
      <c r="P36" t="s">
        <v>168</v>
      </c>
      <c r="Q36">
        <v>1</v>
      </c>
      <c r="W36">
        <v>0</v>
      </c>
      <c r="X36">
        <v>-1180195794</v>
      </c>
      <c r="Y36">
        <f t="shared" si="0"/>
        <v>47.51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47.51</v>
      </c>
      <c r="AU36" t="s">
        <v>3</v>
      </c>
      <c r="AV36">
        <v>0</v>
      </c>
      <c r="AW36">
        <v>2</v>
      </c>
      <c r="AX36">
        <v>56526837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ROUND(Y36*Source!I63*DO36,9)</f>
        <v>0</v>
      </c>
      <c r="CX36">
        <f>ROUND(Y36*Source!I63,9)</f>
        <v>15134.975640000001</v>
      </c>
      <c r="CY36">
        <f t="shared" si="1"/>
        <v>1</v>
      </c>
      <c r="CZ36">
        <f t="shared" si="2"/>
        <v>1</v>
      </c>
      <c r="DA36">
        <f t="shared" si="3"/>
        <v>1</v>
      </c>
      <c r="DB36">
        <f t="shared" si="4"/>
        <v>47.51</v>
      </c>
      <c r="DC36">
        <f t="shared" si="5"/>
        <v>0</v>
      </c>
      <c r="DD36" t="s">
        <v>3</v>
      </c>
      <c r="DE36" t="s">
        <v>3</v>
      </c>
      <c r="DF36">
        <f t="shared" si="6"/>
        <v>0</v>
      </c>
      <c r="DG36">
        <f t="shared" si="7"/>
        <v>15134.98</v>
      </c>
      <c r="DH36">
        <f t="shared" si="8"/>
        <v>0</v>
      </c>
      <c r="DI36">
        <f t="shared" si="9"/>
        <v>0</v>
      </c>
      <c r="DJ36">
        <f t="shared" si="10"/>
        <v>15134.98</v>
      </c>
      <c r="DK36">
        <v>0</v>
      </c>
      <c r="DL36" t="s">
        <v>3</v>
      </c>
      <c r="DM36">
        <v>0</v>
      </c>
      <c r="DN36" t="s">
        <v>3</v>
      </c>
      <c r="DO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56526796</v>
      </c>
      <c r="C1">
        <v>56526772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166</v>
      </c>
      <c r="J1" t="s">
        <v>3</v>
      </c>
      <c r="K1" t="s">
        <v>167</v>
      </c>
      <c r="L1">
        <v>1344</v>
      </c>
      <c r="N1">
        <v>1008</v>
      </c>
      <c r="O1" t="s">
        <v>168</v>
      </c>
      <c r="P1" t="s">
        <v>168</v>
      </c>
      <c r="Q1">
        <v>1</v>
      </c>
      <c r="X1">
        <v>31.67</v>
      </c>
      <c r="Y1">
        <v>0</v>
      </c>
      <c r="Z1">
        <v>1</v>
      </c>
      <c r="AA1">
        <v>0</v>
      </c>
      <c r="AB1">
        <v>0</v>
      </c>
      <c r="AC1">
        <v>0</v>
      </c>
      <c r="AD1">
        <v>1</v>
      </c>
      <c r="AE1">
        <v>0</v>
      </c>
      <c r="AF1" t="s">
        <v>3</v>
      </c>
      <c r="AG1">
        <v>31.67</v>
      </c>
      <c r="AH1">
        <v>2</v>
      </c>
      <c r="AI1">
        <v>56526796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ROW(Source!A29)</f>
        <v>29</v>
      </c>
      <c r="B2">
        <v>56526796</v>
      </c>
      <c r="C2">
        <v>56526772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166</v>
      </c>
      <c r="J2" t="s">
        <v>3</v>
      </c>
      <c r="K2" t="s">
        <v>167</v>
      </c>
      <c r="L2">
        <v>1344</v>
      </c>
      <c r="N2">
        <v>1008</v>
      </c>
      <c r="O2" t="s">
        <v>168</v>
      </c>
      <c r="P2" t="s">
        <v>168</v>
      </c>
      <c r="Q2">
        <v>1</v>
      </c>
      <c r="X2">
        <v>31.67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31.67</v>
      </c>
      <c r="AH2">
        <v>2</v>
      </c>
      <c r="AI2">
        <v>56526796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ROW(Source!A30)</f>
        <v>30</v>
      </c>
      <c r="B3">
        <v>56526797</v>
      </c>
      <c r="C3">
        <v>56526775</v>
      </c>
      <c r="D3">
        <v>54836954</v>
      </c>
      <c r="E3">
        <v>1079</v>
      </c>
      <c r="F3">
        <v>1</v>
      </c>
      <c r="G3">
        <v>1079</v>
      </c>
      <c r="H3">
        <v>2</v>
      </c>
      <c r="I3" t="s">
        <v>166</v>
      </c>
      <c r="J3" t="s">
        <v>3</v>
      </c>
      <c r="K3" t="s">
        <v>167</v>
      </c>
      <c r="L3">
        <v>1344</v>
      </c>
      <c r="N3">
        <v>1008</v>
      </c>
      <c r="O3" t="s">
        <v>168</v>
      </c>
      <c r="P3" t="s">
        <v>168</v>
      </c>
      <c r="Q3">
        <v>1</v>
      </c>
      <c r="X3">
        <v>31.13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</v>
      </c>
      <c r="AG3">
        <v>31.13</v>
      </c>
      <c r="AH3">
        <v>2</v>
      </c>
      <c r="AI3">
        <v>56526797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ROW(Source!A31)</f>
        <v>31</v>
      </c>
      <c r="B4">
        <v>56526797</v>
      </c>
      <c r="C4">
        <v>56526775</v>
      </c>
      <c r="D4">
        <v>54836954</v>
      </c>
      <c r="E4">
        <v>1079</v>
      </c>
      <c r="F4">
        <v>1</v>
      </c>
      <c r="G4">
        <v>1079</v>
      </c>
      <c r="H4">
        <v>2</v>
      </c>
      <c r="I4" t="s">
        <v>166</v>
      </c>
      <c r="J4" t="s">
        <v>3</v>
      </c>
      <c r="K4" t="s">
        <v>167</v>
      </c>
      <c r="L4">
        <v>1344</v>
      </c>
      <c r="N4">
        <v>1008</v>
      </c>
      <c r="O4" t="s">
        <v>168</v>
      </c>
      <c r="P4" t="s">
        <v>168</v>
      </c>
      <c r="Q4">
        <v>1</v>
      </c>
      <c r="X4">
        <v>31.13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31.13</v>
      </c>
      <c r="AH4">
        <v>2</v>
      </c>
      <c r="AI4">
        <v>56526797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ROW(Source!A32)</f>
        <v>32</v>
      </c>
      <c r="B5">
        <v>56526798</v>
      </c>
      <c r="C5">
        <v>56526778</v>
      </c>
      <c r="D5">
        <v>54836954</v>
      </c>
      <c r="E5">
        <v>1079</v>
      </c>
      <c r="F5">
        <v>1</v>
      </c>
      <c r="G5">
        <v>1079</v>
      </c>
      <c r="H5">
        <v>2</v>
      </c>
      <c r="I5" t="s">
        <v>166</v>
      </c>
      <c r="J5" t="s">
        <v>3</v>
      </c>
      <c r="K5" t="s">
        <v>167</v>
      </c>
      <c r="L5">
        <v>1344</v>
      </c>
      <c r="N5">
        <v>1008</v>
      </c>
      <c r="O5" t="s">
        <v>168</v>
      </c>
      <c r="P5" t="s">
        <v>168</v>
      </c>
      <c r="Q5">
        <v>1</v>
      </c>
      <c r="X5">
        <v>36.590000000000003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36.590000000000003</v>
      </c>
      <c r="AH5">
        <v>2</v>
      </c>
      <c r="AI5">
        <v>56526798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ROW(Source!A33)</f>
        <v>33</v>
      </c>
      <c r="B6">
        <v>56526798</v>
      </c>
      <c r="C6">
        <v>56526778</v>
      </c>
      <c r="D6">
        <v>54836954</v>
      </c>
      <c r="E6">
        <v>1079</v>
      </c>
      <c r="F6">
        <v>1</v>
      </c>
      <c r="G6">
        <v>1079</v>
      </c>
      <c r="H6">
        <v>2</v>
      </c>
      <c r="I6" t="s">
        <v>166</v>
      </c>
      <c r="J6" t="s">
        <v>3</v>
      </c>
      <c r="K6" t="s">
        <v>167</v>
      </c>
      <c r="L6">
        <v>1344</v>
      </c>
      <c r="N6">
        <v>1008</v>
      </c>
      <c r="O6" t="s">
        <v>168</v>
      </c>
      <c r="P6" t="s">
        <v>168</v>
      </c>
      <c r="Q6">
        <v>1</v>
      </c>
      <c r="X6">
        <v>36.590000000000003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36.590000000000003</v>
      </c>
      <c r="AH6">
        <v>2</v>
      </c>
      <c r="AI6">
        <v>56526798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ROW(Source!A34)</f>
        <v>34</v>
      </c>
      <c r="B7">
        <v>56526799</v>
      </c>
      <c r="C7">
        <v>56526781</v>
      </c>
      <c r="D7">
        <v>54836954</v>
      </c>
      <c r="E7">
        <v>1079</v>
      </c>
      <c r="F7">
        <v>1</v>
      </c>
      <c r="G7">
        <v>1079</v>
      </c>
      <c r="H7">
        <v>2</v>
      </c>
      <c r="I7" t="s">
        <v>166</v>
      </c>
      <c r="J7" t="s">
        <v>3</v>
      </c>
      <c r="K7" t="s">
        <v>167</v>
      </c>
      <c r="L7">
        <v>1344</v>
      </c>
      <c r="N7">
        <v>1008</v>
      </c>
      <c r="O7" t="s">
        <v>168</v>
      </c>
      <c r="P7" t="s">
        <v>168</v>
      </c>
      <c r="Q7">
        <v>1</v>
      </c>
      <c r="X7">
        <v>98.3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98.3</v>
      </c>
      <c r="AH7">
        <v>2</v>
      </c>
      <c r="AI7">
        <v>56526799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ROW(Source!A35)</f>
        <v>35</v>
      </c>
      <c r="B8">
        <v>56526799</v>
      </c>
      <c r="C8">
        <v>56526781</v>
      </c>
      <c r="D8">
        <v>54836954</v>
      </c>
      <c r="E8">
        <v>1079</v>
      </c>
      <c r="F8">
        <v>1</v>
      </c>
      <c r="G8">
        <v>1079</v>
      </c>
      <c r="H8">
        <v>2</v>
      </c>
      <c r="I8" t="s">
        <v>166</v>
      </c>
      <c r="J8" t="s">
        <v>3</v>
      </c>
      <c r="K8" t="s">
        <v>167</v>
      </c>
      <c r="L8">
        <v>1344</v>
      </c>
      <c r="N8">
        <v>1008</v>
      </c>
      <c r="O8" t="s">
        <v>168</v>
      </c>
      <c r="P8" t="s">
        <v>168</v>
      </c>
      <c r="Q8">
        <v>1</v>
      </c>
      <c r="X8">
        <v>98.3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98.3</v>
      </c>
      <c r="AH8">
        <v>2</v>
      </c>
      <c r="AI8">
        <v>56526799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ROW(Source!A36)</f>
        <v>36</v>
      </c>
      <c r="B9">
        <v>56526800</v>
      </c>
      <c r="C9">
        <v>56526784</v>
      </c>
      <c r="D9">
        <v>54836954</v>
      </c>
      <c r="E9">
        <v>1079</v>
      </c>
      <c r="F9">
        <v>1</v>
      </c>
      <c r="G9">
        <v>1079</v>
      </c>
      <c r="H9">
        <v>2</v>
      </c>
      <c r="I9" t="s">
        <v>166</v>
      </c>
      <c r="J9" t="s">
        <v>3</v>
      </c>
      <c r="K9" t="s">
        <v>167</v>
      </c>
      <c r="L9">
        <v>1344</v>
      </c>
      <c r="N9">
        <v>1008</v>
      </c>
      <c r="O9" t="s">
        <v>168</v>
      </c>
      <c r="P9" t="s">
        <v>168</v>
      </c>
      <c r="Q9">
        <v>1</v>
      </c>
      <c r="X9">
        <v>38.770000000000003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38.770000000000003</v>
      </c>
      <c r="AH9">
        <v>2</v>
      </c>
      <c r="AI9">
        <v>56526800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ROW(Source!A37)</f>
        <v>37</v>
      </c>
      <c r="B10">
        <v>56526800</v>
      </c>
      <c r="C10">
        <v>56526784</v>
      </c>
      <c r="D10">
        <v>54836954</v>
      </c>
      <c r="E10">
        <v>1079</v>
      </c>
      <c r="F10">
        <v>1</v>
      </c>
      <c r="G10">
        <v>1079</v>
      </c>
      <c r="H10">
        <v>2</v>
      </c>
      <c r="I10" t="s">
        <v>166</v>
      </c>
      <c r="J10" t="s">
        <v>3</v>
      </c>
      <c r="K10" t="s">
        <v>167</v>
      </c>
      <c r="L10">
        <v>1344</v>
      </c>
      <c r="N10">
        <v>1008</v>
      </c>
      <c r="O10" t="s">
        <v>168</v>
      </c>
      <c r="P10" t="s">
        <v>168</v>
      </c>
      <c r="Q10">
        <v>1</v>
      </c>
      <c r="X10">
        <v>38.770000000000003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38.770000000000003</v>
      </c>
      <c r="AH10">
        <v>2</v>
      </c>
      <c r="AI10">
        <v>56526800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ROW(Source!A38)</f>
        <v>38</v>
      </c>
      <c r="B11">
        <v>56526801</v>
      </c>
      <c r="C11">
        <v>56526787</v>
      </c>
      <c r="D11">
        <v>54836954</v>
      </c>
      <c r="E11">
        <v>1079</v>
      </c>
      <c r="F11">
        <v>1</v>
      </c>
      <c r="G11">
        <v>1079</v>
      </c>
      <c r="H11">
        <v>2</v>
      </c>
      <c r="I11" t="s">
        <v>166</v>
      </c>
      <c r="J11" t="s">
        <v>3</v>
      </c>
      <c r="K11" t="s">
        <v>167</v>
      </c>
      <c r="L11">
        <v>1344</v>
      </c>
      <c r="N11">
        <v>1008</v>
      </c>
      <c r="O11" t="s">
        <v>168</v>
      </c>
      <c r="P11" t="s">
        <v>168</v>
      </c>
      <c r="Q11">
        <v>1</v>
      </c>
      <c r="X11">
        <v>38.770000000000003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38.770000000000003</v>
      </c>
      <c r="AH11">
        <v>2</v>
      </c>
      <c r="AI11">
        <v>56526801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ROW(Source!A39)</f>
        <v>39</v>
      </c>
      <c r="B12">
        <v>56526801</v>
      </c>
      <c r="C12">
        <v>56526787</v>
      </c>
      <c r="D12">
        <v>54836954</v>
      </c>
      <c r="E12">
        <v>1079</v>
      </c>
      <c r="F12">
        <v>1</v>
      </c>
      <c r="G12">
        <v>1079</v>
      </c>
      <c r="H12">
        <v>2</v>
      </c>
      <c r="I12" t="s">
        <v>166</v>
      </c>
      <c r="J12" t="s">
        <v>3</v>
      </c>
      <c r="K12" t="s">
        <v>167</v>
      </c>
      <c r="L12">
        <v>1344</v>
      </c>
      <c r="N12">
        <v>1008</v>
      </c>
      <c r="O12" t="s">
        <v>168</v>
      </c>
      <c r="P12" t="s">
        <v>168</v>
      </c>
      <c r="Q12">
        <v>1</v>
      </c>
      <c r="X12">
        <v>38.770000000000003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38.770000000000003</v>
      </c>
      <c r="AH12">
        <v>2</v>
      </c>
      <c r="AI12">
        <v>56526801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ROW(Source!A40)</f>
        <v>40</v>
      </c>
      <c r="B13">
        <v>56526802</v>
      </c>
      <c r="C13">
        <v>56526790</v>
      </c>
      <c r="D13">
        <v>54836954</v>
      </c>
      <c r="E13">
        <v>1079</v>
      </c>
      <c r="F13">
        <v>1</v>
      </c>
      <c r="G13">
        <v>1079</v>
      </c>
      <c r="H13">
        <v>2</v>
      </c>
      <c r="I13" t="s">
        <v>166</v>
      </c>
      <c r="J13" t="s">
        <v>3</v>
      </c>
      <c r="K13" t="s">
        <v>167</v>
      </c>
      <c r="L13">
        <v>1344</v>
      </c>
      <c r="N13">
        <v>1008</v>
      </c>
      <c r="O13" t="s">
        <v>168</v>
      </c>
      <c r="P13" t="s">
        <v>168</v>
      </c>
      <c r="Q13">
        <v>1</v>
      </c>
      <c r="X13">
        <v>36.299999999999997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36.299999999999997</v>
      </c>
      <c r="AH13">
        <v>2</v>
      </c>
      <c r="AI13">
        <v>56526802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ROW(Source!A41)</f>
        <v>41</v>
      </c>
      <c r="B14">
        <v>56526802</v>
      </c>
      <c r="C14">
        <v>56526790</v>
      </c>
      <c r="D14">
        <v>54836954</v>
      </c>
      <c r="E14">
        <v>1079</v>
      </c>
      <c r="F14">
        <v>1</v>
      </c>
      <c r="G14">
        <v>1079</v>
      </c>
      <c r="H14">
        <v>2</v>
      </c>
      <c r="I14" t="s">
        <v>166</v>
      </c>
      <c r="J14" t="s">
        <v>3</v>
      </c>
      <c r="K14" t="s">
        <v>167</v>
      </c>
      <c r="L14">
        <v>1344</v>
      </c>
      <c r="N14">
        <v>1008</v>
      </c>
      <c r="O14" t="s">
        <v>168</v>
      </c>
      <c r="P14" t="s">
        <v>168</v>
      </c>
      <c r="Q14">
        <v>1</v>
      </c>
      <c r="X14">
        <v>36.299999999999997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</v>
      </c>
      <c r="AG14">
        <v>36.299999999999997</v>
      </c>
      <c r="AH14">
        <v>2</v>
      </c>
      <c r="AI14">
        <v>56526802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ROW(Source!A42)</f>
        <v>42</v>
      </c>
      <c r="B15">
        <v>56526803</v>
      </c>
      <c r="C15">
        <v>56526793</v>
      </c>
      <c r="D15">
        <v>54836954</v>
      </c>
      <c r="E15">
        <v>1079</v>
      </c>
      <c r="F15">
        <v>1</v>
      </c>
      <c r="G15">
        <v>1079</v>
      </c>
      <c r="H15">
        <v>2</v>
      </c>
      <c r="I15" t="s">
        <v>166</v>
      </c>
      <c r="J15" t="s">
        <v>3</v>
      </c>
      <c r="K15" t="s">
        <v>167</v>
      </c>
      <c r="L15">
        <v>1344</v>
      </c>
      <c r="N15">
        <v>1008</v>
      </c>
      <c r="O15" t="s">
        <v>168</v>
      </c>
      <c r="P15" t="s">
        <v>168</v>
      </c>
      <c r="Q15">
        <v>1</v>
      </c>
      <c r="X15">
        <v>31.67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</v>
      </c>
      <c r="AG15">
        <v>31.67</v>
      </c>
      <c r="AH15">
        <v>2</v>
      </c>
      <c r="AI15">
        <v>56526803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ROW(Source!A43)</f>
        <v>43</v>
      </c>
      <c r="B16">
        <v>56526803</v>
      </c>
      <c r="C16">
        <v>56526793</v>
      </c>
      <c r="D16">
        <v>54836954</v>
      </c>
      <c r="E16">
        <v>1079</v>
      </c>
      <c r="F16">
        <v>1</v>
      </c>
      <c r="G16">
        <v>1079</v>
      </c>
      <c r="H16">
        <v>2</v>
      </c>
      <c r="I16" t="s">
        <v>166</v>
      </c>
      <c r="J16" t="s">
        <v>3</v>
      </c>
      <c r="K16" t="s">
        <v>167</v>
      </c>
      <c r="L16">
        <v>1344</v>
      </c>
      <c r="N16">
        <v>1008</v>
      </c>
      <c r="O16" t="s">
        <v>168</v>
      </c>
      <c r="P16" t="s">
        <v>168</v>
      </c>
      <c r="Q16">
        <v>1</v>
      </c>
      <c r="X16">
        <v>31.67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31.67</v>
      </c>
      <c r="AH16">
        <v>2</v>
      </c>
      <c r="AI16">
        <v>56526803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ROW(Source!A44)</f>
        <v>44</v>
      </c>
      <c r="B17">
        <v>56526805</v>
      </c>
      <c r="C17">
        <v>56526804</v>
      </c>
      <c r="D17">
        <v>54836954</v>
      </c>
      <c r="E17">
        <v>1079</v>
      </c>
      <c r="F17">
        <v>1</v>
      </c>
      <c r="G17">
        <v>1079</v>
      </c>
      <c r="H17">
        <v>2</v>
      </c>
      <c r="I17" t="s">
        <v>166</v>
      </c>
      <c r="J17" t="s">
        <v>3</v>
      </c>
      <c r="K17" t="s">
        <v>167</v>
      </c>
      <c r="L17">
        <v>1344</v>
      </c>
      <c r="N17">
        <v>1008</v>
      </c>
      <c r="O17" t="s">
        <v>168</v>
      </c>
      <c r="P17" t="s">
        <v>168</v>
      </c>
      <c r="Q17">
        <v>1</v>
      </c>
      <c r="X17">
        <v>47.51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47.51</v>
      </c>
      <c r="AH17">
        <v>2</v>
      </c>
      <c r="AI17">
        <v>56526805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ROW(Source!A45)</f>
        <v>45</v>
      </c>
      <c r="B18">
        <v>56526805</v>
      </c>
      <c r="C18">
        <v>56526804</v>
      </c>
      <c r="D18">
        <v>54836954</v>
      </c>
      <c r="E18">
        <v>1079</v>
      </c>
      <c r="F18">
        <v>1</v>
      </c>
      <c r="G18">
        <v>1079</v>
      </c>
      <c r="H18">
        <v>2</v>
      </c>
      <c r="I18" t="s">
        <v>166</v>
      </c>
      <c r="J18" t="s">
        <v>3</v>
      </c>
      <c r="K18" t="s">
        <v>167</v>
      </c>
      <c r="L18">
        <v>1344</v>
      </c>
      <c r="N18">
        <v>1008</v>
      </c>
      <c r="O18" t="s">
        <v>168</v>
      </c>
      <c r="P18" t="s">
        <v>168</v>
      </c>
      <c r="Q18">
        <v>1</v>
      </c>
      <c r="X18">
        <v>47.51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47.51</v>
      </c>
      <c r="AH18">
        <v>2</v>
      </c>
      <c r="AI18">
        <v>56526805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ROW(Source!A46)</f>
        <v>46</v>
      </c>
      <c r="B19">
        <v>56526809</v>
      </c>
      <c r="C19">
        <v>56526806</v>
      </c>
      <c r="D19">
        <v>54836954</v>
      </c>
      <c r="E19">
        <v>1079</v>
      </c>
      <c r="F19">
        <v>1</v>
      </c>
      <c r="G19">
        <v>1079</v>
      </c>
      <c r="H19">
        <v>2</v>
      </c>
      <c r="I19" t="s">
        <v>166</v>
      </c>
      <c r="J19" t="s">
        <v>3</v>
      </c>
      <c r="K19" t="s">
        <v>167</v>
      </c>
      <c r="L19">
        <v>1344</v>
      </c>
      <c r="N19">
        <v>1008</v>
      </c>
      <c r="O19" t="s">
        <v>168</v>
      </c>
      <c r="P19" t="s">
        <v>168</v>
      </c>
      <c r="Q19">
        <v>1</v>
      </c>
      <c r="X19">
        <v>22.57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22.57</v>
      </c>
      <c r="AH19">
        <v>2</v>
      </c>
      <c r="AI19">
        <v>56526809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ROW(Source!A47)</f>
        <v>47</v>
      </c>
      <c r="B20">
        <v>56526809</v>
      </c>
      <c r="C20">
        <v>56526806</v>
      </c>
      <c r="D20">
        <v>54836954</v>
      </c>
      <c r="E20">
        <v>1079</v>
      </c>
      <c r="F20">
        <v>1</v>
      </c>
      <c r="G20">
        <v>1079</v>
      </c>
      <c r="H20">
        <v>2</v>
      </c>
      <c r="I20" t="s">
        <v>166</v>
      </c>
      <c r="J20" t="s">
        <v>3</v>
      </c>
      <c r="K20" t="s">
        <v>167</v>
      </c>
      <c r="L20">
        <v>1344</v>
      </c>
      <c r="N20">
        <v>1008</v>
      </c>
      <c r="O20" t="s">
        <v>168</v>
      </c>
      <c r="P20" t="s">
        <v>168</v>
      </c>
      <c r="Q20">
        <v>1</v>
      </c>
      <c r="X20">
        <v>22.57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22.57</v>
      </c>
      <c r="AH20">
        <v>2</v>
      </c>
      <c r="AI20">
        <v>56526809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ROW(Source!A48)</f>
        <v>48</v>
      </c>
      <c r="B21">
        <v>56526813</v>
      </c>
      <c r="C21">
        <v>56526810</v>
      </c>
      <c r="D21">
        <v>54836954</v>
      </c>
      <c r="E21">
        <v>1079</v>
      </c>
      <c r="F21">
        <v>1</v>
      </c>
      <c r="G21">
        <v>1079</v>
      </c>
      <c r="H21">
        <v>2</v>
      </c>
      <c r="I21" t="s">
        <v>166</v>
      </c>
      <c r="J21" t="s">
        <v>3</v>
      </c>
      <c r="K21" t="s">
        <v>167</v>
      </c>
      <c r="L21">
        <v>1344</v>
      </c>
      <c r="N21">
        <v>1008</v>
      </c>
      <c r="O21" t="s">
        <v>168</v>
      </c>
      <c r="P21" t="s">
        <v>168</v>
      </c>
      <c r="Q21">
        <v>1</v>
      </c>
      <c r="X21">
        <v>21.71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21.71</v>
      </c>
      <c r="AH21">
        <v>2</v>
      </c>
      <c r="AI21">
        <v>56526813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ROW(Source!A49)</f>
        <v>49</v>
      </c>
      <c r="B22">
        <v>56526813</v>
      </c>
      <c r="C22">
        <v>56526810</v>
      </c>
      <c r="D22">
        <v>54836954</v>
      </c>
      <c r="E22">
        <v>1079</v>
      </c>
      <c r="F22">
        <v>1</v>
      </c>
      <c r="G22">
        <v>1079</v>
      </c>
      <c r="H22">
        <v>2</v>
      </c>
      <c r="I22" t="s">
        <v>166</v>
      </c>
      <c r="J22" t="s">
        <v>3</v>
      </c>
      <c r="K22" t="s">
        <v>167</v>
      </c>
      <c r="L22">
        <v>1344</v>
      </c>
      <c r="N22">
        <v>1008</v>
      </c>
      <c r="O22" t="s">
        <v>168</v>
      </c>
      <c r="P22" t="s">
        <v>168</v>
      </c>
      <c r="Q22">
        <v>1</v>
      </c>
      <c r="X22">
        <v>21.71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21.71</v>
      </c>
      <c r="AH22">
        <v>2</v>
      </c>
      <c r="AI22">
        <v>56526813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ROW(Source!A50)</f>
        <v>50</v>
      </c>
      <c r="B23">
        <v>56526817</v>
      </c>
      <c r="C23">
        <v>56526814</v>
      </c>
      <c r="D23">
        <v>54836954</v>
      </c>
      <c r="E23">
        <v>1079</v>
      </c>
      <c r="F23">
        <v>1</v>
      </c>
      <c r="G23">
        <v>1079</v>
      </c>
      <c r="H23">
        <v>2</v>
      </c>
      <c r="I23" t="s">
        <v>166</v>
      </c>
      <c r="J23" t="s">
        <v>3</v>
      </c>
      <c r="K23" t="s">
        <v>167</v>
      </c>
      <c r="L23">
        <v>1344</v>
      </c>
      <c r="N23">
        <v>1008</v>
      </c>
      <c r="O23" t="s">
        <v>168</v>
      </c>
      <c r="P23" t="s">
        <v>168</v>
      </c>
      <c r="Q23">
        <v>1</v>
      </c>
      <c r="X23">
        <v>21.71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21.71</v>
      </c>
      <c r="AH23">
        <v>2</v>
      </c>
      <c r="AI23">
        <v>56526817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ROW(Source!A51)</f>
        <v>51</v>
      </c>
      <c r="B24">
        <v>56526817</v>
      </c>
      <c r="C24">
        <v>56526814</v>
      </c>
      <c r="D24">
        <v>54836954</v>
      </c>
      <c r="E24">
        <v>1079</v>
      </c>
      <c r="F24">
        <v>1</v>
      </c>
      <c r="G24">
        <v>1079</v>
      </c>
      <c r="H24">
        <v>2</v>
      </c>
      <c r="I24" t="s">
        <v>166</v>
      </c>
      <c r="J24" t="s">
        <v>3</v>
      </c>
      <c r="K24" t="s">
        <v>167</v>
      </c>
      <c r="L24">
        <v>1344</v>
      </c>
      <c r="N24">
        <v>1008</v>
      </c>
      <c r="O24" t="s">
        <v>168</v>
      </c>
      <c r="P24" t="s">
        <v>168</v>
      </c>
      <c r="Q24">
        <v>1</v>
      </c>
      <c r="X24">
        <v>21.71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21.71</v>
      </c>
      <c r="AH24">
        <v>2</v>
      </c>
      <c r="AI24">
        <v>56526817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ROW(Source!A52)</f>
        <v>52</v>
      </c>
      <c r="B25">
        <v>56526821</v>
      </c>
      <c r="C25">
        <v>56526818</v>
      </c>
      <c r="D25">
        <v>54836954</v>
      </c>
      <c r="E25">
        <v>1079</v>
      </c>
      <c r="F25">
        <v>1</v>
      </c>
      <c r="G25">
        <v>1079</v>
      </c>
      <c r="H25">
        <v>2</v>
      </c>
      <c r="I25" t="s">
        <v>166</v>
      </c>
      <c r="J25" t="s">
        <v>3</v>
      </c>
      <c r="K25" t="s">
        <v>167</v>
      </c>
      <c r="L25">
        <v>1344</v>
      </c>
      <c r="N25">
        <v>1008</v>
      </c>
      <c r="O25" t="s">
        <v>168</v>
      </c>
      <c r="P25" t="s">
        <v>168</v>
      </c>
      <c r="Q25">
        <v>1</v>
      </c>
      <c r="X25">
        <v>21.71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21.71</v>
      </c>
      <c r="AH25">
        <v>2</v>
      </c>
      <c r="AI25">
        <v>56526821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ROW(Source!A53)</f>
        <v>53</v>
      </c>
      <c r="B26">
        <v>56526821</v>
      </c>
      <c r="C26">
        <v>56526818</v>
      </c>
      <c r="D26">
        <v>54836954</v>
      </c>
      <c r="E26">
        <v>1079</v>
      </c>
      <c r="F26">
        <v>1</v>
      </c>
      <c r="G26">
        <v>1079</v>
      </c>
      <c r="H26">
        <v>2</v>
      </c>
      <c r="I26" t="s">
        <v>166</v>
      </c>
      <c r="J26" t="s">
        <v>3</v>
      </c>
      <c r="K26" t="s">
        <v>167</v>
      </c>
      <c r="L26">
        <v>1344</v>
      </c>
      <c r="N26">
        <v>1008</v>
      </c>
      <c r="O26" t="s">
        <v>168</v>
      </c>
      <c r="P26" t="s">
        <v>168</v>
      </c>
      <c r="Q26">
        <v>1</v>
      </c>
      <c r="X26">
        <v>21.71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21.71</v>
      </c>
      <c r="AH26">
        <v>2</v>
      </c>
      <c r="AI26">
        <v>56526821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ROW(Source!A54)</f>
        <v>54</v>
      </c>
      <c r="B27">
        <v>56526825</v>
      </c>
      <c r="C27">
        <v>56526822</v>
      </c>
      <c r="D27">
        <v>54836954</v>
      </c>
      <c r="E27">
        <v>1079</v>
      </c>
      <c r="F27">
        <v>1</v>
      </c>
      <c r="G27">
        <v>1079</v>
      </c>
      <c r="H27">
        <v>2</v>
      </c>
      <c r="I27" t="s">
        <v>166</v>
      </c>
      <c r="J27" t="s">
        <v>3</v>
      </c>
      <c r="K27" t="s">
        <v>167</v>
      </c>
      <c r="L27">
        <v>1344</v>
      </c>
      <c r="N27">
        <v>1008</v>
      </c>
      <c r="O27" t="s">
        <v>168</v>
      </c>
      <c r="P27" t="s">
        <v>168</v>
      </c>
      <c r="Q27">
        <v>1</v>
      </c>
      <c r="X27">
        <v>21.71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21.71</v>
      </c>
      <c r="AH27">
        <v>2</v>
      </c>
      <c r="AI27">
        <v>56526825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ROW(Source!A55)</f>
        <v>55</v>
      </c>
      <c r="B28">
        <v>56526825</v>
      </c>
      <c r="C28">
        <v>56526822</v>
      </c>
      <c r="D28">
        <v>54836954</v>
      </c>
      <c r="E28">
        <v>1079</v>
      </c>
      <c r="F28">
        <v>1</v>
      </c>
      <c r="G28">
        <v>1079</v>
      </c>
      <c r="H28">
        <v>2</v>
      </c>
      <c r="I28" t="s">
        <v>166</v>
      </c>
      <c r="J28" t="s">
        <v>3</v>
      </c>
      <c r="K28" t="s">
        <v>167</v>
      </c>
      <c r="L28">
        <v>1344</v>
      </c>
      <c r="N28">
        <v>1008</v>
      </c>
      <c r="O28" t="s">
        <v>168</v>
      </c>
      <c r="P28" t="s">
        <v>168</v>
      </c>
      <c r="Q28">
        <v>1</v>
      </c>
      <c r="X28">
        <v>21.71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21.71</v>
      </c>
      <c r="AH28">
        <v>2</v>
      </c>
      <c r="AI28">
        <v>56526825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ROW(Source!A56)</f>
        <v>56</v>
      </c>
      <c r="B29">
        <v>56526827</v>
      </c>
      <c r="C29">
        <v>56526826</v>
      </c>
      <c r="D29">
        <v>54836954</v>
      </c>
      <c r="E29">
        <v>1079</v>
      </c>
      <c r="F29">
        <v>1</v>
      </c>
      <c r="G29">
        <v>1079</v>
      </c>
      <c r="H29">
        <v>2</v>
      </c>
      <c r="I29" t="s">
        <v>166</v>
      </c>
      <c r="J29" t="s">
        <v>3</v>
      </c>
      <c r="K29" t="s">
        <v>167</v>
      </c>
      <c r="L29">
        <v>1344</v>
      </c>
      <c r="N29">
        <v>1008</v>
      </c>
      <c r="O29" t="s">
        <v>168</v>
      </c>
      <c r="P29" t="s">
        <v>168</v>
      </c>
      <c r="Q29">
        <v>1</v>
      </c>
      <c r="X29">
        <v>24.39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24.39</v>
      </c>
      <c r="AH29">
        <v>2</v>
      </c>
      <c r="AI29">
        <v>56526827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ROW(Source!A57)</f>
        <v>57</v>
      </c>
      <c r="B30">
        <v>56526827</v>
      </c>
      <c r="C30">
        <v>56526826</v>
      </c>
      <c r="D30">
        <v>54836954</v>
      </c>
      <c r="E30">
        <v>1079</v>
      </c>
      <c r="F30">
        <v>1</v>
      </c>
      <c r="G30">
        <v>1079</v>
      </c>
      <c r="H30">
        <v>2</v>
      </c>
      <c r="I30" t="s">
        <v>166</v>
      </c>
      <c r="J30" t="s">
        <v>3</v>
      </c>
      <c r="K30" t="s">
        <v>167</v>
      </c>
      <c r="L30">
        <v>1344</v>
      </c>
      <c r="N30">
        <v>1008</v>
      </c>
      <c r="O30" t="s">
        <v>168</v>
      </c>
      <c r="P30" t="s">
        <v>168</v>
      </c>
      <c r="Q30">
        <v>1</v>
      </c>
      <c r="X30">
        <v>24.39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24.39</v>
      </c>
      <c r="AH30">
        <v>2</v>
      </c>
      <c r="AI30">
        <v>56526827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ROW(Source!A58)</f>
        <v>58</v>
      </c>
      <c r="B31">
        <v>56526831</v>
      </c>
      <c r="C31">
        <v>56526828</v>
      </c>
      <c r="D31">
        <v>54836954</v>
      </c>
      <c r="E31">
        <v>1079</v>
      </c>
      <c r="F31">
        <v>1</v>
      </c>
      <c r="G31">
        <v>1079</v>
      </c>
      <c r="H31">
        <v>2</v>
      </c>
      <c r="I31" t="s">
        <v>166</v>
      </c>
      <c r="J31" t="s">
        <v>3</v>
      </c>
      <c r="K31" t="s">
        <v>167</v>
      </c>
      <c r="L31">
        <v>1344</v>
      </c>
      <c r="N31">
        <v>1008</v>
      </c>
      <c r="O31" t="s">
        <v>168</v>
      </c>
      <c r="P31" t="s">
        <v>168</v>
      </c>
      <c r="Q31">
        <v>1</v>
      </c>
      <c r="X31">
        <v>16.260000000000002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16.260000000000002</v>
      </c>
      <c r="AH31">
        <v>2</v>
      </c>
      <c r="AI31">
        <v>56526831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ROW(Source!A59)</f>
        <v>59</v>
      </c>
      <c r="B32">
        <v>56526831</v>
      </c>
      <c r="C32">
        <v>56526828</v>
      </c>
      <c r="D32">
        <v>54836954</v>
      </c>
      <c r="E32">
        <v>1079</v>
      </c>
      <c r="F32">
        <v>1</v>
      </c>
      <c r="G32">
        <v>1079</v>
      </c>
      <c r="H32">
        <v>2</v>
      </c>
      <c r="I32" t="s">
        <v>166</v>
      </c>
      <c r="J32" t="s">
        <v>3</v>
      </c>
      <c r="K32" t="s">
        <v>167</v>
      </c>
      <c r="L32">
        <v>1344</v>
      </c>
      <c r="N32">
        <v>1008</v>
      </c>
      <c r="O32" t="s">
        <v>168</v>
      </c>
      <c r="P32" t="s">
        <v>168</v>
      </c>
      <c r="Q32">
        <v>1</v>
      </c>
      <c r="X32">
        <v>16.260000000000002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16.260000000000002</v>
      </c>
      <c r="AH32">
        <v>2</v>
      </c>
      <c r="AI32">
        <v>56526831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ROW(Source!A60)</f>
        <v>60</v>
      </c>
      <c r="B33">
        <v>56526833</v>
      </c>
      <c r="C33">
        <v>56526832</v>
      </c>
      <c r="D33">
        <v>54836954</v>
      </c>
      <c r="E33">
        <v>1079</v>
      </c>
      <c r="F33">
        <v>1</v>
      </c>
      <c r="G33">
        <v>1079</v>
      </c>
      <c r="H33">
        <v>2</v>
      </c>
      <c r="I33" t="s">
        <v>166</v>
      </c>
      <c r="J33" t="s">
        <v>3</v>
      </c>
      <c r="K33" t="s">
        <v>167</v>
      </c>
      <c r="L33">
        <v>1344</v>
      </c>
      <c r="N33">
        <v>1008</v>
      </c>
      <c r="O33" t="s">
        <v>168</v>
      </c>
      <c r="P33" t="s">
        <v>168</v>
      </c>
      <c r="Q33">
        <v>1</v>
      </c>
      <c r="X33">
        <v>27.64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27.64</v>
      </c>
      <c r="AH33">
        <v>2</v>
      </c>
      <c r="AI33">
        <v>56526833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ROW(Source!A61)</f>
        <v>61</v>
      </c>
      <c r="B34">
        <v>56526833</v>
      </c>
      <c r="C34">
        <v>56526832</v>
      </c>
      <c r="D34">
        <v>54836954</v>
      </c>
      <c r="E34">
        <v>1079</v>
      </c>
      <c r="F34">
        <v>1</v>
      </c>
      <c r="G34">
        <v>1079</v>
      </c>
      <c r="H34">
        <v>2</v>
      </c>
      <c r="I34" t="s">
        <v>166</v>
      </c>
      <c r="J34" t="s">
        <v>3</v>
      </c>
      <c r="K34" t="s">
        <v>167</v>
      </c>
      <c r="L34">
        <v>1344</v>
      </c>
      <c r="N34">
        <v>1008</v>
      </c>
      <c r="O34" t="s">
        <v>168</v>
      </c>
      <c r="P34" t="s">
        <v>168</v>
      </c>
      <c r="Q34">
        <v>1</v>
      </c>
      <c r="X34">
        <v>27.64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27.64</v>
      </c>
      <c r="AH34">
        <v>2</v>
      </c>
      <c r="AI34">
        <v>56526833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ROW(Source!A62)</f>
        <v>62</v>
      </c>
      <c r="B35">
        <v>56526837</v>
      </c>
      <c r="C35">
        <v>56526834</v>
      </c>
      <c r="D35">
        <v>54836954</v>
      </c>
      <c r="E35">
        <v>1079</v>
      </c>
      <c r="F35">
        <v>1</v>
      </c>
      <c r="G35">
        <v>1079</v>
      </c>
      <c r="H35">
        <v>2</v>
      </c>
      <c r="I35" t="s">
        <v>166</v>
      </c>
      <c r="J35" t="s">
        <v>3</v>
      </c>
      <c r="K35" t="s">
        <v>167</v>
      </c>
      <c r="L35">
        <v>1344</v>
      </c>
      <c r="N35">
        <v>1008</v>
      </c>
      <c r="O35" t="s">
        <v>168</v>
      </c>
      <c r="P35" t="s">
        <v>168</v>
      </c>
      <c r="Q35">
        <v>1</v>
      </c>
      <c r="X35">
        <v>47.51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47.51</v>
      </c>
      <c r="AH35">
        <v>2</v>
      </c>
      <c r="AI35">
        <v>56526837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ROW(Source!A63)</f>
        <v>63</v>
      </c>
      <c r="B36">
        <v>56526837</v>
      </c>
      <c r="C36">
        <v>56526834</v>
      </c>
      <c r="D36">
        <v>54836954</v>
      </c>
      <c r="E36">
        <v>1079</v>
      </c>
      <c r="F36">
        <v>1</v>
      </c>
      <c r="G36">
        <v>1079</v>
      </c>
      <c r="H36">
        <v>2</v>
      </c>
      <c r="I36" t="s">
        <v>166</v>
      </c>
      <c r="J36" t="s">
        <v>3</v>
      </c>
      <c r="K36" t="s">
        <v>167</v>
      </c>
      <c r="L36">
        <v>1344</v>
      </c>
      <c r="N36">
        <v>1008</v>
      </c>
      <c r="O36" t="s">
        <v>168</v>
      </c>
      <c r="P36" t="s">
        <v>168</v>
      </c>
      <c r="Q36">
        <v>1</v>
      </c>
      <c r="X36">
        <v>47.51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47.51</v>
      </c>
      <c r="AH36">
        <v>2</v>
      </c>
      <c r="AI36">
        <v>56526837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12" spans="1:103" x14ac:dyDescent="0.25">
      <c r="F12" t="str">
        <f>Source!F12</f>
        <v>09-01-03</v>
      </c>
      <c r="G12" t="str">
        <f>Source!G12</f>
        <v>09-01-03 Размещение и содержание строительного мусора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09-01-03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'09-01-03'!Заголовки_для_печати</vt:lpstr>
      <vt:lpstr>'Ведомость объемов работ'!Заголовки_для_печати</vt:lpstr>
      <vt:lpstr>'09-01-03'!Область_печати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Тарасова Елена Викторовна</dc:creator>
  <cp:lastModifiedBy>Кузьмичева Наталья Викторовна</cp:lastModifiedBy>
  <cp:lastPrinted>2025-12-01T08:44:24Z</cp:lastPrinted>
  <dcterms:created xsi:type="dcterms:W3CDTF">2025-11-24T13:01:08Z</dcterms:created>
  <dcterms:modified xsi:type="dcterms:W3CDTF">2026-02-12T08:10:34Z</dcterms:modified>
</cp:coreProperties>
</file>