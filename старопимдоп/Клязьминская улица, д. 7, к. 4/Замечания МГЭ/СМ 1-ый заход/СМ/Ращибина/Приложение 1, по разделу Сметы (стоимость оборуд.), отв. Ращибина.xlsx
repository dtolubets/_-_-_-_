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БЛОК 3\200 ПТЦА\01 Калькуляции\! соц.культ-быт\! 01. Школы, ДОУ, учеб.заведения\! 56181-1_9 Кап.рем.школа ул.Клязьминская\Обоснование\Ращибина\"/>
    </mc:Choice>
  </mc:AlternateContent>
  <bookViews>
    <workbookView xWindow="0" yWindow="0" windowWidth="38400" windowHeight="15530"/>
  </bookViews>
  <sheets>
    <sheet name="замечания МГЭ" sheetId="2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1" i="2" l="1"/>
  <c r="G90" i="2"/>
  <c r="G89" i="2"/>
  <c r="G88" i="2"/>
  <c r="G87" i="2"/>
  <c r="G86" i="2"/>
  <c r="G85" i="2"/>
  <c r="G84" i="2"/>
  <c r="G83" i="2"/>
  <c r="G82" i="2"/>
  <c r="G81" i="2"/>
  <c r="G80" i="2"/>
  <c r="I79" i="2"/>
  <c r="G79" i="2"/>
  <c r="G78" i="2"/>
  <c r="G77" i="2"/>
  <c r="G76" i="2"/>
  <c r="G75" i="2"/>
  <c r="G74" i="2"/>
  <c r="G73" i="2"/>
  <c r="I72" i="2"/>
  <c r="G72" i="2"/>
  <c r="I71" i="2"/>
  <c r="G71" i="2"/>
  <c r="G70" i="2"/>
  <c r="G69" i="2"/>
  <c r="G68" i="2"/>
  <c r="I67" i="2"/>
  <c r="G67" i="2"/>
  <c r="I66" i="2"/>
  <c r="G66" i="2"/>
  <c r="I65" i="2"/>
  <c r="G65" i="2"/>
  <c r="I64" i="2"/>
  <c r="G64" i="2"/>
  <c r="G63" i="2"/>
  <c r="I62" i="2"/>
  <c r="G62" i="2"/>
  <c r="I61" i="2"/>
  <c r="I63" i="2" s="1"/>
  <c r="G61" i="2"/>
  <c r="G60" i="2"/>
  <c r="G59" i="2"/>
  <c r="I58" i="2"/>
  <c r="I60" i="2" s="1"/>
  <c r="G58" i="2"/>
  <c r="I57" i="2"/>
  <c r="G57" i="2"/>
  <c r="I56" i="2"/>
  <c r="G56" i="2"/>
  <c r="I55" i="2"/>
  <c r="G55" i="2"/>
  <c r="I54" i="2"/>
  <c r="G54" i="2"/>
  <c r="I53" i="2"/>
  <c r="G53" i="2"/>
  <c r="I52" i="2"/>
  <c r="G52" i="2"/>
  <c r="I51" i="2"/>
  <c r="G51" i="2"/>
  <c r="I50" i="2"/>
  <c r="G50" i="2"/>
  <c r="I49" i="2"/>
  <c r="G49" i="2"/>
  <c r="I48" i="2"/>
  <c r="G48" i="2"/>
  <c r="I47" i="2"/>
  <c r="G47" i="2"/>
  <c r="I46" i="2"/>
  <c r="G46" i="2"/>
  <c r="I45" i="2"/>
  <c r="G45" i="2"/>
  <c r="I44" i="2"/>
  <c r="G44" i="2"/>
  <c r="G43" i="2"/>
  <c r="I42" i="2"/>
  <c r="G42" i="2"/>
  <c r="G41" i="2"/>
  <c r="I40" i="2"/>
  <c r="G40" i="2"/>
  <c r="I39" i="2"/>
  <c r="G39" i="2"/>
  <c r="G38" i="2"/>
  <c r="I37" i="2"/>
  <c r="G37" i="2"/>
  <c r="G36" i="2"/>
  <c r="G35" i="2"/>
  <c r="I34" i="2"/>
  <c r="I35" i="2" s="1"/>
  <c r="G34" i="2"/>
  <c r="I33" i="2"/>
  <c r="G33" i="2"/>
  <c r="I32" i="2"/>
  <c r="G32" i="2"/>
  <c r="G31" i="2"/>
  <c r="I30" i="2"/>
  <c r="G30" i="2"/>
  <c r="I29" i="2"/>
  <c r="G29" i="2"/>
  <c r="I28" i="2"/>
  <c r="G28" i="2"/>
  <c r="I27" i="2"/>
  <c r="G27" i="2"/>
  <c r="I26" i="2"/>
  <c r="G26" i="2"/>
  <c r="I25" i="2"/>
  <c r="G25" i="2"/>
  <c r="I24" i="2"/>
  <c r="G24" i="2"/>
  <c r="I23" i="2"/>
  <c r="G23" i="2"/>
  <c r="I22" i="2"/>
  <c r="G22" i="2"/>
  <c r="G21" i="2"/>
  <c r="G20" i="2"/>
  <c r="G19" i="2"/>
  <c r="G18" i="2"/>
  <c r="G17" i="2"/>
  <c r="G16" i="2"/>
  <c r="G15" i="2"/>
  <c r="I14" i="2"/>
  <c r="G14" i="2"/>
  <c r="G13" i="2"/>
  <c r="I12" i="2"/>
  <c r="G12" i="2"/>
  <c r="G11" i="2"/>
  <c r="I10" i="2"/>
  <c r="G10" i="2"/>
  <c r="I9" i="2"/>
  <c r="G9" i="2"/>
  <c r="I8" i="2"/>
  <c r="G8" i="2"/>
  <c r="I7" i="2"/>
  <c r="G7" i="2"/>
  <c r="G6" i="2"/>
</calcChain>
</file>

<file path=xl/sharedStrings.xml><?xml version="1.0" encoding="utf-8"?>
<sst xmlns="http://schemas.openxmlformats.org/spreadsheetml/2006/main" count="391" uniqueCount="267">
  <si>
    <t xml:space="preserve">Дело: </t>
  </si>
  <si>
    <t>МГЭ/56181-1/9 от 29.12.2025</t>
  </si>
  <si>
    <t xml:space="preserve">Объект: </t>
  </si>
  <si>
    <t>Капитальный ремонт здания Государственного бюджетного общеобразовательного учреждения города Москвы «Школа № 236». 1 этап</t>
  </si>
  <si>
    <t>Текущий уровень цен</t>
  </si>
  <si>
    <t>III квартал 2025 года</t>
  </si>
  <si>
    <t>№ п/п</t>
  </si>
  <si>
    <t>Шифр</t>
  </si>
  <si>
    <t>Наименование МТР</t>
  </si>
  <si>
    <t>Единица измерения</t>
  </si>
  <si>
    <t>Количество</t>
  </si>
  <si>
    <t>Примечание по ПД</t>
  </si>
  <si>
    <t>Объем МТР в ВОР</t>
  </si>
  <si>
    <t>45,1</t>
  </si>
  <si>
    <t>КА-1</t>
  </si>
  <si>
    <t>Трехрожковый настенный кронштейн для флага
81,73 = [950 / 1,2 /  9,88] +  2% Заг.скл</t>
  </si>
  <si>
    <t>ШТ</t>
  </si>
  <si>
    <t>Необходимо подтвердить наличие МТР данными ПД/</t>
  </si>
  <si>
    <t>49,1</t>
  </si>
  <si>
    <t>КА-2</t>
  </si>
  <si>
    <t>Пеностекло толщ. 150 мм
2 796,05 = [32 500 / 1,2 /  9,88] +  2% Заг.скл</t>
  </si>
  <si>
    <t>м3</t>
  </si>
  <si>
    <t>Объемы МТР необходимо привести в соответствие с ВОР АР.</t>
  </si>
  <si>
    <t>61,1</t>
  </si>
  <si>
    <t>КА 3</t>
  </si>
  <si>
    <t>Металлическое ограждения высотой 1200 мм из нержавеющей полированной стали высотой 1200 мм в осях 18-20/К, поручни на высоте 900 и 500 мм с нетравмирующим завершением, заполнение ограждения из вертикальных элементов-стоек с шагом не более 100 мм
743,31 = [8 639,95 / 1,2 /  9,88] +  2% Заг.скл</t>
  </si>
  <si>
    <t>МП</t>
  </si>
  <si>
    <t>62,1</t>
  </si>
  <si>
    <t>КА 4</t>
  </si>
  <si>
    <t>Ограждение лестницы на пандусе высотой 900 мм Поручни на высоте 900 мм: Труба C50х1,5
473,18 = [5 500 / 1,2 /  9,88] +  2% Заг.скл</t>
  </si>
  <si>
    <t>63,1</t>
  </si>
  <si>
    <t>Ограждение лестницы на служебном входе из пищеблока, входной площадке, дебаркадере, высотой 900 мм Поручни на высоте 900 мм: Труба C50х1,5
473,18 = [5 500 / 1,2 /  9,88] +  2% Заг.скл</t>
  </si>
  <si>
    <t>66,5</t>
  </si>
  <si>
    <t>КА 5</t>
  </si>
  <si>
    <t>Керамогранит толщиной 20 мм
404,35 = [4 700 / 1,2 /  9,88] +  2% Заг.скл</t>
  </si>
  <si>
    <t>м2</t>
  </si>
  <si>
    <t>80,1</t>
  </si>
  <si>
    <t>КА 6</t>
  </si>
  <si>
    <t>Металлические грязезащитные решетки (Щетка +Резина + Скребок) =1,5 м*0,5 м*8 шт. =6 м2
2 120,01 = [24 642 / 1,2 /  9,88] +  2% Заг.скл</t>
  </si>
  <si>
    <t>123,1</t>
  </si>
  <si>
    <t>Пеностекло толщ. 100 мм
2 796,05 = [32 500 / 1,2 /  9,88] +  2% Заг.скл</t>
  </si>
  <si>
    <t>151,1</t>
  </si>
  <si>
    <t>КА -8</t>
  </si>
  <si>
    <t>Трансформируемые глухие перегородки по направляющим профилям в полу и потолке с использованием ограничителей хода с заполнением звукоизоляционными панелями
2 777,99 = [32 290 / 1,2 /  9,88] +  2% Заг.скл</t>
  </si>
  <si>
    <t>157,1</t>
  </si>
  <si>
    <t>КА 9</t>
  </si>
  <si>
    <t>Т-образный профиль из нержавеющей стали 2700х9х14 мм
98,14 = [1 140,74 / 1,2 /  9,88] +  2% Заг.скл</t>
  </si>
  <si>
    <t>м</t>
  </si>
  <si>
    <t>158,1</t>
  </si>
  <si>
    <t>КА -10</t>
  </si>
  <si>
    <t>Остекленные перегородки из алюминиевого профиля. Заполнение однокамерным стеклопакетом толщиной 50 мм с огнестойким стеклом, противопожарную с пределом огнестойкости не менее EIW30, класс защиты остекления СМ4
1 591,60 = [18 500 / 1,2 /  9,88] +  2% Заг.скл</t>
  </si>
  <si>
    <t>159,1</t>
  </si>
  <si>
    <t>КА 11</t>
  </si>
  <si>
    <t>Сантехнические перегородки из HPL
731,28 = [8 500 / 1,2 /  9,88] +  2% Заг.скл</t>
  </si>
  <si>
    <t>164,1</t>
  </si>
  <si>
    <t>КА 12</t>
  </si>
  <si>
    <t>Декоративные стеновые панели кубообразные 80х80 мм
258,10 = [3 000 / 1,2 /  9,88] +  2% Заг.скл</t>
  </si>
  <si>
    <t>165,1</t>
  </si>
  <si>
    <t>КА 4.1</t>
  </si>
  <si>
    <t>Ограждение на внутренних лестничных клетках из нержавеющей полированной стали высотой 1200 мм (с двумя поручными): Поручни на высоте 500, 900
602,11 = [6 998,56 / 1,2 /  9,88] +  2% Заг.скл</t>
  </si>
  <si>
    <t>166,1</t>
  </si>
  <si>
    <t>КА 13</t>
  </si>
  <si>
    <t>Пристенный поручень для внутренних лестницы с двойным поручнем на высота 900 и 500 мм
473,18 = [5 500 / 1,2 /  9,88] +  2% Заг.скл</t>
  </si>
  <si>
    <t>Единицы измерения МТР необходимо привести в соответствие с ПД - м.п.</t>
  </si>
  <si>
    <t>167,1</t>
  </si>
  <si>
    <t>КА 4.2</t>
  </si>
  <si>
    <t>Ограждение лестницы в проеме окна (высота 1200) Вертикальное заполнение ригелей с шагом 100 мм
743,31 = [8 639,95 / 1,2 /  9,88] +  2% Заг.скл</t>
  </si>
  <si>
    <t>183,3</t>
  </si>
  <si>
    <t>КА 30</t>
  </si>
  <si>
    <t>Окно ПВХ ОК-1, ОК-1/1, ОК-1/2, ОК-1/3, ОК-1/4. Профильная система REHAU 70 Delight. Цвет RAL 7016. Ламинация. Фурнитура ROTO или аналог. Заполнение - двухкамерный стеклопакет (СМ4). Индивидуальное изготовление. Габариты: 2300*2050
2 460,53 = [28 600 / 1,2 /  9,88] +  2% Заг.скл</t>
  </si>
  <si>
    <t>183,4</t>
  </si>
  <si>
    <t>КА 31</t>
  </si>
  <si>
    <t>Окно Е30. ОК-1/1* Алюминиевый профиль Realit RW71, цвет RAL 7016. Заполнение -огнестойкое стекло, Размеры: 2300*2050
5 306,31 = [61 678 / 1,2 /  9,88] +  2% Заг.скл</t>
  </si>
  <si>
    <t>Технические характеристики МТР необходимо привести в соответствие с ПД - окно ПВХ, а не алюминиевое.</t>
  </si>
  <si>
    <t>184,3</t>
  </si>
  <si>
    <t>КА 32</t>
  </si>
  <si>
    <t>Окно ПВХ ОК-3, ОК-4. Профильная система REHAU 70 Delight. Цвет RAL 7016. Ламинация. Фурнитура ROTO или аналог. Заполнение -двухкамерный стеклопакет (СМ4 ). Индивидуальное изготовление. Размеры: 2300*776
2 460,53 = [28 600 / 1,2 /  9,88] +  2% Заг.скл</t>
  </si>
  <si>
    <t>184,4</t>
  </si>
  <si>
    <t>КА 33</t>
  </si>
  <si>
    <t>Окно ЕЗО. ОК-1/4* Алюминиевый профиль Realit RW71, цвет RAL 7016. Заполнение - огнестойкое стекло. Индивидуальное изготовление. Размеры: 2400*400
5 306,31 = [61 678 / 1,2 /  9,88] +  2% Заг.скл</t>
  </si>
  <si>
    <t>185,3</t>
  </si>
  <si>
    <t>КА 34</t>
  </si>
  <si>
    <t>Окно ПВХ. ОК-3/1 Профильная система REHAU 70 Delight. Цвет RAL 7016. Ламинация. Фурнитура ROTO или аналог. Заполнение - двухкамерный стеклопакет (СМ4 ). Индивидуальное изготовление. Размеры: 2300*776
2 460,53 = [28 600 / 1,2 /  9,88] +  2% Заг.скл</t>
  </si>
  <si>
    <t>185,4</t>
  </si>
  <si>
    <t>КА 35</t>
  </si>
  <si>
    <t>Окно ПВХ. ОК-5  Профильная система REHAU 70 Delight. Цвет RAL 7016. Ламинация. Фурнитура ROTO или аналог. Заполнение -двухкамерный стеклопакет (СМ4 ). Индивидуальное изготовление. Размеры: 900*2050
2 460,53 = [28 600 / 1,2 /  9,88] +  2% Заг.скл</t>
  </si>
  <si>
    <t>186,3</t>
  </si>
  <si>
    <t>КА 36</t>
  </si>
  <si>
    <t>Окно ПВХ. ОК-2/1 Профильная система REHAU 70 Delight. Цвет RAL 7016. Ламинация. Фурнитура ROTO или аналог. Заполнение - двухкамерный стеклопакет (СМ4). Размеры: 2300*2050
2 460,53 = [28 600 / 1,2 /  9,88] +  2% Заг.скл</t>
  </si>
  <si>
    <t>187,3</t>
  </si>
  <si>
    <t>КА 37</t>
  </si>
  <si>
    <t>Окно Е30. ОК-1* Алюминиевый профиль Realit RW71, цвет RAL 7016. Заполнение -огнестойкое стекло. Размеры: 2300*2050
5 306,31 = [61 678 / 1,2 /  9,88] +  2% Заг.скл</t>
  </si>
  <si>
    <t>188,3</t>
  </si>
  <si>
    <t>КА 38</t>
  </si>
  <si>
    <t>Окно Е30. ОК-3* Алюминиевый профиль Realit RW71, цвет RAL 7016. Заполнение -огнестойкое стекло. Размеры: 2300*776
5 306,31 = [61 678 / 1,2 /  9,88] +  2% Заг.скл</t>
  </si>
  <si>
    <t>189,1</t>
  </si>
  <si>
    <t>КА 68</t>
  </si>
  <si>
    <t>Рольставни металлические 700х1272 мм
1 471,16 = [17 100 / 1,2 /  9,88] +  2% Заг.скл</t>
  </si>
  <si>
    <t>шт.</t>
  </si>
  <si>
    <t>192,1</t>
  </si>
  <si>
    <t>КА 63</t>
  </si>
  <si>
    <t>Керамическая плитка Kerama Marazzi Монфорте белый матовый обрезной 14010R
269,03 = [3 127 / 1,2 /  9,88] +  2% Заг.скл</t>
  </si>
  <si>
    <t>193,1</t>
  </si>
  <si>
    <t>Подоконники деревянные, совмещенные с защитными экранами радиаторов отопления: подоконник толщиной 24мм, материал фанера березовая с покрытием огнестойким лаком КМ1; фасад экрана толщиной 12мм, материал МДФ с противопожарной обработкой КМ1 с 2-х сторон и окрашенный с 2-х сторон
1 743,02 = [20 260 / 1,2 /  9,88] +  2% Заг.скл</t>
  </si>
  <si>
    <t>198,1</t>
  </si>
  <si>
    <t>КА 39</t>
  </si>
  <si>
    <r>
      <t xml:space="preserve">Витраж. / ВН-1, ВН-2, ВН-3, ВН-4, ВН-5 Алюминиевый профиль Realit RF50, окрашенный порошковой краской, цвет RAL 7016. Заполнение - Стемалит \ Стеклопакет. (6М1/зак-12-4М1-10-441 И) (СМ4) Индивидуальное изготовление </t>
    </r>
    <r>
      <rPr>
        <sz val="11"/>
        <color rgb="FFFF0000"/>
        <rFont val="Times New Roman"/>
        <family val="1"/>
        <charset val="204"/>
      </rPr>
      <t>(без учета квадратуры дверей)</t>
    </r>
    <r>
      <rPr>
        <sz val="11"/>
        <rFont val="Times New Roman"/>
        <family val="1"/>
        <charset val="204"/>
      </rPr>
      <t xml:space="preserve">
4 668,89 = [54 269 / 1,2 /  9,88] +  2% Заг.скл</t>
    </r>
  </si>
  <si>
    <t>Объемы МТР необходимо привести в соответствие с ВОР АР - необходимо вычесть площади дверей, т.к. они включены в смету отдельно.</t>
  </si>
  <si>
    <t>198,2</t>
  </si>
  <si>
    <t>КА 43</t>
  </si>
  <si>
    <t>Бронированная пленка к ВН-1, ВН-2, ВН-3, ВН-4, ВН-5
335,53 = [3 900 / 1,2 /  9,88] +  2% Заг.скл</t>
  </si>
  <si>
    <t>198,3</t>
  </si>
  <si>
    <t>КА 44</t>
  </si>
  <si>
    <t>Ручка-поручень, на высоту створки.нержавеющая сталь комплект/ ВН-4, ВН-5
2 354,16 = [27 363,7 / 1,2 /  9,88] +  2% Заг.скл</t>
  </si>
  <si>
    <t>компл.</t>
  </si>
  <si>
    <t>200,1</t>
  </si>
  <si>
    <t>КА 40</t>
  </si>
  <si>
    <t>Вв-6, Вв-7 Витраж EIW30 с дверью. Перегородка Алюминиевый профиль Realit RF50, окрашенный порошковой краской, цвет RAL 7016. Заполнение - огнестойкое стекло. Индивидуальное изготовление
5 201,35 = [60 458 / 1,2 /  9,88] +  2% Заг.скл</t>
  </si>
  <si>
    <t>200,2</t>
  </si>
  <si>
    <t>Ручка-поручень, на высоту створки.нержавеющая сталь комплект/ Вв-6 -5 шт., Вв-7 -5 шт.
2 354,16 = [27 363,7 / 1,2 /  9,88] +  2% Заг.скл</t>
  </si>
  <si>
    <t>202,1</t>
  </si>
  <si>
    <t>КА 41</t>
  </si>
  <si>
    <t>Вв-8, 9, 10, 11, 11.1 Витраж ЕI30 Перегородка Алюминиевый профиль Realit RF50, окрашенный порошковой краской, цвет RAL 901 О. Заполнение -огнестойкое стекло. Индивидуальное изготовление
5 201,35 = [60 458 / 1,2 /  9,88] +  2% Заг.скл</t>
  </si>
  <si>
    <t>202,2</t>
  </si>
  <si>
    <t>Бронированная пленка к Вв-8, 9, 10, 11, 11.1
335,53 = [3 900 / 1,2 /  9,88] +  2% Заг.скл</t>
  </si>
  <si>
    <t>202,3</t>
  </si>
  <si>
    <t>Ручка-поручень, на высоту створки.нержавеющая сталь комплект/ Вв-8, 9, 10, 11, 11.1
2 354,16 = [27 363,7 / 1,2 /  9,88] +  2% Заг.скл</t>
  </si>
  <si>
    <t>204,1</t>
  </si>
  <si>
    <t>КА 42</t>
  </si>
  <si>
    <t>Вв-12, 13,14 Витраж ЕI30 с дверью. Алюминиевый профиль Realit RF50, окрашенный порошковой краской, цвет RAL 7016. Заполнение -огнестойкое стекло. Индивидуальное изготовление
5 201,35 = [60 458 / 1,2 /  9,88] +  2% Заг.скл</t>
  </si>
  <si>
    <t>204,2</t>
  </si>
  <si>
    <t>Ручка-поручень, на высоту створки.нержавеющая сталь комплект/ Вв-12, 13,14
2 354,16 = [27 363,7 / 1,2 /  9,88] +  2% Заг.скл</t>
  </si>
  <si>
    <t>208,3</t>
  </si>
  <si>
    <t>КА 45</t>
  </si>
  <si>
    <t>Необходимо исключить дверные блоки Дв-1, Дв-1.1. , т.к. они включены в смету отдельно - п. 208,5.</t>
  </si>
  <si>
    <t>208,4</t>
  </si>
  <si>
    <t>КА 46</t>
  </si>
  <si>
    <t>Дверной блок с фрамугой Дн-5. Алюминиевый профиль Realit RW64. Цвет RAL 7016. Заполнение - стеклопакет (СМ4). Стационарный порог. Петли Фурнитура Fapiш. Индивидуальное изготовление. Габариты: 900*2110
4 956,41 = [57 611 / 1,2 /  9,88] +  2% Заг.скл</t>
  </si>
  <si>
    <t>208,5</t>
  </si>
  <si>
    <t>КА 47</t>
  </si>
  <si>
    <t>Дверной блок Дв-1, Дв-1.1. Алюминиевый профиль Realit RW64. Цвет RAL 7016. Заполнение - стеклопакет (СМ4). Автоматический порог. Петли Фурнитура Fapiш. Индивидуальное изготовление. Габариты: 1200*2100
4 747,36 = [55 181 / 1,2 /  9,88] +  2% Заг.скл</t>
  </si>
  <si>
    <t>208,6</t>
  </si>
  <si>
    <t>КА 48</t>
  </si>
  <si>
    <t>Дверной блок Дв-2, Дв-2.1, Дв-3, Дв-3.1, Дв-4, Дв-4/1 Дверной блок. Алюминиевый профиль Realit RW64, окрашенный порошковой краской, цвет RAL 7016. Заполнение - стеклопакет ( 6М 1 /зак-12-4Мl-10-441И) (СМ4). Автоматичекий порог. Петли Фурнитура Fapim. Размеры: 900*2100
4 747,36 = [55 181 / 1,2 /  9,88] +  2% Заг.скл</t>
  </si>
  <si>
    <t>208,7</t>
  </si>
  <si>
    <t>КА 49</t>
  </si>
  <si>
    <t>Дверной блок. Дв-4.1 Алюминиевый профиль Realit RW64, окрашенный порошковой краской, цвет RAL 7016. Заполнение - стеклопакет (6М1/зак-12-4М1-10-441И) (СМ4). Автоматичекий порог. Петли Фурнитура Fapim. Индивидуальное изготовление. Размеры: 900*2000
4 747,36 = [55 181 / 1,2 /  9,88] +  2% Заг.скл</t>
  </si>
  <si>
    <t>208,8</t>
  </si>
  <si>
    <t>КА 50</t>
  </si>
  <si>
    <t>Дверной блок Дв-5, Дв-5.1 Дверной блок EIWlS. Алюминиевый профиль Realit RW64, окрашенный порошковой краской, цвет RAL 7016. Заполнение - огнестойкое стекло. Автоматичекий порог. Петли Фурнитура Fapim. Размеры: 1200*2110
5 201,35 = [60 458 / 1,2 /  9,88] +  2% Заг.скл</t>
  </si>
  <si>
    <t>208,9</t>
  </si>
  <si>
    <t>КА 51</t>
  </si>
  <si>
    <t>Дверной блок Дв-6, Дв-6.1 EIWЗ0. Алюминиевый профиль Realit RW64, окрашенный порошковой краской, цвет RAL 7016. Заполнение - огнестойкое стекло. Автоматичекий порог. Петли Фурнитура Fapim. Размеры: 900*2110
5 265,87 = [61 208 / 1,2 /  9,88] +  2% Заг.скл</t>
  </si>
  <si>
    <t>208,10</t>
  </si>
  <si>
    <t>КА 52</t>
  </si>
  <si>
    <t>Дверной блок Двс-8.1, Двс-8. Алюминиевый профиль Realit RW64, окрашенный порошковой краской, цвет RAL 7016. Заполнение - стеклопакет (6М1/зак-12-4М1-10-441И) (СМ4). Автоматичекий порог. Петли Фурнитура Fapim. Индивидуальное изготовление. Размеры: 1000*2110
4 747,36 = [55 181 / 1,2 /  9,88] +  2% Заг.скл</t>
  </si>
  <si>
    <t>208,11</t>
  </si>
  <si>
    <t>КА 53</t>
  </si>
  <si>
    <t>Дверной блок Дв-12 EIWЗ0. Алюминиевый профиль Realit RW64, окрашенный порошковой краской, цвет RAL 7016. Заполнение - огнестойкое стекло. Автоматичекий порог. Петли Фурнитура Fapim. Размеры: 1200*2110
5 265,87 = [61 208 / 1,2 /  9,88] +  2% Заг.скл</t>
  </si>
  <si>
    <t>208,12</t>
  </si>
  <si>
    <t>КА 54</t>
  </si>
  <si>
    <t>Дверной блок Дв-27, Дв-27.1, Дв-28, Дв-29 EIWЗ0. Алюминиевый профиль Realit RW64, окрашенный порошковой краской, цвет RAL 7016. Заполнение - огнестойкое стекло. Автоматичекий порог. Петли Фурнитура Fapim
5 265,87 = [61 208 / 1,2 /  9,88] +  2% Заг.скл</t>
  </si>
  <si>
    <t>208,13</t>
  </si>
  <si>
    <t>КА 55</t>
  </si>
  <si>
    <t>Дверной блок  Дв-30, Дв-35.1 Алюминиевый профиль Realit RW64, окрашенный порошковой краской, цвет RAL 7016. Заполнение - стеклопакет (6М1/зак-12-4М1-10-441И) (СМ4). Автоматичекий порог. Петли Фурнитура Fapim. Размеры: 900*2100
4 747,36 = [55 181 / 1,2 /  9,88] +  2% Заг.скл</t>
  </si>
  <si>
    <t>208,14</t>
  </si>
  <si>
    <t>КА 56</t>
  </si>
  <si>
    <t>Дверной блок Дв-39. Алюминиевый профиль Realit RW64, окрашенный порошковой краской, цвет RAL 7016. Заполнение - стеклопакет (6М1/зак-12- 4Мl-10-441И) (СМ4). Автоматичекий порог. Петли Фурнитура Fapim. Размеры: 1200*2100
4 747,36 = [55 181 / 1,2 /  9,88] +  2% Заг.скл</t>
  </si>
  <si>
    <t>208,16</t>
  </si>
  <si>
    <t>Ручка-поручень, на высоту створки.нержавеющая сталь комплект/ Дп.н-1, Дп.н-2, Дп.в-1, Дп.в-2, Дн-3, Дн-3/1, Дв-1, Дв-1.1, Дв-2, Дв-2.1, Дв-3, Дв-3.1, Дв-4, Дв-4/1, Дв-4.1, Дв-6, Дв-6.1, Двс-8.1, Двс-8, Дв-12, Дв-30, Дв-35.1
2 354,16 = [27 363,7 / 1,2 /  9,88] +  2% Заг.скл</t>
  </si>
  <si>
    <t>208,17</t>
  </si>
  <si>
    <t>Бронированная пленка к Дп.н-1, Дп.н-2, Дп.в-1, Дп.в-2, Дн-3, Дн-3/1, Дн-5, Дв-3, Дв-3.1, Дв-4, Дв-4.1, Дв-4/1, Двс-8.1, Двс-8, Дв-30, Дв-35.1, Дв-39
335,53 = [3 900 / 1,2 /  9,88] +  2% Заг.скл</t>
  </si>
  <si>
    <t>209,3</t>
  </si>
  <si>
    <t>КА 57</t>
  </si>
  <si>
    <t>Дверной блок Дн-4 с фрамугой. Алюминиевый профиль Realit RW64, окрашенный порошковой краской, цвет RAL 7016. Заполнение - стеклопакет (6М1/зак-12-4М1-10-441И).(СМ4) Стационарный порог. Петли Фурнитура Fapim. Размеры: 1500*2110
4 956,41 = [57 611 / 1,2 /  9,88] +  2% Заг.скл</t>
  </si>
  <si>
    <t>209,5</t>
  </si>
  <si>
    <t>Ручка-поручень, на высоту створки.нержавеющая сталь комплект
2 354,16 = [27 363,7 / 1,2 /  9,88] +  2% Заг.скл</t>
  </si>
  <si>
    <t>209,6</t>
  </si>
  <si>
    <t>Бронированная пленка
335,53 = [3 900 / 1,2 /  9,88] +  2% Заг.скл</t>
  </si>
  <si>
    <t>210,3</t>
  </si>
  <si>
    <t>КА 58</t>
  </si>
  <si>
    <t>Дверной блок Дв-13, Дв-13.1 с фрамугой. Алюминиевый профиль Realit RW64, окрашенный порошковой краской, цвет RAL 7016. Заполнение - стеклопакет (6М1/зак-12-4МI-10-441И) (СМ4). Автоматичекий порог. Петли Фурнитура Fapim. Размеры: 900*2100
4 956,41 = [57 611 / 1,2 /  9,88] +  2% Заг.скл</t>
  </si>
  <si>
    <t>210,4</t>
  </si>
  <si>
    <t>210,6</t>
  </si>
  <si>
    <t>Бронированная пленка с двух сторон
335,53 = [3 900 / 1,2 /  9,88] +  2% Заг.скл</t>
  </si>
  <si>
    <t>216,4</t>
  </si>
  <si>
    <t>КА 59</t>
  </si>
  <si>
    <t>Дверной блок Дв-8, Дв-8.1 Комбинированная, влагостойкая, одностворчатая, распашная. Покрытие композитный ПВХ 1,5 мм. Обвязка полотна: лвл-брус. Торец: гладкий Коробка: телескопическая, наличники ПВХ с двух сторон. Цвет: белый стандартный RAL9010. Фурнитура. Замок: с язычком. Круглая накладка на цилиндр толщиной не менее 9–10 мм. Цвет: матовый никель. Ручка: нажимная раздельная на квадратной розетке, выдерживающая 100 000 циклов открываний. Цвет: матовый никель. Петли: накладные бабочки. Цвет – хром. Замок с цилиндром: ключ/вертушка либо ключ/ключ. Доводчик: накладной типа DL Smart, выдерживающий 100 000 циклов открываний. Ширина видимого профиля 75 мм. 900х2100
6 697,63 = [77 850 / 1,2 /  9,88] +  2% Заг.скл</t>
  </si>
  <si>
    <t>216,5</t>
  </si>
  <si>
    <t>КА 60</t>
  </si>
  <si>
    <t>Дверной блок Дв-9, Дв-9.1 Комбинированная, влагостойкая, одностворчатая, распашная. Покрытие композитный ПВХ 1,5 мм. Обвязка полотна: лвл-брус. Торец: гладкий Коробка: телескопическая, наличники ПВХ с двух сторон. Цвет: белый стандартный RAL9010. Фурнитура. Замок: с язычком. Круглая накладка на цилиндр толщиной не менее 9–10 мм. Цвет: матовый никель. Ручка: нажимная раздельная на квадратной розетке, выдерживающая 100 000 циклов открываний. Цвет: матовый никель. Петли: накладные бабочки. Цвет – хром. Замок с цилиндром: ключ/вертушка либо ключ/ключ. Доводчик: накладной типа DL Smart, выдерживающий 100 000 циклов открываний. Ширина видимого профиля 75 мм. 800х2100
6 697,63 = [77 850 / 1,2 /  9,88] +  2% Заг.скл</t>
  </si>
  <si>
    <t>216,6</t>
  </si>
  <si>
    <t>КА 61</t>
  </si>
  <si>
    <t>Дверной блок Дв-10, Дв-10.1 Комбинированная, влагостойкая, одностворчатая, распашная. Покрытие композитный ПВХ 1,5 мм. Обвязка полотна: лвл-брус. Торец: гладкий Коробка: телескопическая, наличники ПВХ с двух сторон. Цвет: белый стандартный RAL9010. Фурнитура. Замок: с язычком. Круглая накладка на цилиндр толщиной не менее 9–10 мм. Цвет: матовый никель. Ручка: нажимная раздельная на квадратной розетке, выдерживающая 100 000 циклов открываний. Цвет: матовый никель. Петли: накладные бабочки. Цвет – хром. Замок с цилиндром: ключ/вертушка либо ключ/ключ. Доводчик: накладной типа DL Smart, выдерживающий 100 000 циклов открываний. Ширина видимого профиля 75 мм. 900х2100
6 697,63 = [77 850 / 1,2 /  9,88] +  2% Заг.скл</t>
  </si>
  <si>
    <t>216,7</t>
  </si>
  <si>
    <t>КА 62</t>
  </si>
  <si>
    <t>Дверной блок Дв-36, Дв-36.1 Комбинированная, влагостойкая, одностворчатая, распашная. Покрытие композитный ПВХ 1,5 мм. Обвязка полотна: лвл-брус. Торец: гладкий Коробка: телескопическая, наличники ПВХ с двух сторон. Цвет: белый стандартный RAL9010. Фурнитура. Замок: с язычком. Круглая накладка на цилиндр толщиной не менее 9–10 мм. Цвет: матовый никель. Ручка: нажимная раздельная на квадратной розетке, выдерживающая 100 000 циклов открываний. Цвет: матовый никель. Петли: накладные бабочки. Цвет – хром. Замок с цилиндром: ключ/вертушка либо ключ/ключ. Доводчик: накладной типа DL Smart, выдерживающий 100 000 циклов открываний. Ширина видимого профиля 75 мм. 900х2100
6 697,63 = [77 850 / 1,2 /  9,88] +  2% Заг.скл</t>
  </si>
  <si>
    <t>227,3</t>
  </si>
  <si>
    <t>КА 14</t>
  </si>
  <si>
    <t>Роскошная мозаика стеклянная, 29,8х29,8 мм
860,32 = [10 000 / 1,2 /  9,88] +  2% Заг.скл</t>
  </si>
  <si>
    <t>230,3</t>
  </si>
  <si>
    <t>КА 15</t>
  </si>
  <si>
    <t>Плитка керамическая Kerama Marazzi 285х85 мм белый глянцевый
152,10 = [1 768 / 1,2 /  9,88] +  2% Заг.скл</t>
  </si>
  <si>
    <t>231,3</t>
  </si>
  <si>
    <t>КА 16</t>
  </si>
  <si>
    <t>Плитка керамическая Kerama Marazzi 400 х 1200 мм белый матовый
269,03 = [3 127 / 1,2 /  9,88] +  2% Заг.скл</t>
  </si>
  <si>
    <t>232,1</t>
  </si>
  <si>
    <t>236,3</t>
  </si>
  <si>
    <t>КА 17</t>
  </si>
  <si>
    <t>Плитка керамическая Kerama Marazzi 1195х600 серый светлый обрезной
230,91 = [2 684 / 1,2 /  9,88] +  2% Заг.скл</t>
  </si>
  <si>
    <t>242,2</t>
  </si>
  <si>
    <t>КА 18</t>
  </si>
  <si>
    <t>Акустические панели подвесные "Ecophon solo", 1100x953х40мм =542,2 м2/1,05 м2/шт. =570 шт.
774,29 = [9 000 / 1,2 /  9,88] +  2% Заг.скл</t>
  </si>
  <si>
    <t>242,3</t>
  </si>
  <si>
    <t>КА 19</t>
  </si>
  <si>
    <t>Акустические панели подвесные "Ecophon solo", 1192х1192х40мм =754,1м2/1,42м2/шт. =1071 шт.
738,15 = [8 580 / 1,2 /  9,88] +  2% Заг.скл</t>
  </si>
  <si>
    <t>244,2</t>
  </si>
  <si>
    <t>КА 20</t>
  </si>
  <si>
    <t>Кассетный акустический потолок "Ecophon фокус А" по каркасу 1200х600 мм
216,80 = [2 520 / 1,2 /  9,88] +  2% Заг.скл</t>
  </si>
  <si>
    <t>252,1</t>
  </si>
  <si>
    <t>КА 21</t>
  </si>
  <si>
    <t>Грильято 50х50 мм (подвесной) "Грильято Албес GL 50-75 Sh"
206,21 = [2 396,95 / 1,2 /  9,88] +  2% Заг.скл</t>
  </si>
  <si>
    <t>290,2</t>
  </si>
  <si>
    <t>КА 22</t>
  </si>
  <si>
    <t>Дизайн-плитка ПВХ "Forbo Effecta professional", цвет серый, 500х500 мм
172,92 = [2 010 / 1,2 /  9,88] +  2% Заг.скл</t>
  </si>
  <si>
    <t>298,2</t>
  </si>
  <si>
    <t>312,2</t>
  </si>
  <si>
    <t>КА 64</t>
  </si>
  <si>
    <t>Каучуковые профессиональные амортизаторы 19 мм (17 шт/м2 в один слой)
3,01 = [35 / 1,2 /  9,88] +  2% Заг.скл</t>
  </si>
  <si>
    <t>340,5</t>
  </si>
  <si>
    <t>КА 65</t>
  </si>
  <si>
    <t>Ступень Kerama Marazzi Про Лаймстоун DD205320R\GR Светло Серый Натуральный 30x60 (Кол-во ((98,99/0,3/0,6)=549,94 шт*1,08=594 шт)
70,72 = [822 / 1,2 /  9,88] +  2% Заг.скл</t>
  </si>
  <si>
    <t>340,6</t>
  </si>
  <si>
    <t>КА 66</t>
  </si>
  <si>
    <t>Подступенок Kerama Marazzi Про Лаймстоун DD205320R\2 Светло Серый Натуральный 14,5x60  (Кол-во (51,7/0,145/0,6)=594,25шт*1,08=642 шт)
36,65 = [426 / 1,2 /  9,88] +  2% Заг.скл</t>
  </si>
  <si>
    <t>350,2</t>
  </si>
  <si>
    <t>КА 23</t>
  </si>
  <si>
    <t>Дизайн-плитка "ПВХ Forbo Effecta professional", светлая серо-бежевая, 1000х200 мм
171,21 = [1 990 / 1,2 /  9,88] +  2% Заг.скл</t>
  </si>
  <si>
    <t>369,2</t>
  </si>
  <si>
    <t>379,2</t>
  </si>
  <si>
    <t>КА 24</t>
  </si>
  <si>
    <t>Линолеум гетерогенный коммерческий "Forbo Smaragd lux" (класс износостойкости 34/43)  арт. 6361
144,11 = [1 675 / 1,2 /  9,88] +  2% Заг.скл</t>
  </si>
  <si>
    <t>383,2</t>
  </si>
  <si>
    <t>КА 24.1</t>
  </si>
  <si>
    <t>Линолеум гетерогенный коммерческий "Forbo Smaragd lux" (класс износостойкости 34/43)  арт. 6376HL
144,11 = [1 675 / 1,2 /  9,88] +  2% Заг.скл</t>
  </si>
  <si>
    <t>384,2</t>
  </si>
  <si>
    <t>КА 67</t>
  </si>
  <si>
    <t>Текстильное напольное флокированное покрытие Forbo Flotex в планказ арт. 151001
706,93 = [8 217 / 1,2 /  9,88] +  2% Заг.скл</t>
  </si>
  <si>
    <t>385,5</t>
  </si>
  <si>
    <t>КА 25</t>
  </si>
  <si>
    <t>Плинтус керамогранит "Kerama Marazzi", пепельный светлый обрезной 119,5х10,7х11 мм
58,59 = [681 / 1,2 /  9,88] +  2% Заг.скл</t>
  </si>
  <si>
    <t>386,5</t>
  </si>
  <si>
    <t>КА 26</t>
  </si>
  <si>
    <t>Плинтус керамогранит "Kerama Marazzi", серый светлый натуральный, 60х9,5х9 мм/ 1 шт.=0,6*0,095= 0,057 м2
27,01 = [314 / 1,2 /  9,88] +  2% Заг.скл</t>
  </si>
  <si>
    <t>387,1</t>
  </si>
  <si>
    <t>КА 27</t>
  </si>
  <si>
    <t>Профиль для завода покрытия на стену "ТК 25 ППЗ" на 100 мм -двухсоставной коннелюрный профиль
21,51 = [250 / 1,2 /  9,88] +  2% Заг.скл</t>
  </si>
  <si>
    <t>388,1</t>
  </si>
  <si>
    <t>КА 28</t>
  </si>
  <si>
    <t>Плинтус полимерный гибкий ПВХ "Первый профильный завод"
20,47 = [238 / 1,2 /  9,88] +  2% Заг.скл</t>
  </si>
  <si>
    <t>389,1</t>
  </si>
  <si>
    <t>КА 29</t>
  </si>
  <si>
    <t>Плинтус Плинтус вентилируемый "Krast School" из массива дуба под спортивный паркет. (2000х80х22)
129,05 = [1 500 / 1,2 /  9,88] +  2% Заг.скл</t>
  </si>
  <si>
    <t>Заявленная стоимость, руб./ед.изм. с НДС</t>
  </si>
  <si>
    <t>ВСЕГО заявленная стоимость, 
руб. с НДС</t>
  </si>
  <si>
    <r>
      <t xml:space="preserve">Дверной блок с фрамугой Дп.н-1, Дп.н-2, Дп.в-1, Дп.в-2, Дн-3, Дн-3/1, </t>
    </r>
    <r>
      <rPr>
        <sz val="11"/>
        <color rgb="FFFF0000"/>
        <rFont val="Times New Roman"/>
        <family val="1"/>
        <charset val="204"/>
      </rPr>
      <t xml:space="preserve">Дв-1, Дв-1.1 </t>
    </r>
    <r>
      <rPr>
        <sz val="11"/>
        <rFont val="Times New Roman"/>
        <family val="1"/>
        <charset val="204"/>
      </rPr>
      <t>Алюминиевый профиль Realit RW64. Цвет RAL 7016. Заполнение - стеклопакет (СМ4). Стационарный порог. Петли Фурнитура Fapim. Индивидуальное изготовление. Габариты: 1200*2110
4 956,41 = [57 611 / 1,2 /  9,88] +  2% Заг.скл</t>
    </r>
  </si>
  <si>
    <t>Необходимо подтвердить наличие МТР данными ПД.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</si>
</sst>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.0"/>
  </numFmts>
  <fonts count="6" x14ac:knownFonts="1">
    <font>
      <sz val="10"/>
      <name val="Arial"/>
      <charset val="204"/>
    </font>
    <font>
      <sz val="10"/>
      <name val="Arial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left" vertical="center" wrapText="1"/>
    </xf>
    <xf numFmtId="4" fontId="2" fillId="0" borderId="2" xfId="0" applyNumberFormat="1" applyFont="1" applyFill="1" applyBorder="1" applyAlignment="1">
      <alignment horizontal="left" vertical="center" wrapText="1"/>
    </xf>
    <xf numFmtId="43" fontId="2" fillId="0" borderId="2" xfId="1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4" fontId="2" fillId="0" borderId="0" xfId="0" applyNumberFormat="1" applyFont="1" applyFill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4" fontId="3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4" fontId="4" fillId="0" borderId="2" xfId="0" applyNumberFormat="1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4" fontId="3" fillId="0" borderId="1" xfId="0" applyNumberFormat="1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164" fontId="2" fillId="0" borderId="2" xfId="0" applyNumberFormat="1" applyFont="1" applyFill="1" applyBorder="1" applyAlignment="1">
      <alignment horizontal="left" vertical="center" wrapText="1"/>
    </xf>
    <xf numFmtId="2" fontId="2" fillId="0" borderId="2" xfId="0" applyNumberFormat="1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!%20&#1040;&#1053;&#1040;&#1051;&#1048;&#1047;%20&#1052;&#1043;&#1069;%2056181-1-9%20&#1051;&#1057;&#1056;%2002-01-01%20&#1040;&#10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-01-01"/>
      <sheetName val="Анализ"/>
      <sheetName val="КП"/>
      <sheetName val="ПД"/>
      <sheetName val="СВОД"/>
    </sheetNames>
    <sheetDataSet>
      <sheetData sheetId="0"/>
      <sheetData sheetId="1"/>
      <sheetData sheetId="2"/>
      <sheetData sheetId="3">
        <row r="3">
          <cell r="P3">
            <v>1065.5899999999997</v>
          </cell>
        </row>
        <row r="94">
          <cell r="P94">
            <v>117.012</v>
          </cell>
        </row>
        <row r="163">
          <cell r="P163">
            <v>71.993249999999989</v>
          </cell>
        </row>
        <row r="349">
          <cell r="P349">
            <v>43.80749999999999</v>
          </cell>
        </row>
        <row r="404">
          <cell r="P404">
            <v>30.383999999999997</v>
          </cell>
        </row>
        <row r="487">
          <cell r="P487">
            <v>128.51999999999998</v>
          </cell>
        </row>
        <row r="516">
          <cell r="P516">
            <v>49.14</v>
          </cell>
        </row>
        <row r="600">
          <cell r="P600">
            <v>48.047999999999995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46"/>
  <sheetViews>
    <sheetView tabSelected="1" workbookViewId="0">
      <selection activeCell="I11" sqref="I11"/>
    </sheetView>
  </sheetViews>
  <sheetFormatPr defaultRowHeight="14" x14ac:dyDescent="0.25"/>
  <cols>
    <col min="1" max="1" width="8.7265625" style="6"/>
    <col min="2" max="2" width="12.08984375" style="6" customWidth="1"/>
    <col min="3" max="3" width="46.54296875" style="6" customWidth="1"/>
    <col min="4" max="4" width="11.7265625" style="6" customWidth="1"/>
    <col min="5" max="5" width="14.26953125" style="6" customWidth="1"/>
    <col min="6" max="7" width="15.90625" style="6" customWidth="1"/>
    <col min="8" max="8" width="21.6328125" style="15" customWidth="1"/>
    <col min="9" max="9" width="20.7265625" style="15" customWidth="1"/>
    <col min="10" max="16384" width="8.7265625" style="11"/>
  </cols>
  <sheetData>
    <row r="1" spans="1:9" x14ac:dyDescent="0.25">
      <c r="A1" s="1" t="s">
        <v>0</v>
      </c>
      <c r="B1" s="1"/>
      <c r="C1" s="1" t="s">
        <v>1</v>
      </c>
      <c r="D1" s="1"/>
      <c r="E1" s="1"/>
      <c r="F1" s="1"/>
      <c r="G1" s="1"/>
      <c r="H1" s="13"/>
      <c r="I1" s="13"/>
    </row>
    <row r="2" spans="1:9" x14ac:dyDescent="0.25">
      <c r="A2" s="1" t="s">
        <v>2</v>
      </c>
      <c r="B2" s="1"/>
      <c r="C2" s="1" t="s">
        <v>3</v>
      </c>
      <c r="D2" s="1"/>
      <c r="E2" s="1"/>
      <c r="F2" s="1"/>
      <c r="G2" s="1"/>
      <c r="H2" s="13"/>
      <c r="I2" s="13"/>
    </row>
    <row r="3" spans="1:9" x14ac:dyDescent="0.25">
      <c r="A3" s="1" t="s">
        <v>4</v>
      </c>
      <c r="B3" s="1"/>
      <c r="C3" s="1" t="s">
        <v>5</v>
      </c>
      <c r="D3" s="1"/>
      <c r="E3" s="1"/>
      <c r="F3" s="1"/>
      <c r="G3" s="1"/>
      <c r="H3" s="13"/>
      <c r="I3" s="13"/>
    </row>
    <row r="4" spans="1:9" x14ac:dyDescent="0.25">
      <c r="A4" s="1"/>
      <c r="B4" s="1"/>
      <c r="C4" s="1"/>
      <c r="D4" s="1"/>
      <c r="E4" s="1"/>
      <c r="F4" s="1"/>
      <c r="G4" s="1"/>
      <c r="H4" s="13"/>
      <c r="I4" s="13"/>
    </row>
    <row r="5" spans="1:9" ht="56" x14ac:dyDescent="0.25">
      <c r="A5" s="8" t="s">
        <v>6</v>
      </c>
      <c r="B5" s="8" t="s">
        <v>7</v>
      </c>
      <c r="C5" s="8" t="s">
        <v>8</v>
      </c>
      <c r="D5" s="9" t="s">
        <v>9</v>
      </c>
      <c r="E5" s="9" t="s">
        <v>10</v>
      </c>
      <c r="F5" s="9" t="s">
        <v>263</v>
      </c>
      <c r="G5" s="10" t="s">
        <v>264</v>
      </c>
      <c r="H5" s="14" t="s">
        <v>11</v>
      </c>
      <c r="I5" s="14" t="s">
        <v>12</v>
      </c>
    </row>
    <row r="6" spans="1:9" ht="56" x14ac:dyDescent="0.25">
      <c r="A6" s="2" t="s">
        <v>13</v>
      </c>
      <c r="B6" s="2" t="s">
        <v>14</v>
      </c>
      <c r="C6" s="2" t="s">
        <v>15</v>
      </c>
      <c r="D6" s="3" t="s">
        <v>16</v>
      </c>
      <c r="E6" s="3">
        <v>1</v>
      </c>
      <c r="F6" s="4">
        <v>950</v>
      </c>
      <c r="G6" s="4">
        <f>F6*E6</f>
        <v>950</v>
      </c>
      <c r="H6" s="2"/>
      <c r="I6" s="2" t="s">
        <v>17</v>
      </c>
    </row>
    <row r="7" spans="1:9" ht="56" x14ac:dyDescent="0.25">
      <c r="A7" s="2" t="s">
        <v>18</v>
      </c>
      <c r="B7" s="2" t="s">
        <v>19</v>
      </c>
      <c r="C7" s="2" t="s">
        <v>20</v>
      </c>
      <c r="D7" s="3" t="s">
        <v>21</v>
      </c>
      <c r="E7" s="3">
        <v>26.836649999999999</v>
      </c>
      <c r="F7" s="4">
        <v>32500</v>
      </c>
      <c r="G7" s="4">
        <f>F7*E7</f>
        <v>872191.125</v>
      </c>
      <c r="H7" s="2" t="s">
        <v>22</v>
      </c>
      <c r="I7" s="2">
        <f>173.7*0.15</f>
        <v>26.054999999999996</v>
      </c>
    </row>
    <row r="8" spans="1:9" ht="98" x14ac:dyDescent="0.25">
      <c r="A8" s="2" t="s">
        <v>23</v>
      </c>
      <c r="B8" s="2" t="s">
        <v>24</v>
      </c>
      <c r="C8" s="2" t="s">
        <v>25</v>
      </c>
      <c r="D8" s="3" t="s">
        <v>26</v>
      </c>
      <c r="E8" s="3">
        <v>21.35</v>
      </c>
      <c r="F8" s="4">
        <v>8639.9500000000007</v>
      </c>
      <c r="G8" s="4">
        <f>F8*E8</f>
        <v>184462.93250000002</v>
      </c>
      <c r="H8" s="2"/>
      <c r="I8" s="3">
        <f>E8</f>
        <v>21.35</v>
      </c>
    </row>
    <row r="9" spans="1:9" ht="42" x14ac:dyDescent="0.25">
      <c r="A9" s="2" t="s">
        <v>27</v>
      </c>
      <c r="B9" s="2" t="s">
        <v>28</v>
      </c>
      <c r="C9" s="2" t="s">
        <v>29</v>
      </c>
      <c r="D9" s="3" t="s">
        <v>26</v>
      </c>
      <c r="E9" s="3">
        <v>56.16</v>
      </c>
      <c r="F9" s="4">
        <v>5500</v>
      </c>
      <c r="G9" s="4">
        <f>F9*E9</f>
        <v>308880</v>
      </c>
      <c r="H9" s="2"/>
      <c r="I9" s="3">
        <f>E9</f>
        <v>56.16</v>
      </c>
    </row>
    <row r="10" spans="1:9" ht="70" x14ac:dyDescent="0.25">
      <c r="A10" s="2" t="s">
        <v>30</v>
      </c>
      <c r="B10" s="2" t="s">
        <v>28</v>
      </c>
      <c r="C10" s="2" t="s">
        <v>31</v>
      </c>
      <c r="D10" s="3" t="s">
        <v>26</v>
      </c>
      <c r="E10" s="3">
        <v>460.00000000000006</v>
      </c>
      <c r="F10" s="4">
        <v>5500</v>
      </c>
      <c r="G10" s="4">
        <f>F10*E10</f>
        <v>2530000.0000000005</v>
      </c>
      <c r="H10" s="2"/>
      <c r="I10" s="3">
        <f>E10</f>
        <v>460.00000000000006</v>
      </c>
    </row>
    <row r="11" spans="1:9" ht="56" x14ac:dyDescent="0.25">
      <c r="A11" s="2" t="s">
        <v>32</v>
      </c>
      <c r="B11" s="2" t="s">
        <v>33</v>
      </c>
      <c r="C11" s="2" t="s">
        <v>34</v>
      </c>
      <c r="D11" s="3" t="s">
        <v>35</v>
      </c>
      <c r="E11" s="3">
        <v>32.561999999999998</v>
      </c>
      <c r="F11" s="4">
        <v>4700</v>
      </c>
      <c r="G11" s="4">
        <f>F11*E11</f>
        <v>153041.4</v>
      </c>
      <c r="H11" s="2" t="s">
        <v>22</v>
      </c>
      <c r="I11" s="2">
        <v>30.15</v>
      </c>
    </row>
    <row r="12" spans="1:9" ht="42" x14ac:dyDescent="0.25">
      <c r="A12" s="2" t="s">
        <v>36</v>
      </c>
      <c r="B12" s="2" t="s">
        <v>37</v>
      </c>
      <c r="C12" s="2" t="s">
        <v>38</v>
      </c>
      <c r="D12" s="3" t="s">
        <v>35</v>
      </c>
      <c r="E12" s="3">
        <v>6</v>
      </c>
      <c r="F12" s="4">
        <v>24642</v>
      </c>
      <c r="G12" s="4">
        <f>F12*E12</f>
        <v>147852</v>
      </c>
      <c r="H12" s="2"/>
      <c r="I12" s="2">
        <f>1.5*0.5*8</f>
        <v>6</v>
      </c>
    </row>
    <row r="13" spans="1:9" ht="28" customHeight="1" x14ac:dyDescent="0.25">
      <c r="A13" s="2" t="s">
        <v>39</v>
      </c>
      <c r="B13" s="2" t="s">
        <v>19</v>
      </c>
      <c r="C13" s="2" t="s">
        <v>40</v>
      </c>
      <c r="D13" s="3" t="s">
        <v>21</v>
      </c>
      <c r="E13" s="3">
        <v>13.472400000000002</v>
      </c>
      <c r="F13" s="4">
        <v>32500</v>
      </c>
      <c r="G13" s="4">
        <f>F13*E13</f>
        <v>437853.00000000006</v>
      </c>
      <c r="H13" s="18" t="s">
        <v>266</v>
      </c>
      <c r="I13" s="19"/>
    </row>
    <row r="14" spans="1:9" ht="70" x14ac:dyDescent="0.25">
      <c r="A14" s="2" t="s">
        <v>41</v>
      </c>
      <c r="B14" s="2" t="s">
        <v>42</v>
      </c>
      <c r="C14" s="2" t="s">
        <v>43</v>
      </c>
      <c r="D14" s="3" t="s">
        <v>35</v>
      </c>
      <c r="E14" s="3">
        <v>79.2</v>
      </c>
      <c r="F14" s="4">
        <v>32290</v>
      </c>
      <c r="G14" s="4">
        <f>F14*E14</f>
        <v>2557368</v>
      </c>
      <c r="H14" s="2"/>
      <c r="I14" s="2">
        <f>6*3.3*4</f>
        <v>79.199999999999989</v>
      </c>
    </row>
    <row r="15" spans="1:9" ht="56" x14ac:dyDescent="0.25">
      <c r="A15" s="2" t="s">
        <v>44</v>
      </c>
      <c r="B15" s="2" t="s">
        <v>45</v>
      </c>
      <c r="C15" s="2" t="s">
        <v>46</v>
      </c>
      <c r="D15" s="3" t="s">
        <v>47</v>
      </c>
      <c r="E15" s="3">
        <v>168</v>
      </c>
      <c r="F15" s="4">
        <v>1140.74</v>
      </c>
      <c r="G15" s="4">
        <f>F15*E15</f>
        <v>191644.32</v>
      </c>
      <c r="H15" s="2" t="s">
        <v>22</v>
      </c>
      <c r="I15" s="2">
        <v>160</v>
      </c>
    </row>
    <row r="16" spans="1:9" ht="98" x14ac:dyDescent="0.25">
      <c r="A16" s="2" t="s">
        <v>48</v>
      </c>
      <c r="B16" s="2" t="s">
        <v>49</v>
      </c>
      <c r="C16" s="2" t="s">
        <v>50</v>
      </c>
      <c r="D16" s="3" t="s">
        <v>35</v>
      </c>
      <c r="E16" s="3">
        <v>67.2</v>
      </c>
      <c r="F16" s="4">
        <v>18500</v>
      </c>
      <c r="G16" s="4">
        <f>F16*E16</f>
        <v>1243200</v>
      </c>
      <c r="H16" s="2"/>
      <c r="I16" s="2">
        <v>67.2</v>
      </c>
    </row>
    <row r="17" spans="1:9" ht="28" x14ac:dyDescent="0.25">
      <c r="A17" s="2" t="s">
        <v>51</v>
      </c>
      <c r="B17" s="2" t="s">
        <v>52</v>
      </c>
      <c r="C17" s="2" t="s">
        <v>53</v>
      </c>
      <c r="D17" s="3" t="s">
        <v>35</v>
      </c>
      <c r="E17" s="3">
        <v>89.2</v>
      </c>
      <c r="F17" s="4">
        <v>8500</v>
      </c>
      <c r="G17" s="4">
        <f>F17*E17</f>
        <v>758200</v>
      </c>
      <c r="H17" s="2"/>
      <c r="I17" s="2">
        <v>89.2</v>
      </c>
    </row>
    <row r="18" spans="1:9" ht="42" x14ac:dyDescent="0.25">
      <c r="A18" s="2" t="s">
        <v>54</v>
      </c>
      <c r="B18" s="2" t="s">
        <v>55</v>
      </c>
      <c r="C18" s="2" t="s">
        <v>56</v>
      </c>
      <c r="D18" s="3" t="s">
        <v>35</v>
      </c>
      <c r="E18" s="3">
        <v>33.6</v>
      </c>
      <c r="F18" s="4">
        <v>3000</v>
      </c>
      <c r="G18" s="4">
        <f>F18*E18</f>
        <v>100800</v>
      </c>
      <c r="H18" s="2"/>
      <c r="I18" s="2">
        <v>33.6</v>
      </c>
    </row>
    <row r="19" spans="1:9" ht="70" x14ac:dyDescent="0.25">
      <c r="A19" s="2" t="s">
        <v>57</v>
      </c>
      <c r="B19" s="2" t="s">
        <v>58</v>
      </c>
      <c r="C19" s="2" t="s">
        <v>59</v>
      </c>
      <c r="D19" s="3" t="s">
        <v>47</v>
      </c>
      <c r="E19" s="3">
        <v>69.180000000000007</v>
      </c>
      <c r="F19" s="4">
        <v>6998.56</v>
      </c>
      <c r="G19" s="4">
        <f>F19*E19</f>
        <v>484160.3808000001</v>
      </c>
      <c r="H19" s="2"/>
      <c r="I19" s="2">
        <v>69.180000000000007</v>
      </c>
    </row>
    <row r="20" spans="1:9" ht="70" x14ac:dyDescent="0.25">
      <c r="A20" s="2" t="s">
        <v>60</v>
      </c>
      <c r="B20" s="2" t="s">
        <v>61</v>
      </c>
      <c r="C20" s="2" t="s">
        <v>62</v>
      </c>
      <c r="D20" s="3" t="s">
        <v>35</v>
      </c>
      <c r="E20" s="3">
        <v>64.400000000000006</v>
      </c>
      <c r="F20" s="4">
        <v>5500</v>
      </c>
      <c r="G20" s="4">
        <f>F20*E20</f>
        <v>354200.00000000006</v>
      </c>
      <c r="H20" s="2" t="s">
        <v>63</v>
      </c>
      <c r="I20" s="2">
        <v>64.400000000000006</v>
      </c>
    </row>
    <row r="21" spans="1:9" ht="42" x14ac:dyDescent="0.25">
      <c r="A21" s="2" t="s">
        <v>64</v>
      </c>
      <c r="B21" s="2" t="s">
        <v>65</v>
      </c>
      <c r="C21" s="2" t="s">
        <v>66</v>
      </c>
      <c r="D21" s="3" t="s">
        <v>47</v>
      </c>
      <c r="E21" s="3">
        <v>64.400000000000006</v>
      </c>
      <c r="F21" s="4">
        <v>8639.9500000000007</v>
      </c>
      <c r="G21" s="4">
        <f>F21*E21</f>
        <v>556412.78000000014</v>
      </c>
      <c r="H21" s="2"/>
      <c r="I21" s="2">
        <v>64.400000000000006</v>
      </c>
    </row>
    <row r="22" spans="1:9" ht="98" x14ac:dyDescent="0.25">
      <c r="A22" s="2" t="s">
        <v>67</v>
      </c>
      <c r="B22" s="2" t="s">
        <v>68</v>
      </c>
      <c r="C22" s="2" t="s">
        <v>69</v>
      </c>
      <c r="D22" s="3" t="s">
        <v>35</v>
      </c>
      <c r="E22" s="3">
        <v>1065.5999999999999</v>
      </c>
      <c r="F22" s="4">
        <v>28600</v>
      </c>
      <c r="G22" s="4">
        <f>F22*E22</f>
        <v>30476159.999999996</v>
      </c>
      <c r="H22" s="2"/>
      <c r="I22" s="16">
        <f>[1]ПД!P3</f>
        <v>1065.5899999999997</v>
      </c>
    </row>
    <row r="23" spans="1:9" ht="84" x14ac:dyDescent="0.25">
      <c r="A23" s="2" t="s">
        <v>70</v>
      </c>
      <c r="B23" s="2" t="s">
        <v>71</v>
      </c>
      <c r="C23" s="2" t="s">
        <v>72</v>
      </c>
      <c r="D23" s="3" t="s">
        <v>35</v>
      </c>
      <c r="E23" s="3">
        <v>9.43</v>
      </c>
      <c r="F23" s="4">
        <v>61678</v>
      </c>
      <c r="G23" s="4">
        <f>F23*E23</f>
        <v>581623.54</v>
      </c>
      <c r="H23" s="5" t="s">
        <v>73</v>
      </c>
      <c r="I23" s="2">
        <f>2.3*2.05*2</f>
        <v>9.4299999999999979</v>
      </c>
    </row>
    <row r="24" spans="1:9" ht="84" x14ac:dyDescent="0.25">
      <c r="A24" s="2" t="s">
        <v>74</v>
      </c>
      <c r="B24" s="2" t="s">
        <v>75</v>
      </c>
      <c r="C24" s="2" t="s">
        <v>76</v>
      </c>
      <c r="D24" s="3" t="s">
        <v>35</v>
      </c>
      <c r="E24" s="3">
        <v>29.280000000000005</v>
      </c>
      <c r="F24" s="4">
        <v>28600</v>
      </c>
      <c r="G24" s="4">
        <f>F24*E24</f>
        <v>837408.00000000012</v>
      </c>
      <c r="H24" s="2"/>
      <c r="I24" s="17">
        <f>2.3*0.776*4+0.9*2.05*12</f>
        <v>29.279199999999999</v>
      </c>
    </row>
    <row r="25" spans="1:9" ht="84" x14ac:dyDescent="0.25">
      <c r="A25" s="2" t="s">
        <v>77</v>
      </c>
      <c r="B25" s="2" t="s">
        <v>78</v>
      </c>
      <c r="C25" s="2" t="s">
        <v>79</v>
      </c>
      <c r="D25" s="3" t="s">
        <v>35</v>
      </c>
      <c r="E25" s="3">
        <v>2.88</v>
      </c>
      <c r="F25" s="4">
        <v>61678</v>
      </c>
      <c r="G25" s="4">
        <f>F25*E25</f>
        <v>177632.63999999998</v>
      </c>
      <c r="H25" s="5" t="s">
        <v>73</v>
      </c>
      <c r="I25" s="2">
        <f>2.4*0.4*3</f>
        <v>2.88</v>
      </c>
    </row>
    <row r="26" spans="1:9" ht="84" x14ac:dyDescent="0.25">
      <c r="A26" s="2" t="s">
        <v>80</v>
      </c>
      <c r="B26" s="2" t="s">
        <v>81</v>
      </c>
      <c r="C26" s="2" t="s">
        <v>82</v>
      </c>
      <c r="D26" s="3" t="s">
        <v>35</v>
      </c>
      <c r="E26" s="3">
        <v>10.710000000000003</v>
      </c>
      <c r="F26" s="4">
        <v>28600</v>
      </c>
      <c r="G26" s="4">
        <f>F26*E26</f>
        <v>306306.00000000006</v>
      </c>
      <c r="H26" s="2"/>
      <c r="I26" s="17">
        <f>2.3*0.776*6</f>
        <v>10.7088</v>
      </c>
    </row>
    <row r="27" spans="1:9" ht="84" x14ac:dyDescent="0.25">
      <c r="A27" s="2" t="s">
        <v>83</v>
      </c>
      <c r="B27" s="2" t="s">
        <v>84</v>
      </c>
      <c r="C27" s="2" t="s">
        <v>85</v>
      </c>
      <c r="D27" s="3" t="s">
        <v>35</v>
      </c>
      <c r="E27" s="3">
        <v>5.54</v>
      </c>
      <c r="F27" s="4">
        <v>28600</v>
      </c>
      <c r="G27" s="4">
        <f>F27*E27</f>
        <v>158444</v>
      </c>
      <c r="H27" s="2"/>
      <c r="I27" s="17">
        <f>0.9*2.05*3</f>
        <v>5.5350000000000001</v>
      </c>
    </row>
    <row r="28" spans="1:9" ht="70" x14ac:dyDescent="0.25">
      <c r="A28" s="2" t="s">
        <v>86</v>
      </c>
      <c r="B28" s="2" t="s">
        <v>87</v>
      </c>
      <c r="C28" s="2" t="s">
        <v>88</v>
      </c>
      <c r="D28" s="3" t="s">
        <v>35</v>
      </c>
      <c r="E28" s="3">
        <v>9.43</v>
      </c>
      <c r="F28" s="4">
        <v>28600</v>
      </c>
      <c r="G28" s="4">
        <f>F28*E28</f>
        <v>269698</v>
      </c>
      <c r="H28" s="2"/>
      <c r="I28" s="2">
        <f>2.3*2.05*2</f>
        <v>9.4299999999999979</v>
      </c>
    </row>
    <row r="29" spans="1:9" ht="56" x14ac:dyDescent="0.25">
      <c r="A29" s="2" t="s">
        <v>89</v>
      </c>
      <c r="B29" s="2" t="s">
        <v>90</v>
      </c>
      <c r="C29" s="2" t="s">
        <v>91</v>
      </c>
      <c r="D29" s="3" t="s">
        <v>35</v>
      </c>
      <c r="E29" s="3">
        <v>169.74</v>
      </c>
      <c r="F29" s="4">
        <v>61678</v>
      </c>
      <c r="G29" s="4">
        <f>F29*E29</f>
        <v>10469223.720000001</v>
      </c>
      <c r="H29" s="2"/>
      <c r="I29" s="2">
        <f>2.3*2.05*36</f>
        <v>169.73999999999995</v>
      </c>
    </row>
    <row r="30" spans="1:9" ht="56" x14ac:dyDescent="0.25">
      <c r="A30" s="2" t="s">
        <v>92</v>
      </c>
      <c r="B30" s="2" t="s">
        <v>93</v>
      </c>
      <c r="C30" s="2" t="s">
        <v>94</v>
      </c>
      <c r="D30" s="3" t="s">
        <v>35</v>
      </c>
      <c r="E30" s="3">
        <v>17.847999999999999</v>
      </c>
      <c r="F30" s="4">
        <v>61678</v>
      </c>
      <c r="G30" s="4">
        <f>F30*E30</f>
        <v>1100828.9439999999</v>
      </c>
      <c r="H30" s="2"/>
      <c r="I30" s="17">
        <f>2.3*0.776*10</f>
        <v>17.847999999999999</v>
      </c>
    </row>
    <row r="31" spans="1:9" ht="56" x14ac:dyDescent="0.25">
      <c r="A31" s="2" t="s">
        <v>95</v>
      </c>
      <c r="B31" s="2" t="s">
        <v>96</v>
      </c>
      <c r="C31" s="2" t="s">
        <v>97</v>
      </c>
      <c r="D31" s="3" t="s">
        <v>98</v>
      </c>
      <c r="E31" s="3">
        <v>4</v>
      </c>
      <c r="F31" s="4">
        <v>17100</v>
      </c>
      <c r="G31" s="4">
        <f>F31*E31</f>
        <v>68400</v>
      </c>
      <c r="H31" s="2"/>
      <c r="I31" s="2" t="s">
        <v>17</v>
      </c>
    </row>
    <row r="32" spans="1:9" ht="42" x14ac:dyDescent="0.25">
      <c r="A32" s="2" t="s">
        <v>99</v>
      </c>
      <c r="B32" s="2" t="s">
        <v>100</v>
      </c>
      <c r="C32" s="2" t="s">
        <v>101</v>
      </c>
      <c r="D32" s="3" t="s">
        <v>35</v>
      </c>
      <c r="E32" s="3">
        <v>233.32</v>
      </c>
      <c r="F32" s="4">
        <v>3127</v>
      </c>
      <c r="G32" s="4">
        <f>F32*E32</f>
        <v>729591.64</v>
      </c>
      <c r="H32" s="2"/>
      <c r="I32" s="2">
        <f>583.3*0.4</f>
        <v>233.32</v>
      </c>
    </row>
    <row r="33" spans="1:9" ht="112" x14ac:dyDescent="0.25">
      <c r="A33" s="2" t="s">
        <v>102</v>
      </c>
      <c r="B33" s="2" t="s">
        <v>100</v>
      </c>
      <c r="C33" s="2" t="s">
        <v>103</v>
      </c>
      <c r="D33" s="3" t="s">
        <v>47</v>
      </c>
      <c r="E33" s="3">
        <v>1457.5</v>
      </c>
      <c r="F33" s="4">
        <v>20260</v>
      </c>
      <c r="G33" s="4">
        <f>F33*E33</f>
        <v>29528950</v>
      </c>
      <c r="H33" s="2"/>
      <c r="I33" s="3">
        <f>E33</f>
        <v>1457.5</v>
      </c>
    </row>
    <row r="34" spans="1:9" ht="98" x14ac:dyDescent="0.25">
      <c r="A34" s="2" t="s">
        <v>104</v>
      </c>
      <c r="B34" s="2" t="s">
        <v>105</v>
      </c>
      <c r="C34" s="2" t="s">
        <v>106</v>
      </c>
      <c r="D34" s="3" t="s">
        <v>35</v>
      </c>
      <c r="E34" s="12">
        <v>127.14000000000001</v>
      </c>
      <c r="F34" s="4">
        <v>54269</v>
      </c>
      <c r="G34" s="4">
        <f>F34*E34</f>
        <v>6899760.6600000011</v>
      </c>
      <c r="H34" s="5" t="s">
        <v>107</v>
      </c>
      <c r="I34" s="17">
        <f>[1]ПД!P94</f>
        <v>117.012</v>
      </c>
    </row>
    <row r="35" spans="1:9" ht="42" x14ac:dyDescent="0.25">
      <c r="A35" s="2" t="s">
        <v>108</v>
      </c>
      <c r="B35" s="2" t="s">
        <v>109</v>
      </c>
      <c r="C35" s="2" t="s">
        <v>110</v>
      </c>
      <c r="D35" s="3" t="s">
        <v>35</v>
      </c>
      <c r="E35" s="3">
        <v>127.14000000000001</v>
      </c>
      <c r="F35" s="4">
        <v>3900</v>
      </c>
      <c r="G35" s="4">
        <f>F35*E35</f>
        <v>495846.00000000006</v>
      </c>
      <c r="H35" s="2"/>
      <c r="I35" s="2">
        <f>I34</f>
        <v>117.012</v>
      </c>
    </row>
    <row r="36" spans="1:9" ht="42" x14ac:dyDescent="0.25">
      <c r="A36" s="2" t="s">
        <v>111</v>
      </c>
      <c r="B36" s="2" t="s">
        <v>112</v>
      </c>
      <c r="C36" s="2" t="s">
        <v>113</v>
      </c>
      <c r="D36" s="3" t="s">
        <v>114</v>
      </c>
      <c r="E36" s="3">
        <v>4</v>
      </c>
      <c r="F36" s="4">
        <v>27363.7</v>
      </c>
      <c r="G36" s="4">
        <f>F36*E36</f>
        <v>109454.8</v>
      </c>
      <c r="H36" s="2"/>
      <c r="I36" s="2">
        <v>4</v>
      </c>
    </row>
    <row r="37" spans="1:9" ht="70" x14ac:dyDescent="0.25">
      <c r="A37" s="2" t="s">
        <v>115</v>
      </c>
      <c r="B37" s="2" t="s">
        <v>116</v>
      </c>
      <c r="C37" s="2" t="s">
        <v>117</v>
      </c>
      <c r="D37" s="3" t="s">
        <v>35</v>
      </c>
      <c r="E37" s="3">
        <v>71.989999999999995</v>
      </c>
      <c r="F37" s="4">
        <v>60458</v>
      </c>
      <c r="G37" s="4">
        <f>F37*E37</f>
        <v>4352371.42</v>
      </c>
      <c r="H37" s="2"/>
      <c r="I37" s="17">
        <f>[1]ПД!P163</f>
        <v>71.993249999999989</v>
      </c>
    </row>
    <row r="38" spans="1:9" ht="42" x14ac:dyDescent="0.25">
      <c r="A38" s="2" t="s">
        <v>118</v>
      </c>
      <c r="B38" s="2" t="s">
        <v>112</v>
      </c>
      <c r="C38" s="2" t="s">
        <v>119</v>
      </c>
      <c r="D38" s="3" t="s">
        <v>114</v>
      </c>
      <c r="E38" s="3">
        <v>10</v>
      </c>
      <c r="F38" s="4">
        <v>27363.7</v>
      </c>
      <c r="G38" s="4">
        <f>F38*E38</f>
        <v>273637</v>
      </c>
      <c r="H38" s="2"/>
      <c r="I38" s="2">
        <v>10</v>
      </c>
    </row>
    <row r="39" spans="1:9" ht="70" x14ac:dyDescent="0.25">
      <c r="A39" s="2" t="s">
        <v>120</v>
      </c>
      <c r="B39" s="2" t="s">
        <v>121</v>
      </c>
      <c r="C39" s="2" t="s">
        <v>122</v>
      </c>
      <c r="D39" s="3" t="s">
        <v>35</v>
      </c>
      <c r="E39" s="3">
        <v>22.8</v>
      </c>
      <c r="F39" s="4">
        <v>60458</v>
      </c>
      <c r="G39" s="4">
        <f>F39*E39</f>
        <v>1378442.4000000001</v>
      </c>
      <c r="H39" s="2"/>
      <c r="I39" s="17">
        <f>E39</f>
        <v>22.8</v>
      </c>
    </row>
    <row r="40" spans="1:9" ht="28" x14ac:dyDescent="0.25">
      <c r="A40" s="2" t="s">
        <v>123</v>
      </c>
      <c r="B40" s="2" t="s">
        <v>109</v>
      </c>
      <c r="C40" s="2" t="s">
        <v>124</v>
      </c>
      <c r="D40" s="3" t="s">
        <v>35</v>
      </c>
      <c r="E40" s="3">
        <v>22.8</v>
      </c>
      <c r="F40" s="4">
        <v>3900</v>
      </c>
      <c r="G40" s="4">
        <f>F40*E40</f>
        <v>88920</v>
      </c>
      <c r="H40" s="2"/>
      <c r="I40" s="3">
        <f>E40</f>
        <v>22.8</v>
      </c>
    </row>
    <row r="41" spans="1:9" ht="42" x14ac:dyDescent="0.25">
      <c r="A41" s="2" t="s">
        <v>125</v>
      </c>
      <c r="B41" s="2" t="s">
        <v>112</v>
      </c>
      <c r="C41" s="2" t="s">
        <v>126</v>
      </c>
      <c r="D41" s="3" t="s">
        <v>114</v>
      </c>
      <c r="E41" s="3">
        <v>5</v>
      </c>
      <c r="F41" s="4">
        <v>27363.7</v>
      </c>
      <c r="G41" s="4">
        <f>F41*E41</f>
        <v>136818.5</v>
      </c>
      <c r="H41" s="2"/>
      <c r="I41" s="2">
        <v>5</v>
      </c>
    </row>
    <row r="42" spans="1:9" ht="70" x14ac:dyDescent="0.25">
      <c r="A42" s="2" t="s">
        <v>127</v>
      </c>
      <c r="B42" s="2" t="s">
        <v>128</v>
      </c>
      <c r="C42" s="2" t="s">
        <v>129</v>
      </c>
      <c r="D42" s="3" t="s">
        <v>35</v>
      </c>
      <c r="E42" s="3">
        <v>43.81</v>
      </c>
      <c r="F42" s="4">
        <v>60458</v>
      </c>
      <c r="G42" s="4">
        <f>F42*E42</f>
        <v>2648664.98</v>
      </c>
      <c r="H42" s="2"/>
      <c r="I42" s="17">
        <f>[1]ПД!P349</f>
        <v>43.80749999999999</v>
      </c>
    </row>
    <row r="43" spans="1:9" ht="42" x14ac:dyDescent="0.25">
      <c r="A43" s="2" t="s">
        <v>130</v>
      </c>
      <c r="B43" s="2" t="s">
        <v>112</v>
      </c>
      <c r="C43" s="2" t="s">
        <v>131</v>
      </c>
      <c r="D43" s="3" t="s">
        <v>114</v>
      </c>
      <c r="E43" s="3">
        <v>3</v>
      </c>
      <c r="F43" s="4">
        <v>27363.7</v>
      </c>
      <c r="G43" s="4">
        <f>F43*E43</f>
        <v>82091.100000000006</v>
      </c>
      <c r="H43" s="2"/>
      <c r="I43" s="2">
        <v>3</v>
      </c>
    </row>
    <row r="44" spans="1:9" ht="98" x14ac:dyDescent="0.25">
      <c r="A44" s="2" t="s">
        <v>132</v>
      </c>
      <c r="B44" s="2" t="s">
        <v>133</v>
      </c>
      <c r="C44" s="2" t="s">
        <v>265</v>
      </c>
      <c r="D44" s="3" t="s">
        <v>35</v>
      </c>
      <c r="E44" s="3">
        <v>25.3</v>
      </c>
      <c r="F44" s="4">
        <v>57611</v>
      </c>
      <c r="G44" s="4">
        <f>F44*E44</f>
        <v>1457558.3</v>
      </c>
      <c r="H44" s="5" t="s">
        <v>134</v>
      </c>
      <c r="I44" s="17">
        <f>[1]ПД!P404</f>
        <v>30.383999999999997</v>
      </c>
    </row>
    <row r="45" spans="1:9" ht="84" x14ac:dyDescent="0.25">
      <c r="A45" s="2" t="s">
        <v>135</v>
      </c>
      <c r="B45" s="2" t="s">
        <v>136</v>
      </c>
      <c r="C45" s="2" t="s">
        <v>137</v>
      </c>
      <c r="D45" s="3" t="s">
        <v>35</v>
      </c>
      <c r="E45" s="3">
        <v>1.899</v>
      </c>
      <c r="F45" s="4">
        <v>57611</v>
      </c>
      <c r="G45" s="4">
        <f>F45*E45</f>
        <v>109403.289</v>
      </c>
      <c r="H45" s="2"/>
      <c r="I45" s="16">
        <f>0.9*2.1*1</f>
        <v>1.8900000000000001</v>
      </c>
    </row>
    <row r="46" spans="1:9" ht="84" x14ac:dyDescent="0.25">
      <c r="A46" s="2" t="s">
        <v>138</v>
      </c>
      <c r="B46" s="2" t="s">
        <v>139</v>
      </c>
      <c r="C46" s="2" t="s">
        <v>140</v>
      </c>
      <c r="D46" s="3" t="s">
        <v>35</v>
      </c>
      <c r="E46" s="3">
        <v>128.52000000000001</v>
      </c>
      <c r="F46" s="4">
        <v>55181</v>
      </c>
      <c r="G46" s="4">
        <f>F46*E46</f>
        <v>7091862.1200000001</v>
      </c>
      <c r="H46" s="2"/>
      <c r="I46" s="2">
        <f>[1]ПД!P487</f>
        <v>128.51999999999998</v>
      </c>
    </row>
    <row r="47" spans="1:9" ht="98" x14ac:dyDescent="0.25">
      <c r="A47" s="2" t="s">
        <v>141</v>
      </c>
      <c r="B47" s="2" t="s">
        <v>142</v>
      </c>
      <c r="C47" s="2" t="s">
        <v>143</v>
      </c>
      <c r="D47" s="3" t="s">
        <v>35</v>
      </c>
      <c r="E47" s="3">
        <v>49.14</v>
      </c>
      <c r="F47" s="4">
        <v>55181</v>
      </c>
      <c r="G47" s="4">
        <f>F47*E47</f>
        <v>2711594.34</v>
      </c>
      <c r="H47" s="2"/>
      <c r="I47" s="2">
        <f>[1]ПД!P516</f>
        <v>49.14</v>
      </c>
    </row>
    <row r="48" spans="1:9" ht="98" x14ac:dyDescent="0.25">
      <c r="A48" s="2" t="s">
        <v>144</v>
      </c>
      <c r="B48" s="2" t="s">
        <v>145</v>
      </c>
      <c r="C48" s="2" t="s">
        <v>146</v>
      </c>
      <c r="D48" s="3" t="s">
        <v>35</v>
      </c>
      <c r="E48" s="3">
        <v>10.8</v>
      </c>
      <c r="F48" s="4">
        <v>55181</v>
      </c>
      <c r="G48" s="4">
        <f>F48*E48</f>
        <v>595954.80000000005</v>
      </c>
      <c r="H48" s="2"/>
      <c r="I48" s="2">
        <f>0.9*2*6</f>
        <v>10.8</v>
      </c>
    </row>
    <row r="49" spans="1:9" ht="84" x14ac:dyDescent="0.25">
      <c r="A49" s="2" t="s">
        <v>147</v>
      </c>
      <c r="B49" s="2" t="s">
        <v>148</v>
      </c>
      <c r="C49" s="2" t="s">
        <v>149</v>
      </c>
      <c r="D49" s="3" t="s">
        <v>35</v>
      </c>
      <c r="E49" s="3">
        <v>32.915999999999997</v>
      </c>
      <c r="F49" s="4">
        <v>60458</v>
      </c>
      <c r="G49" s="4">
        <f>F49*E49</f>
        <v>1990035.5279999997</v>
      </c>
      <c r="H49" s="2"/>
      <c r="I49" s="17">
        <f>1.2*2.11*6+1.2*2.11*7</f>
        <v>32.915999999999997</v>
      </c>
    </row>
    <row r="50" spans="1:9" ht="84" x14ac:dyDescent="0.25">
      <c r="A50" s="2" t="s">
        <v>150</v>
      </c>
      <c r="B50" s="2" t="s">
        <v>151</v>
      </c>
      <c r="C50" s="2" t="s">
        <v>152</v>
      </c>
      <c r="D50" s="3" t="s">
        <v>35</v>
      </c>
      <c r="E50" s="3">
        <v>20.89</v>
      </c>
      <c r="F50" s="4">
        <v>61208</v>
      </c>
      <c r="G50" s="4">
        <f>F50*E50</f>
        <v>1278635.1200000001</v>
      </c>
      <c r="H50" s="2"/>
      <c r="I50" s="17">
        <f>0.9*2.11*4+0.9*2.11*7</f>
        <v>20.888999999999999</v>
      </c>
    </row>
    <row r="51" spans="1:9" ht="98" x14ac:dyDescent="0.25">
      <c r="A51" s="2" t="s">
        <v>153</v>
      </c>
      <c r="B51" s="2" t="s">
        <v>154</v>
      </c>
      <c r="C51" s="2" t="s">
        <v>155</v>
      </c>
      <c r="D51" s="3" t="s">
        <v>35</v>
      </c>
      <c r="E51" s="3">
        <v>6.33</v>
      </c>
      <c r="F51" s="4">
        <v>55181</v>
      </c>
      <c r="G51" s="4">
        <f>F51*E51</f>
        <v>349295.73</v>
      </c>
      <c r="H51" s="2"/>
      <c r="I51" s="2">
        <f>1*2.11*2+1*2.11*1</f>
        <v>6.33</v>
      </c>
    </row>
    <row r="52" spans="1:9" ht="84" x14ac:dyDescent="0.25">
      <c r="A52" s="2" t="s">
        <v>156</v>
      </c>
      <c r="B52" s="2" t="s">
        <v>157</v>
      </c>
      <c r="C52" s="2" t="s">
        <v>158</v>
      </c>
      <c r="D52" s="3" t="s">
        <v>35</v>
      </c>
      <c r="E52" s="3">
        <v>2.532</v>
      </c>
      <c r="F52" s="4">
        <v>61208</v>
      </c>
      <c r="G52" s="4">
        <f>F52*E52</f>
        <v>154978.65599999999</v>
      </c>
      <c r="H52" s="2"/>
      <c r="I52" s="17">
        <f>1.2*2.11*1</f>
        <v>2.5319999999999996</v>
      </c>
    </row>
    <row r="53" spans="1:9" ht="84" x14ac:dyDescent="0.25">
      <c r="A53" s="2" t="s">
        <v>159</v>
      </c>
      <c r="B53" s="2" t="s">
        <v>160</v>
      </c>
      <c r="C53" s="2" t="s">
        <v>161</v>
      </c>
      <c r="D53" s="3" t="s">
        <v>35</v>
      </c>
      <c r="E53" s="3">
        <v>48.107999999999997</v>
      </c>
      <c r="F53" s="4">
        <v>61208</v>
      </c>
      <c r="G53" s="4">
        <f>F53*E53</f>
        <v>2944594.4639999997</v>
      </c>
      <c r="H53" s="2"/>
      <c r="I53" s="17">
        <f>[1]ПД!P600</f>
        <v>48.047999999999995</v>
      </c>
    </row>
    <row r="54" spans="1:9" ht="84" x14ac:dyDescent="0.25">
      <c r="A54" s="2" t="s">
        <v>162</v>
      </c>
      <c r="B54" s="2" t="s">
        <v>163</v>
      </c>
      <c r="C54" s="2" t="s">
        <v>164</v>
      </c>
      <c r="D54" s="3" t="s">
        <v>35</v>
      </c>
      <c r="E54" s="3">
        <v>3.7799999999999994</v>
      </c>
      <c r="F54" s="4">
        <v>55181</v>
      </c>
      <c r="G54" s="4">
        <f>F54*E54</f>
        <v>208584.17999999996</v>
      </c>
      <c r="H54" s="2"/>
      <c r="I54" s="2">
        <f>0.9*2.1*1+0.9*2.1*1</f>
        <v>3.7800000000000002</v>
      </c>
    </row>
    <row r="55" spans="1:9" ht="84" x14ac:dyDescent="0.25">
      <c r="A55" s="2" t="s">
        <v>165</v>
      </c>
      <c r="B55" s="2" t="s">
        <v>166</v>
      </c>
      <c r="C55" s="2" t="s">
        <v>167</v>
      </c>
      <c r="D55" s="3" t="s">
        <v>35</v>
      </c>
      <c r="E55" s="3">
        <v>2.52</v>
      </c>
      <c r="F55" s="4">
        <v>55181</v>
      </c>
      <c r="G55" s="4">
        <f>F55*E55</f>
        <v>139056.12</v>
      </c>
      <c r="H55" s="2"/>
      <c r="I55" s="2">
        <f>1.2*2.1*1</f>
        <v>2.52</v>
      </c>
    </row>
    <row r="56" spans="1:9" ht="84" x14ac:dyDescent="0.25">
      <c r="A56" s="2" t="s">
        <v>168</v>
      </c>
      <c r="B56" s="2" t="s">
        <v>112</v>
      </c>
      <c r="C56" s="2" t="s">
        <v>169</v>
      </c>
      <c r="D56" s="3" t="s">
        <v>114</v>
      </c>
      <c r="E56" s="3">
        <v>112.00000000000001</v>
      </c>
      <c r="F56" s="4">
        <v>27363.7</v>
      </c>
      <c r="G56" s="4">
        <f>F56*E56</f>
        <v>3064734.4000000004</v>
      </c>
      <c r="H56" s="2"/>
      <c r="I56" s="3">
        <f>E56</f>
        <v>112.00000000000001</v>
      </c>
    </row>
    <row r="57" spans="1:9" ht="56" x14ac:dyDescent="0.25">
      <c r="A57" s="2" t="s">
        <v>170</v>
      </c>
      <c r="B57" s="2" t="s">
        <v>109</v>
      </c>
      <c r="C57" s="2" t="s">
        <v>171</v>
      </c>
      <c r="D57" s="3" t="s">
        <v>35</v>
      </c>
      <c r="E57" s="3">
        <v>90.948999999999998</v>
      </c>
      <c r="F57" s="4">
        <v>3900</v>
      </c>
      <c r="G57" s="4">
        <f>F57*E57</f>
        <v>354701.1</v>
      </c>
      <c r="H57" s="2"/>
      <c r="I57" s="3">
        <f>E57</f>
        <v>90.948999999999998</v>
      </c>
    </row>
    <row r="58" spans="1:9" ht="98" x14ac:dyDescent="0.25">
      <c r="A58" s="2" t="s">
        <v>172</v>
      </c>
      <c r="B58" s="2" t="s">
        <v>173</v>
      </c>
      <c r="C58" s="2" t="s">
        <v>174</v>
      </c>
      <c r="D58" s="3" t="s">
        <v>35</v>
      </c>
      <c r="E58" s="3">
        <v>12.66</v>
      </c>
      <c r="F58" s="4">
        <v>57611</v>
      </c>
      <c r="G58" s="4">
        <f>F58*E58</f>
        <v>729355.26</v>
      </c>
      <c r="H58" s="2"/>
      <c r="I58" s="2">
        <f>1.5*2.11*4</f>
        <v>12.66</v>
      </c>
    </row>
    <row r="59" spans="1:9" ht="42" x14ac:dyDescent="0.25">
      <c r="A59" s="2" t="s">
        <v>175</v>
      </c>
      <c r="B59" s="2" t="s">
        <v>112</v>
      </c>
      <c r="C59" s="2" t="s">
        <v>176</v>
      </c>
      <c r="D59" s="3" t="s">
        <v>114</v>
      </c>
      <c r="E59" s="3">
        <v>4</v>
      </c>
      <c r="F59" s="4">
        <v>27363.7</v>
      </c>
      <c r="G59" s="4">
        <f>F59*E59</f>
        <v>109454.8</v>
      </c>
      <c r="H59" s="18" t="s">
        <v>266</v>
      </c>
      <c r="I59" s="19"/>
    </row>
    <row r="60" spans="1:9" ht="28" x14ac:dyDescent="0.25">
      <c r="A60" s="2" t="s">
        <v>177</v>
      </c>
      <c r="B60" s="2" t="s">
        <v>109</v>
      </c>
      <c r="C60" s="2" t="s">
        <v>178</v>
      </c>
      <c r="D60" s="3" t="s">
        <v>35</v>
      </c>
      <c r="E60" s="3">
        <v>12.66</v>
      </c>
      <c r="F60" s="4">
        <v>3900</v>
      </c>
      <c r="G60" s="4">
        <f>F60*E60</f>
        <v>49374</v>
      </c>
      <c r="H60" s="2"/>
      <c r="I60" s="2">
        <f>I58</f>
        <v>12.66</v>
      </c>
    </row>
    <row r="61" spans="1:9" ht="98" x14ac:dyDescent="0.25">
      <c r="A61" s="2" t="s">
        <v>179</v>
      </c>
      <c r="B61" s="2" t="s">
        <v>180</v>
      </c>
      <c r="C61" s="2" t="s">
        <v>181</v>
      </c>
      <c r="D61" s="3" t="s">
        <v>35</v>
      </c>
      <c r="E61" s="3">
        <v>7.5600000000000005</v>
      </c>
      <c r="F61" s="4">
        <v>57611</v>
      </c>
      <c r="G61" s="4">
        <f>F61*E61</f>
        <v>435539.16000000003</v>
      </c>
      <c r="H61" s="2"/>
      <c r="I61" s="2">
        <f>0.9*2.1*2+0.9*2.1*2</f>
        <v>7.5600000000000005</v>
      </c>
    </row>
    <row r="62" spans="1:9" ht="42" x14ac:dyDescent="0.25">
      <c r="A62" s="2" t="s">
        <v>182</v>
      </c>
      <c r="B62" s="2" t="s">
        <v>112</v>
      </c>
      <c r="C62" s="2" t="s">
        <v>176</v>
      </c>
      <c r="D62" s="3" t="s">
        <v>114</v>
      </c>
      <c r="E62" s="3">
        <v>4</v>
      </c>
      <c r="F62" s="4">
        <v>27363.7</v>
      </c>
      <c r="G62" s="4">
        <f>F62*E62</f>
        <v>109454.8</v>
      </c>
      <c r="H62" s="2"/>
      <c r="I62" s="3">
        <f>E62</f>
        <v>4</v>
      </c>
    </row>
    <row r="63" spans="1:9" ht="28" x14ac:dyDescent="0.25">
      <c r="A63" s="2" t="s">
        <v>183</v>
      </c>
      <c r="B63" s="2" t="s">
        <v>109</v>
      </c>
      <c r="C63" s="2" t="s">
        <v>184</v>
      </c>
      <c r="D63" s="3" t="s">
        <v>35</v>
      </c>
      <c r="E63" s="3">
        <v>15.120000000000001</v>
      </c>
      <c r="F63" s="4">
        <v>3900</v>
      </c>
      <c r="G63" s="4">
        <f>F63*E63</f>
        <v>58968.000000000007</v>
      </c>
      <c r="H63" s="2"/>
      <c r="I63" s="2">
        <f>I61*2</f>
        <v>15.120000000000001</v>
      </c>
    </row>
    <row r="64" spans="1:9" ht="238" x14ac:dyDescent="0.25">
      <c r="A64" s="2" t="s">
        <v>185</v>
      </c>
      <c r="B64" s="2" t="s">
        <v>186</v>
      </c>
      <c r="C64" s="2" t="s">
        <v>187</v>
      </c>
      <c r="D64" s="3" t="s">
        <v>98</v>
      </c>
      <c r="E64" s="3">
        <v>10</v>
      </c>
      <c r="F64" s="4">
        <v>77850</v>
      </c>
      <c r="G64" s="4">
        <f>F64*E64</f>
        <v>778500</v>
      </c>
      <c r="H64" s="2"/>
      <c r="I64" s="2">
        <f>8+2</f>
        <v>10</v>
      </c>
    </row>
    <row r="65" spans="1:9" ht="238" x14ac:dyDescent="0.25">
      <c r="A65" s="2" t="s">
        <v>188</v>
      </c>
      <c r="B65" s="2" t="s">
        <v>189</v>
      </c>
      <c r="C65" s="2" t="s">
        <v>190</v>
      </c>
      <c r="D65" s="3" t="s">
        <v>98</v>
      </c>
      <c r="E65" s="3">
        <v>2</v>
      </c>
      <c r="F65" s="4">
        <v>77850</v>
      </c>
      <c r="G65" s="4">
        <f>F65*E65</f>
        <v>155700</v>
      </c>
      <c r="H65" s="2"/>
      <c r="I65" s="2">
        <f>1+1</f>
        <v>2</v>
      </c>
    </row>
    <row r="66" spans="1:9" ht="238" x14ac:dyDescent="0.25">
      <c r="A66" s="2" t="s">
        <v>191</v>
      </c>
      <c r="B66" s="2" t="s">
        <v>192</v>
      </c>
      <c r="C66" s="2" t="s">
        <v>193</v>
      </c>
      <c r="D66" s="3" t="s">
        <v>98</v>
      </c>
      <c r="E66" s="3">
        <v>3</v>
      </c>
      <c r="F66" s="4">
        <v>77850</v>
      </c>
      <c r="G66" s="4">
        <f>F66*E66</f>
        <v>233550</v>
      </c>
      <c r="H66" s="2"/>
      <c r="I66" s="2">
        <f>1+2</f>
        <v>3</v>
      </c>
    </row>
    <row r="67" spans="1:9" ht="238" x14ac:dyDescent="0.25">
      <c r="A67" s="2" t="s">
        <v>194</v>
      </c>
      <c r="B67" s="2" t="s">
        <v>195</v>
      </c>
      <c r="C67" s="2" t="s">
        <v>196</v>
      </c>
      <c r="D67" s="3" t="s">
        <v>98</v>
      </c>
      <c r="E67" s="3">
        <v>5</v>
      </c>
      <c r="F67" s="4">
        <v>77850</v>
      </c>
      <c r="G67" s="4">
        <f>F67*E67</f>
        <v>389250</v>
      </c>
      <c r="H67" s="2"/>
      <c r="I67" s="2">
        <f>1+4</f>
        <v>5</v>
      </c>
    </row>
    <row r="68" spans="1:9" ht="56" x14ac:dyDescent="0.25">
      <c r="A68" s="2" t="s">
        <v>197</v>
      </c>
      <c r="B68" s="2" t="s">
        <v>198</v>
      </c>
      <c r="C68" s="2" t="s">
        <v>199</v>
      </c>
      <c r="D68" s="3" t="s">
        <v>35</v>
      </c>
      <c r="E68" s="3">
        <v>90.203100000000006</v>
      </c>
      <c r="F68" s="4">
        <v>10000</v>
      </c>
      <c r="G68" s="4">
        <f>F68*E68</f>
        <v>902031.00000000012</v>
      </c>
      <c r="H68" s="2" t="s">
        <v>22</v>
      </c>
      <c r="I68" s="2">
        <v>89.31</v>
      </c>
    </row>
    <row r="69" spans="1:9" ht="56" x14ac:dyDescent="0.25">
      <c r="A69" s="2" t="s">
        <v>200</v>
      </c>
      <c r="B69" s="2" t="s">
        <v>201</v>
      </c>
      <c r="C69" s="2" t="s">
        <v>202</v>
      </c>
      <c r="D69" s="3" t="s">
        <v>35</v>
      </c>
      <c r="E69" s="3">
        <v>36.624000000000002</v>
      </c>
      <c r="F69" s="4">
        <v>1768</v>
      </c>
      <c r="G69" s="4">
        <f>F69*E69</f>
        <v>64751.232000000004</v>
      </c>
      <c r="H69" s="2" t="s">
        <v>22</v>
      </c>
      <c r="I69" s="2">
        <v>33.6</v>
      </c>
    </row>
    <row r="70" spans="1:9" ht="56" x14ac:dyDescent="0.25">
      <c r="A70" s="2" t="s">
        <v>203</v>
      </c>
      <c r="B70" s="2" t="s">
        <v>204</v>
      </c>
      <c r="C70" s="2" t="s">
        <v>205</v>
      </c>
      <c r="D70" s="3" t="s">
        <v>35</v>
      </c>
      <c r="E70" s="3">
        <v>84.006299999999996</v>
      </c>
      <c r="F70" s="4">
        <v>3127</v>
      </c>
      <c r="G70" s="4">
        <f>F70*E70</f>
        <v>262687.70010000002</v>
      </c>
      <c r="H70" s="2" t="s">
        <v>22</v>
      </c>
      <c r="I70" s="2">
        <v>770.7</v>
      </c>
    </row>
    <row r="71" spans="1:9" ht="42" x14ac:dyDescent="0.25">
      <c r="A71" s="2" t="s">
        <v>206</v>
      </c>
      <c r="B71" s="2" t="s">
        <v>55</v>
      </c>
      <c r="C71" s="2" t="s">
        <v>56</v>
      </c>
      <c r="D71" s="3" t="s">
        <v>35</v>
      </c>
      <c r="E71" s="3">
        <v>17.04</v>
      </c>
      <c r="F71" s="4">
        <v>3000</v>
      </c>
      <c r="G71" s="4">
        <f>F71*E71</f>
        <v>51120</v>
      </c>
      <c r="H71" s="2"/>
      <c r="I71" s="3">
        <f>E71</f>
        <v>17.04</v>
      </c>
    </row>
    <row r="72" spans="1:9" ht="56" x14ac:dyDescent="0.25">
      <c r="A72" s="2" t="s">
        <v>207</v>
      </c>
      <c r="B72" s="2" t="s">
        <v>208</v>
      </c>
      <c r="C72" s="2" t="s">
        <v>209</v>
      </c>
      <c r="D72" s="3" t="s">
        <v>35</v>
      </c>
      <c r="E72" s="3">
        <v>95.462199999999996</v>
      </c>
      <c r="F72" s="4">
        <v>2684</v>
      </c>
      <c r="G72" s="4">
        <f>F72*E72</f>
        <v>256220.54479999997</v>
      </c>
      <c r="H72" s="2" t="s">
        <v>22</v>
      </c>
      <c r="I72" s="2">
        <f>58.72+28.86</f>
        <v>87.58</v>
      </c>
    </row>
    <row r="73" spans="1:9" ht="56" x14ac:dyDescent="0.25">
      <c r="A73" s="2" t="s">
        <v>210</v>
      </c>
      <c r="B73" s="2" t="s">
        <v>211</v>
      </c>
      <c r="C73" s="2" t="s">
        <v>212</v>
      </c>
      <c r="D73" s="3" t="s">
        <v>98</v>
      </c>
      <c r="E73" s="3">
        <v>570</v>
      </c>
      <c r="F73" s="4">
        <v>9000</v>
      </c>
      <c r="G73" s="4">
        <f>F73*E73</f>
        <v>5130000</v>
      </c>
      <c r="H73" s="2" t="s">
        <v>22</v>
      </c>
      <c r="I73" s="2">
        <v>518</v>
      </c>
    </row>
    <row r="74" spans="1:9" ht="56" x14ac:dyDescent="0.25">
      <c r="A74" s="2" t="s">
        <v>213</v>
      </c>
      <c r="B74" s="2" t="s">
        <v>214</v>
      </c>
      <c r="C74" s="2" t="s">
        <v>215</v>
      </c>
      <c r="D74" s="3" t="s">
        <v>98</v>
      </c>
      <c r="E74" s="3">
        <v>1071</v>
      </c>
      <c r="F74" s="4">
        <v>8580</v>
      </c>
      <c r="G74" s="4">
        <f>F74*E74</f>
        <v>9189180</v>
      </c>
      <c r="H74" s="2" t="s">
        <v>22</v>
      </c>
      <c r="I74" s="2">
        <v>531</v>
      </c>
    </row>
    <row r="75" spans="1:9" ht="56" x14ac:dyDescent="0.25">
      <c r="A75" s="2" t="s">
        <v>216</v>
      </c>
      <c r="B75" s="2" t="s">
        <v>217</v>
      </c>
      <c r="C75" s="2" t="s">
        <v>218</v>
      </c>
      <c r="D75" s="3" t="s">
        <v>35</v>
      </c>
      <c r="E75" s="3">
        <v>2889.4949999999999</v>
      </c>
      <c r="F75" s="4">
        <v>2520</v>
      </c>
      <c r="G75" s="4">
        <f>F75*E75</f>
        <v>7281527.3999999994</v>
      </c>
      <c r="H75" s="2" t="s">
        <v>22</v>
      </c>
      <c r="I75" s="2">
        <v>2751.9</v>
      </c>
    </row>
    <row r="76" spans="1:9" ht="56" x14ac:dyDescent="0.25">
      <c r="A76" s="2" t="s">
        <v>219</v>
      </c>
      <c r="B76" s="2" t="s">
        <v>220</v>
      </c>
      <c r="C76" s="2" t="s">
        <v>221</v>
      </c>
      <c r="D76" s="3" t="s">
        <v>35</v>
      </c>
      <c r="E76" s="3">
        <v>202.80699999999999</v>
      </c>
      <c r="F76" s="4">
        <v>2396.9499999999998</v>
      </c>
      <c r="G76" s="4">
        <f>F76*E76</f>
        <v>486118.23864999996</v>
      </c>
      <c r="H76" s="2" t="s">
        <v>22</v>
      </c>
      <c r="I76" s="2">
        <v>196.9</v>
      </c>
    </row>
    <row r="77" spans="1:9" ht="56" x14ac:dyDescent="0.25">
      <c r="A77" s="2" t="s">
        <v>222</v>
      </c>
      <c r="B77" s="2" t="s">
        <v>223</v>
      </c>
      <c r="C77" s="2" t="s">
        <v>224</v>
      </c>
      <c r="D77" s="3" t="s">
        <v>35</v>
      </c>
      <c r="E77" s="3">
        <v>3471.9360000000001</v>
      </c>
      <c r="F77" s="4">
        <v>2010</v>
      </c>
      <c r="G77" s="4">
        <f>F77*E77</f>
        <v>6978591.3600000003</v>
      </c>
      <c r="H77" s="2" t="s">
        <v>22</v>
      </c>
      <c r="I77" s="2">
        <v>3244.8</v>
      </c>
    </row>
    <row r="78" spans="1:9" ht="56" x14ac:dyDescent="0.25">
      <c r="A78" s="2" t="s">
        <v>225</v>
      </c>
      <c r="B78" s="2" t="s">
        <v>223</v>
      </c>
      <c r="C78" s="2" t="s">
        <v>224</v>
      </c>
      <c r="D78" s="3" t="s">
        <v>35</v>
      </c>
      <c r="E78" s="3">
        <v>18.725000000000001</v>
      </c>
      <c r="F78" s="4">
        <v>2010</v>
      </c>
      <c r="G78" s="4">
        <f>F78*E78</f>
        <v>37637.25</v>
      </c>
      <c r="H78" s="2" t="s">
        <v>22</v>
      </c>
      <c r="I78" s="2">
        <v>17.5</v>
      </c>
    </row>
    <row r="79" spans="1:9" ht="42" x14ac:dyDescent="0.25">
      <c r="A79" s="2" t="s">
        <v>226</v>
      </c>
      <c r="B79" s="2" t="s">
        <v>227</v>
      </c>
      <c r="C79" s="2" t="s">
        <v>228</v>
      </c>
      <c r="D79" s="3" t="s">
        <v>98</v>
      </c>
      <c r="E79" s="3">
        <v>6566</v>
      </c>
      <c r="F79" s="4">
        <v>35</v>
      </c>
      <c r="G79" s="4">
        <f>F79*E79</f>
        <v>229810</v>
      </c>
      <c r="H79" s="2"/>
      <c r="I79" s="16">
        <f>E79</f>
        <v>6566</v>
      </c>
    </row>
    <row r="80" spans="1:9" ht="56" x14ac:dyDescent="0.25">
      <c r="A80" s="2" t="s">
        <v>229</v>
      </c>
      <c r="B80" s="2" t="s">
        <v>230</v>
      </c>
      <c r="C80" s="2" t="s">
        <v>231</v>
      </c>
      <c r="D80" s="3" t="s">
        <v>98</v>
      </c>
      <c r="E80" s="3">
        <v>594</v>
      </c>
      <c r="F80" s="4">
        <v>822</v>
      </c>
      <c r="G80" s="4">
        <f>F80*E80</f>
        <v>488268</v>
      </c>
      <c r="H80" s="2" t="s">
        <v>22</v>
      </c>
      <c r="I80" s="16">
        <v>550</v>
      </c>
    </row>
    <row r="81" spans="1:9" ht="56" x14ac:dyDescent="0.25">
      <c r="A81" s="2" t="s">
        <v>232</v>
      </c>
      <c r="B81" s="2" t="s">
        <v>233</v>
      </c>
      <c r="C81" s="2" t="s">
        <v>234</v>
      </c>
      <c r="D81" s="3" t="s">
        <v>98</v>
      </c>
      <c r="E81" s="3">
        <v>642</v>
      </c>
      <c r="F81" s="4">
        <v>426</v>
      </c>
      <c r="G81" s="4">
        <f>F81*E81</f>
        <v>273492</v>
      </c>
      <c r="H81" s="2" t="s">
        <v>22</v>
      </c>
      <c r="I81" s="16">
        <v>595</v>
      </c>
    </row>
    <row r="82" spans="1:9" ht="56" x14ac:dyDescent="0.25">
      <c r="A82" s="2" t="s">
        <v>235</v>
      </c>
      <c r="B82" s="2" t="s">
        <v>236</v>
      </c>
      <c r="C82" s="2" t="s">
        <v>237</v>
      </c>
      <c r="D82" s="3" t="s">
        <v>35</v>
      </c>
      <c r="E82" s="3">
        <v>54.677</v>
      </c>
      <c r="F82" s="4">
        <v>1990</v>
      </c>
      <c r="G82" s="4">
        <f>F82*E82</f>
        <v>108807.23</v>
      </c>
      <c r="H82" s="2" t="s">
        <v>22</v>
      </c>
      <c r="I82" s="2">
        <v>51.1</v>
      </c>
    </row>
    <row r="83" spans="1:9" ht="56" x14ac:dyDescent="0.25">
      <c r="A83" s="2" t="s">
        <v>238</v>
      </c>
      <c r="B83" s="2" t="s">
        <v>223</v>
      </c>
      <c r="C83" s="2" t="s">
        <v>224</v>
      </c>
      <c r="D83" s="3" t="s">
        <v>35</v>
      </c>
      <c r="E83" s="3">
        <v>1155.4929999999999</v>
      </c>
      <c r="F83" s="4">
        <v>2010</v>
      </c>
      <c r="G83" s="4">
        <f>F83*E83</f>
        <v>2322540.9299999997</v>
      </c>
      <c r="H83" s="2" t="s">
        <v>22</v>
      </c>
      <c r="I83" s="2">
        <v>1079.9000000000001</v>
      </c>
    </row>
    <row r="84" spans="1:9" ht="56" x14ac:dyDescent="0.25">
      <c r="A84" s="2" t="s">
        <v>239</v>
      </c>
      <c r="B84" s="2" t="s">
        <v>240</v>
      </c>
      <c r="C84" s="2" t="s">
        <v>241</v>
      </c>
      <c r="D84" s="3" t="s">
        <v>35</v>
      </c>
      <c r="E84" s="3">
        <v>54.783999999999999</v>
      </c>
      <c r="F84" s="4">
        <v>1675</v>
      </c>
      <c r="G84" s="4">
        <f>F84*E84</f>
        <v>91763.199999999997</v>
      </c>
      <c r="H84" s="2" t="s">
        <v>22</v>
      </c>
      <c r="I84" s="2">
        <v>130.87</v>
      </c>
    </row>
    <row r="85" spans="1:9" ht="56" x14ac:dyDescent="0.25">
      <c r="A85" s="2" t="s">
        <v>242</v>
      </c>
      <c r="B85" s="2" t="s">
        <v>243</v>
      </c>
      <c r="C85" s="2" t="s">
        <v>244</v>
      </c>
      <c r="D85" s="3" t="s">
        <v>35</v>
      </c>
      <c r="E85" s="3">
        <v>85.246899999999997</v>
      </c>
      <c r="F85" s="4">
        <v>1675</v>
      </c>
      <c r="G85" s="4">
        <f>F85*E85</f>
        <v>142788.5575</v>
      </c>
      <c r="H85" s="18" t="s">
        <v>266</v>
      </c>
      <c r="I85" s="19"/>
    </row>
    <row r="86" spans="1:9" ht="56" x14ac:dyDescent="0.25">
      <c r="A86" s="2" t="s">
        <v>245</v>
      </c>
      <c r="B86" s="2" t="s">
        <v>246</v>
      </c>
      <c r="C86" s="2" t="s">
        <v>247</v>
      </c>
      <c r="D86" s="3" t="s">
        <v>35</v>
      </c>
      <c r="E86" s="3">
        <v>87.74</v>
      </c>
      <c r="F86" s="4">
        <v>8217</v>
      </c>
      <c r="G86" s="4">
        <f>F86*E86</f>
        <v>720959.58</v>
      </c>
      <c r="H86" s="2" t="s">
        <v>22</v>
      </c>
      <c r="I86" s="17">
        <v>82</v>
      </c>
    </row>
    <row r="87" spans="1:9" ht="42" x14ac:dyDescent="0.25">
      <c r="A87" s="2" t="s">
        <v>248</v>
      </c>
      <c r="B87" s="2" t="s">
        <v>249</v>
      </c>
      <c r="C87" s="2" t="s">
        <v>250</v>
      </c>
      <c r="D87" s="3" t="s">
        <v>98</v>
      </c>
      <c r="E87" s="3">
        <v>1417</v>
      </c>
      <c r="F87" s="4">
        <v>681</v>
      </c>
      <c r="G87" s="4">
        <f>F87*E87</f>
        <v>964977</v>
      </c>
      <c r="H87" s="2"/>
      <c r="I87" s="17">
        <v>1417</v>
      </c>
    </row>
    <row r="88" spans="1:9" ht="56" x14ac:dyDescent="0.25">
      <c r="A88" s="2" t="s">
        <v>251</v>
      </c>
      <c r="B88" s="2" t="s">
        <v>252</v>
      </c>
      <c r="C88" s="2" t="s">
        <v>253</v>
      </c>
      <c r="D88" s="3" t="s">
        <v>98</v>
      </c>
      <c r="E88" s="3">
        <v>71</v>
      </c>
      <c r="F88" s="4">
        <v>314</v>
      </c>
      <c r="G88" s="4">
        <f>F88*E88</f>
        <v>22294</v>
      </c>
      <c r="H88" s="2"/>
      <c r="I88" s="17">
        <v>71</v>
      </c>
    </row>
    <row r="89" spans="1:9" ht="56" x14ac:dyDescent="0.25">
      <c r="A89" s="2" t="s">
        <v>254</v>
      </c>
      <c r="B89" s="2" t="s">
        <v>255</v>
      </c>
      <c r="C89" s="2" t="s">
        <v>256</v>
      </c>
      <c r="D89" s="3" t="s">
        <v>47</v>
      </c>
      <c r="E89" s="3">
        <v>59.963700000000003</v>
      </c>
      <c r="F89" s="4">
        <v>250</v>
      </c>
      <c r="G89" s="4">
        <f>F89*E89</f>
        <v>14990.925000000001</v>
      </c>
      <c r="H89" s="2" t="s">
        <v>22</v>
      </c>
      <c r="I89" s="2">
        <v>59.37</v>
      </c>
    </row>
    <row r="90" spans="1:9" ht="56" x14ac:dyDescent="0.25">
      <c r="A90" s="2" t="s">
        <v>257</v>
      </c>
      <c r="B90" s="2" t="s">
        <v>258</v>
      </c>
      <c r="C90" s="2" t="s">
        <v>259</v>
      </c>
      <c r="D90" s="3" t="s">
        <v>47</v>
      </c>
      <c r="E90" s="3">
        <v>2614.2840000000001</v>
      </c>
      <c r="F90" s="4">
        <v>238</v>
      </c>
      <c r="G90" s="4">
        <f>F90*E90</f>
        <v>622199.59200000006</v>
      </c>
      <c r="H90" s="2" t="s">
        <v>22</v>
      </c>
      <c r="I90" s="2">
        <v>2588.4</v>
      </c>
    </row>
    <row r="91" spans="1:9" ht="56" x14ac:dyDescent="0.25">
      <c r="A91" s="2" t="s">
        <v>260</v>
      </c>
      <c r="B91" s="2" t="s">
        <v>261</v>
      </c>
      <c r="C91" s="2" t="s">
        <v>262</v>
      </c>
      <c r="D91" s="3" t="s">
        <v>47</v>
      </c>
      <c r="E91" s="3">
        <v>117.867</v>
      </c>
      <c r="F91" s="4">
        <v>1500</v>
      </c>
      <c r="G91" s="4">
        <f>F91*E91</f>
        <v>176800.5</v>
      </c>
      <c r="H91" s="2" t="s">
        <v>22</v>
      </c>
      <c r="I91" s="2">
        <v>116.7</v>
      </c>
    </row>
    <row r="99" spans="6:7" x14ac:dyDescent="0.25">
      <c r="F99" s="7"/>
      <c r="G99" s="7"/>
    </row>
    <row r="146" spans="6:7" x14ac:dyDescent="0.25">
      <c r="F146" s="7"/>
      <c r="G146" s="7"/>
    </row>
  </sheetData>
  <mergeCells count="3">
    <mergeCell ref="H85:I85"/>
    <mergeCell ref="H59:I59"/>
    <mergeCell ref="H13:I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замечания МГЭ</vt:lpstr>
    </vt:vector>
  </TitlesOfParts>
  <Company>МосГосЭкспертиза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Ращибина Юлия Михайловна</dc:creator>
  <cp:lastModifiedBy>Ращибина Юлия Михайловна</cp:lastModifiedBy>
  <dcterms:created xsi:type="dcterms:W3CDTF">2026-02-16T13:59:23Z</dcterms:created>
  <dcterms:modified xsi:type="dcterms:W3CDTF">2026-02-16T14:03:04Z</dcterms:modified>
</cp:coreProperties>
</file>