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ПСК Троектория\YandexDisk-daniils.seryogin\Компьютер PC-DANIIL\Рабочий стол\ПСК траектория работа\Школа сокольники\РД\ГЧ\Расчеты\"/>
    </mc:Choice>
  </mc:AlternateContent>
  <xr:revisionPtr revIDLastSave="0" documentId="13_ncr:1_{FADD38E6-0616-4F31-9C7C-AD12F4522845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П1 Воздух Школа ст.П" sheetId="1" r:id="rId1"/>
    <sheet name="Таблица ХОВС" sheetId="2" r:id="rId2"/>
    <sheet name="Легенда систем" sheetId="8" r:id="rId3"/>
  </sheets>
  <definedNames>
    <definedName name="_xlnm._FilterDatabase" localSheetId="0" hidden="1">'П1 Воздух Школа ст.П'!$B$1:$Q$168</definedName>
    <definedName name="пищеблок">'П1 Воздух Школа ст.П'!$B$54:$Q$71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" i="2" l="1"/>
  <c r="O12" i="2"/>
  <c r="O13" i="2"/>
  <c r="O15" i="2"/>
  <c r="R5" i="2"/>
  <c r="R4" i="2"/>
  <c r="O8" i="2"/>
  <c r="O9" i="2"/>
  <c r="O6" i="2"/>
  <c r="D5" i="2"/>
  <c r="C41" i="2"/>
  <c r="W40" i="1"/>
  <c r="F41" i="2" s="1"/>
  <c r="G41" i="2" s="1"/>
  <c r="W42" i="1"/>
  <c r="R54" i="2" l="1"/>
  <c r="L96" i="1"/>
  <c r="C18" i="2" l="1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17" i="2"/>
  <c r="C5" i="2"/>
  <c r="C6" i="2"/>
  <c r="C7" i="2"/>
  <c r="C8" i="2"/>
  <c r="C9" i="2"/>
  <c r="C10" i="2"/>
  <c r="C11" i="2"/>
  <c r="C12" i="2"/>
  <c r="C13" i="2"/>
  <c r="C14" i="2"/>
  <c r="C15" i="2"/>
  <c r="C4" i="2"/>
  <c r="M65" i="1"/>
  <c r="H140" i="1"/>
  <c r="L140" i="1" s="1"/>
  <c r="H142" i="1"/>
  <c r="L142" i="1" s="1"/>
  <c r="H149" i="1"/>
  <c r="M149" i="1" s="1"/>
  <c r="H112" i="1"/>
  <c r="G83" i="1"/>
  <c r="H83" i="1" s="1"/>
  <c r="G81" i="1"/>
  <c r="H81" i="1" s="1"/>
  <c r="H117" i="1"/>
  <c r="L117" i="1" s="1"/>
  <c r="H113" i="1"/>
  <c r="L113" i="1" s="1"/>
  <c r="H84" i="1"/>
  <c r="L84" i="1" s="1"/>
  <c r="H82" i="1"/>
  <c r="L82" i="1" s="1"/>
  <c r="L54" i="2"/>
  <c r="F50" i="2"/>
  <c r="F49" i="2"/>
  <c r="F48" i="2"/>
  <c r="F47" i="2"/>
  <c r="F46" i="2"/>
  <c r="F45" i="2"/>
  <c r="F44" i="2"/>
  <c r="F43" i="2"/>
  <c r="I168" i="1"/>
  <c r="H166" i="1"/>
  <c r="M166" i="1" s="1"/>
  <c r="H165" i="1"/>
  <c r="M165" i="1" s="1"/>
  <c r="H164" i="1"/>
  <c r="L164" i="1" s="1"/>
  <c r="H163" i="1"/>
  <c r="M163" i="1" s="1"/>
  <c r="H162" i="1"/>
  <c r="M162" i="1" s="1"/>
  <c r="H161" i="1"/>
  <c r="L161" i="1" s="1"/>
  <c r="H160" i="1"/>
  <c r="M160" i="1" s="1"/>
  <c r="H159" i="1"/>
  <c r="M159" i="1" s="1"/>
  <c r="H158" i="1"/>
  <c r="M158" i="1" s="1"/>
  <c r="H157" i="1"/>
  <c r="L157" i="1" s="1"/>
  <c r="H156" i="1"/>
  <c r="M156" i="1" s="1"/>
  <c r="L155" i="1"/>
  <c r="H155" i="1"/>
  <c r="H154" i="1"/>
  <c r="L154" i="1" s="1"/>
  <c r="M153" i="1"/>
  <c r="H153" i="1"/>
  <c r="M152" i="1"/>
  <c r="H152" i="1"/>
  <c r="H151" i="1"/>
  <c r="M151" i="1" s="1"/>
  <c r="H150" i="1"/>
  <c r="H148" i="1"/>
  <c r="M148" i="1" s="1"/>
  <c r="H147" i="1"/>
  <c r="M147" i="1" s="1"/>
  <c r="H146" i="1"/>
  <c r="M146" i="1" s="1"/>
  <c r="H145" i="1"/>
  <c r="H144" i="1"/>
  <c r="H143" i="1"/>
  <c r="H141" i="1"/>
  <c r="H139" i="1"/>
  <c r="H136" i="1"/>
  <c r="M136" i="1" s="1"/>
  <c r="H135" i="1"/>
  <c r="M135" i="1" s="1"/>
  <c r="H134" i="1"/>
  <c r="M134" i="1" s="1"/>
  <c r="H133" i="1"/>
  <c r="M133" i="1" s="1"/>
  <c r="H132" i="1"/>
  <c r="L132" i="1" s="1"/>
  <c r="H131" i="1"/>
  <c r="L131" i="1" s="1"/>
  <c r="H130" i="1"/>
  <c r="M130" i="1" s="1"/>
  <c r="H129" i="1"/>
  <c r="M129" i="1" s="1"/>
  <c r="H128" i="1"/>
  <c r="M128" i="1" s="1"/>
  <c r="H127" i="1"/>
  <c r="L127" i="1" s="1"/>
  <c r="H126" i="1"/>
  <c r="M126" i="1" s="1"/>
  <c r="M125" i="1"/>
  <c r="H125" i="1"/>
  <c r="M124" i="1"/>
  <c r="H124" i="1"/>
  <c r="H123" i="1"/>
  <c r="M123" i="1" s="1"/>
  <c r="H122" i="1"/>
  <c r="H121" i="1"/>
  <c r="M121" i="1" s="1"/>
  <c r="H120" i="1"/>
  <c r="M120" i="1" s="1"/>
  <c r="H119" i="1"/>
  <c r="L119" i="1" s="1"/>
  <c r="H118" i="1"/>
  <c r="L118" i="1" s="1"/>
  <c r="H116" i="1"/>
  <c r="H115" i="1"/>
  <c r="H114" i="1"/>
  <c r="H109" i="1"/>
  <c r="M109" i="1" s="1"/>
  <c r="H108" i="1"/>
  <c r="M108" i="1" s="1"/>
  <c r="H107" i="1"/>
  <c r="M107" i="1" s="1"/>
  <c r="M106" i="1"/>
  <c r="H106" i="1"/>
  <c r="H105" i="1"/>
  <c r="L105" i="1" s="1"/>
  <c r="H104" i="1"/>
  <c r="M104" i="1" s="1"/>
  <c r="H103" i="1"/>
  <c r="M103" i="1" s="1"/>
  <c r="H102" i="1"/>
  <c r="L102" i="1" s="1"/>
  <c r="H101" i="1"/>
  <c r="M101" i="1" s="1"/>
  <c r="H100" i="1"/>
  <c r="L100" i="1" s="1"/>
  <c r="H99" i="1"/>
  <c r="M99" i="1" s="1"/>
  <c r="H98" i="1"/>
  <c r="L98" i="1" s="1"/>
  <c r="H97" i="1"/>
  <c r="M97" i="1" s="1"/>
  <c r="M96" i="1"/>
  <c r="H96" i="1"/>
  <c r="H95" i="1"/>
  <c r="M95" i="1" s="1"/>
  <c r="M94" i="1"/>
  <c r="H94" i="1"/>
  <c r="M93" i="1"/>
  <c r="H93" i="1"/>
  <c r="H92" i="1"/>
  <c r="M92" i="1" s="1"/>
  <c r="H91" i="1"/>
  <c r="H90" i="1"/>
  <c r="M90" i="1" s="1"/>
  <c r="H89" i="1"/>
  <c r="M89" i="1" s="1"/>
  <c r="H88" i="1"/>
  <c r="M88" i="1" s="1"/>
  <c r="H87" i="1"/>
  <c r="H86" i="1"/>
  <c r="H85" i="1"/>
  <c r="M85" i="1" s="1"/>
  <c r="H78" i="1"/>
  <c r="M78" i="1" s="1"/>
  <c r="M77" i="1"/>
  <c r="L77" i="1"/>
  <c r="H77" i="1"/>
  <c r="H76" i="1"/>
  <c r="M76" i="1" s="1"/>
  <c r="H75" i="1"/>
  <c r="H74" i="1"/>
  <c r="M74" i="1" s="1"/>
  <c r="W23" i="1" s="1"/>
  <c r="F24" i="2" s="1"/>
  <c r="G24" i="2" s="1"/>
  <c r="H73" i="1"/>
  <c r="M73" i="1" s="1"/>
  <c r="M72" i="1"/>
  <c r="L72" i="1"/>
  <c r="H72" i="1"/>
  <c r="L68" i="1"/>
  <c r="H68" i="1"/>
  <c r="M68" i="1" s="1"/>
  <c r="H67" i="1"/>
  <c r="M67" i="1" s="1"/>
  <c r="H66" i="1"/>
  <c r="M66" i="1" s="1"/>
  <c r="W34" i="1" s="1"/>
  <c r="F35" i="2" s="1"/>
  <c r="G35" i="2" s="1"/>
  <c r="H65" i="1"/>
  <c r="H64" i="1"/>
  <c r="H63" i="1"/>
  <c r="L63" i="1" s="1"/>
  <c r="L61" i="1"/>
  <c r="H61" i="1"/>
  <c r="M61" i="1" s="1"/>
  <c r="H60" i="1"/>
  <c r="L56" i="1"/>
  <c r="H56" i="1"/>
  <c r="M56" i="1" s="1"/>
  <c r="M55" i="1"/>
  <c r="W18" i="1" s="1"/>
  <c r="F19" i="2" s="1"/>
  <c r="G19" i="2" s="1"/>
  <c r="H55" i="1"/>
  <c r="H54" i="1"/>
  <c r="M53" i="1"/>
  <c r="L53" i="1" s="1"/>
  <c r="H53" i="1"/>
  <c r="H52" i="1"/>
  <c r="M51" i="1"/>
  <c r="H51" i="1"/>
  <c r="H50" i="1"/>
  <c r="H49" i="1"/>
  <c r="M48" i="1"/>
  <c r="H48" i="1"/>
  <c r="M47" i="1"/>
  <c r="H47" i="1"/>
  <c r="M46" i="1"/>
  <c r="H46" i="1"/>
  <c r="M45" i="1"/>
  <c r="H45" i="1"/>
  <c r="H44" i="1"/>
  <c r="H43" i="1"/>
  <c r="M43" i="1" s="1"/>
  <c r="H42" i="1"/>
  <c r="H41" i="1"/>
  <c r="M41" i="1" s="1"/>
  <c r="H40" i="1"/>
  <c r="M39" i="1"/>
  <c r="H39" i="1"/>
  <c r="H38" i="1"/>
  <c r="H37" i="1"/>
  <c r="H36" i="1"/>
  <c r="L36" i="1" s="1"/>
  <c r="H35" i="1"/>
  <c r="M35" i="1" s="1"/>
  <c r="L27" i="1" s="1"/>
  <c r="H33" i="1"/>
  <c r="L33" i="1" s="1"/>
  <c r="H32" i="1"/>
  <c r="M32" i="1" s="1"/>
  <c r="W27" i="1" s="1"/>
  <c r="F28" i="2" s="1"/>
  <c r="G28" i="2" s="1"/>
  <c r="H29" i="1"/>
  <c r="L29" i="1" s="1"/>
  <c r="H28" i="1"/>
  <c r="M28" i="1" s="1"/>
  <c r="H27" i="1"/>
  <c r="H26" i="1"/>
  <c r="M26" i="1" s="1"/>
  <c r="M25" i="1"/>
  <c r="L25" i="1"/>
  <c r="H25" i="1"/>
  <c r="H24" i="1"/>
  <c r="H23" i="1"/>
  <c r="H20" i="1"/>
  <c r="L20" i="1" s="1"/>
  <c r="H19" i="1"/>
  <c r="M19" i="1" s="1"/>
  <c r="W38" i="1" s="1"/>
  <c r="F39" i="2" s="1"/>
  <c r="G39" i="2" s="1"/>
  <c r="H18" i="1"/>
  <c r="L18" i="1" s="1"/>
  <c r="H17" i="1"/>
  <c r="M17" i="1" s="1"/>
  <c r="W33" i="1" s="1"/>
  <c r="F34" i="2" s="1"/>
  <c r="G34" i="2" s="1"/>
  <c r="H16" i="1"/>
  <c r="H15" i="1"/>
  <c r="L15" i="1" s="1"/>
  <c r="H14" i="1"/>
  <c r="L14" i="1" s="1"/>
  <c r="W14" i="1" s="1"/>
  <c r="D15" i="2" s="1"/>
  <c r="E15" i="2" s="1"/>
  <c r="H13" i="1"/>
  <c r="M13" i="1" s="1"/>
  <c r="H12" i="1"/>
  <c r="H11" i="1"/>
  <c r="H10" i="1"/>
  <c r="M10" i="1" s="1"/>
  <c r="H9" i="1"/>
  <c r="M9" i="1" s="1"/>
  <c r="M8" i="1"/>
  <c r="H8" i="1"/>
  <c r="H7" i="1"/>
  <c r="H6" i="1"/>
  <c r="H5" i="1"/>
  <c r="L65" i="1" l="1"/>
  <c r="L60" i="1" s="1"/>
  <c r="W6" i="1" s="1"/>
  <c r="D7" i="2" s="1"/>
  <c r="W39" i="1"/>
  <c r="F40" i="2" s="1"/>
  <c r="G40" i="2" s="1"/>
  <c r="W28" i="1"/>
  <c r="F29" i="2" s="1"/>
  <c r="G29" i="2" s="1"/>
  <c r="W37" i="1"/>
  <c r="F38" i="2" s="1"/>
  <c r="G38" i="2" s="1"/>
  <c r="W21" i="1"/>
  <c r="F22" i="2" s="1"/>
  <c r="G22" i="2" s="1"/>
  <c r="W32" i="1"/>
  <c r="F33" i="2" s="1"/>
  <c r="G33" i="2" s="1"/>
  <c r="W20" i="1"/>
  <c r="F21" i="2" s="1"/>
  <c r="G21" i="2" s="1"/>
  <c r="W22" i="1"/>
  <c r="F23" i="2" s="1"/>
  <c r="G23" i="2" s="1"/>
  <c r="W29" i="1"/>
  <c r="F30" i="2" s="1"/>
  <c r="G30" i="2" s="1"/>
  <c r="W30" i="1"/>
  <c r="F31" i="2" s="1"/>
  <c r="G31" i="2" s="1"/>
  <c r="W25" i="1"/>
  <c r="F26" i="2" s="1"/>
  <c r="G26" i="2" s="1"/>
  <c r="W26" i="1"/>
  <c r="F27" i="2" s="1"/>
  <c r="G27" i="2" s="1"/>
  <c r="W24" i="1"/>
  <c r="F25" i="2" s="1"/>
  <c r="G25" i="2" s="1"/>
  <c r="W12" i="1"/>
  <c r="D13" i="2" s="1"/>
  <c r="E13" i="2" s="1"/>
  <c r="W19" i="1"/>
  <c r="F20" i="2" s="1"/>
  <c r="G20" i="2" s="1"/>
  <c r="W16" i="1"/>
  <c r="G168" i="1"/>
  <c r="L44" i="1"/>
  <c r="M164" i="1"/>
  <c r="L49" i="1"/>
  <c r="L95" i="1"/>
  <c r="M154" i="1"/>
  <c r="L146" i="1"/>
  <c r="L109" i="1"/>
  <c r="L128" i="1"/>
  <c r="L85" i="1"/>
  <c r="M98" i="1"/>
  <c r="M157" i="1"/>
  <c r="L130" i="1"/>
  <c r="L159" i="1"/>
  <c r="M127" i="1"/>
  <c r="L73" i="1"/>
  <c r="L75" i="1" s="1"/>
  <c r="L160" i="1"/>
  <c r="M131" i="1"/>
  <c r="M29" i="1"/>
  <c r="L103" i="1"/>
  <c r="M161" i="1"/>
  <c r="L76" i="1"/>
  <c r="M105" i="1"/>
  <c r="L134" i="1"/>
  <c r="L162" i="1"/>
  <c r="M118" i="1"/>
  <c r="M102" i="1"/>
  <c r="M132" i="1"/>
  <c r="M36" i="1"/>
  <c r="L106" i="1"/>
  <c r="H168" i="1"/>
  <c r="M12" i="1"/>
  <c r="L55" i="1"/>
  <c r="W5" i="1" s="1"/>
  <c r="D6" i="2" s="1"/>
  <c r="E6" i="2" s="1"/>
  <c r="L8" i="1"/>
  <c r="W3" i="1" s="1"/>
  <c r="D4" i="2" s="1"/>
  <c r="L19" i="1"/>
  <c r="L135" i="1"/>
  <c r="L166" i="1"/>
  <c r="L99" i="1"/>
  <c r="L129" i="1"/>
  <c r="M33" i="1"/>
  <c r="M100" i="1"/>
  <c r="L165" i="1"/>
  <c r="M119" i="1"/>
  <c r="W36" i="1" s="1"/>
  <c r="F37" i="2" s="1"/>
  <c r="G37" i="2" s="1"/>
  <c r="L101" i="1"/>
  <c r="M155" i="1"/>
  <c r="L126" i="1"/>
  <c r="L133" i="1"/>
  <c r="L88" i="1"/>
  <c r="L97" i="1"/>
  <c r="L104" i="1"/>
  <c r="L147" i="1"/>
  <c r="L156" i="1"/>
  <c r="L163" i="1"/>
  <c r="W7" i="1" l="1"/>
  <c r="D8" i="2" s="1"/>
  <c r="E8" i="2" s="1"/>
  <c r="W8" i="1"/>
  <c r="F17" i="2"/>
  <c r="L24" i="1"/>
  <c r="W10" i="1" s="1"/>
  <c r="D11" i="2" s="1"/>
  <c r="E11" i="2" s="1"/>
  <c r="O11" i="2" s="1"/>
  <c r="E7" i="2"/>
  <c r="O7" i="2" s="1"/>
  <c r="W35" i="1"/>
  <c r="F36" i="2" s="1"/>
  <c r="G36" i="2" s="1"/>
  <c r="W31" i="1"/>
  <c r="F32" i="2" s="1"/>
  <c r="G32" i="2" s="1"/>
  <c r="W11" i="1"/>
  <c r="D12" i="2" s="1"/>
  <c r="E12" i="2" s="1"/>
  <c r="M16" i="1"/>
  <c r="W13" i="1"/>
  <c r="D14" i="2" s="1"/>
  <c r="E14" i="2" s="1"/>
  <c r="W9" i="1"/>
  <c r="D10" i="2" s="1"/>
  <c r="E10" i="2" s="1"/>
  <c r="M167" i="1"/>
  <c r="M137" i="1"/>
  <c r="W4" i="1"/>
  <c r="E5" i="2" s="1"/>
  <c r="W17" i="1"/>
  <c r="F18" i="2" s="1"/>
  <c r="G18" i="2" s="1"/>
  <c r="M79" i="1"/>
  <c r="L137" i="1"/>
  <c r="M110" i="1"/>
  <c r="G17" i="2"/>
  <c r="L167" i="1"/>
  <c r="L21" i="1"/>
  <c r="O54" i="2" l="1"/>
  <c r="O55" i="2" s="1"/>
  <c r="F52" i="2"/>
  <c r="G52" i="2" s="1"/>
  <c r="X39" i="1"/>
  <c r="M21" i="1"/>
  <c r="M168" i="1" s="1"/>
  <c r="L110" i="1"/>
  <c r="E4" i="2"/>
  <c r="H17" i="2"/>
  <c r="L79" i="1"/>
  <c r="N79" i="1" s="1"/>
  <c r="F54" i="2" l="1"/>
  <c r="D9" i="2"/>
  <c r="D54" i="2" s="1"/>
  <c r="X14" i="1"/>
  <c r="L168" i="1"/>
  <c r="E9" i="2" l="1"/>
  <c r="H4" i="2"/>
</calcChain>
</file>

<file path=xl/sharedStrings.xml><?xml version="1.0" encoding="utf-8"?>
<sst xmlns="http://schemas.openxmlformats.org/spreadsheetml/2006/main" count="1994" uniqueCount="408">
  <si>
    <t>Приложение 1. Расчет воздухообменов</t>
  </si>
  <si>
    <t>№</t>
  </si>
  <si>
    <t>Наименование</t>
  </si>
  <si>
    <t>Катег. Пом.</t>
  </si>
  <si>
    <t>Класс чистоты</t>
  </si>
  <si>
    <t>S, м2</t>
  </si>
  <si>
    <t>V, м3</t>
  </si>
  <si>
    <t>Кол. чел.</t>
  </si>
  <si>
    <t>Кратность</t>
  </si>
  <si>
    <t>Воздухообмен, м3/ч</t>
  </si>
  <si>
    <t>Система</t>
  </si>
  <si>
    <t>Примечание</t>
  </si>
  <si>
    <t>Приток</t>
  </si>
  <si>
    <t>Вытяжка</t>
  </si>
  <si>
    <t>Выт</t>
  </si>
  <si>
    <t>Подвал</t>
  </si>
  <si>
    <t>0.01</t>
  </si>
  <si>
    <t>Технологическая лестница</t>
  </si>
  <si>
    <t>-</t>
  </si>
  <si>
    <t>0.01а</t>
  </si>
  <si>
    <t>Тамбур-шлюз 1-ого типа</t>
  </si>
  <si>
    <t>0.02</t>
  </si>
  <si>
    <t>0.03</t>
  </si>
  <si>
    <t>Спортивный зал</t>
  </si>
  <si>
    <t>80 м3/час на 1 ч. + компенс.</t>
  </si>
  <si>
    <t>80 м3/час на 1 ч.</t>
  </si>
  <si>
    <t>П1</t>
  </si>
  <si>
    <t>В1</t>
  </si>
  <si>
    <t>0.04</t>
  </si>
  <si>
    <t>Снарядная</t>
  </si>
  <si>
    <t>В3</t>
  </si>
  <si>
    <t>Через ОЗК</t>
  </si>
  <si>
    <t>0.05</t>
  </si>
  <si>
    <t>0.06</t>
  </si>
  <si>
    <t>0.07</t>
  </si>
  <si>
    <t>Коридор</t>
  </si>
  <si>
    <t>По балансу</t>
  </si>
  <si>
    <t>ВЕ</t>
  </si>
  <si>
    <t>0.08</t>
  </si>
  <si>
    <t>Кладовая</t>
  </si>
  <si>
    <t>0.09</t>
  </si>
  <si>
    <t>Венткамера</t>
  </si>
  <si>
    <t>В4</t>
  </si>
  <si>
    <t>П8</t>
  </si>
  <si>
    <t>0.10</t>
  </si>
  <si>
    <t>П10</t>
  </si>
  <si>
    <t>0.11</t>
  </si>
  <si>
    <t>0.12</t>
  </si>
  <si>
    <t>Насосная</t>
  </si>
  <si>
    <t>В19</t>
  </si>
  <si>
    <t>0.13</t>
  </si>
  <si>
    <t>0.14</t>
  </si>
  <si>
    <t>ИТП</t>
  </si>
  <si>
    <t>Д</t>
  </si>
  <si>
    <t>П11</t>
  </si>
  <si>
    <t>В23</t>
  </si>
  <si>
    <t>0.15</t>
  </si>
  <si>
    <t>ИТОГО по подвалу</t>
  </si>
  <si>
    <t>1 этаж</t>
  </si>
  <si>
    <t>101</t>
  </si>
  <si>
    <t>Тамбур</t>
  </si>
  <si>
    <t>102</t>
  </si>
  <si>
    <t>103</t>
  </si>
  <si>
    <t>Комната охраны (с диспетчерским пунктом)</t>
  </si>
  <si>
    <t>60 м3/час на 1 ч.</t>
  </si>
  <si>
    <t>В13</t>
  </si>
  <si>
    <t>104</t>
  </si>
  <si>
    <t>Гардероб для обучающихся</t>
  </si>
  <si>
    <t>В11</t>
  </si>
  <si>
    <t>105</t>
  </si>
  <si>
    <t xml:space="preserve">Коридор </t>
  </si>
  <si>
    <t>106</t>
  </si>
  <si>
    <t>107</t>
  </si>
  <si>
    <t>20 м3/ч на 1 ч., но не менее 2</t>
  </si>
  <si>
    <t>П5</t>
  </si>
  <si>
    <t>ТХ  п.52                                                             Зонт вытяжной 900х600</t>
  </si>
  <si>
    <t>По расчету (0,3)</t>
  </si>
  <si>
    <t>МО1</t>
  </si>
  <si>
    <t>108</t>
  </si>
  <si>
    <t>Электрощитовая</t>
  </si>
  <si>
    <t>В15</t>
  </si>
  <si>
    <t>109</t>
  </si>
  <si>
    <t>ТХ  п.69                                                             Вытяжная система для лазерного станка, фильтрующая</t>
  </si>
  <si>
    <t>По расчету</t>
  </si>
  <si>
    <t>МО2</t>
  </si>
  <si>
    <t>110</t>
  </si>
  <si>
    <t>111</t>
  </si>
  <si>
    <t>Учебный кабинет (математика)</t>
  </si>
  <si>
    <t>112</t>
  </si>
  <si>
    <t>Лестничная клетка (Тип Л1)</t>
  </si>
  <si>
    <t>113</t>
  </si>
  <si>
    <t>Туалет для персонала</t>
  </si>
  <si>
    <t>1ун.</t>
  </si>
  <si>
    <t>50 м3/час на 1 ун.</t>
  </si>
  <si>
    <t>В7</t>
  </si>
  <si>
    <t>114</t>
  </si>
  <si>
    <t>Уборная для девочек</t>
  </si>
  <si>
    <t>3ун.</t>
  </si>
  <si>
    <t>В5</t>
  </si>
  <si>
    <t>115</t>
  </si>
  <si>
    <t>116</t>
  </si>
  <si>
    <t>ПУИ</t>
  </si>
  <si>
    <t>117</t>
  </si>
  <si>
    <t>Универсальная уборная для МГН</t>
  </si>
  <si>
    <t>118</t>
  </si>
  <si>
    <t>119</t>
  </si>
  <si>
    <t>Раздевальная Тип 1</t>
  </si>
  <si>
    <t>120</t>
  </si>
  <si>
    <t>Душевая девочек</t>
  </si>
  <si>
    <t>3д.</t>
  </si>
  <si>
    <t>75 м3/час на 1 д.</t>
  </si>
  <si>
    <t>121</t>
  </si>
  <si>
    <t>Уборная девочек</t>
  </si>
  <si>
    <t>2ун.</t>
  </si>
  <si>
    <t>122</t>
  </si>
  <si>
    <t>Уборная мальчиков</t>
  </si>
  <si>
    <t>В6</t>
  </si>
  <si>
    <t>123</t>
  </si>
  <si>
    <t>Душевая мальчиков</t>
  </si>
  <si>
    <t>124</t>
  </si>
  <si>
    <t>П6</t>
  </si>
  <si>
    <t>125</t>
  </si>
  <si>
    <t>126</t>
  </si>
  <si>
    <t>Уборная для мальчиков</t>
  </si>
  <si>
    <t>2ун.,           2 пис.</t>
  </si>
  <si>
    <t>50 м3/час на 1 ун., 25 м3/час на 1 пис.</t>
  </si>
  <si>
    <t>127</t>
  </si>
  <si>
    <t>128</t>
  </si>
  <si>
    <t>Тренерская санузлом</t>
  </si>
  <si>
    <t>1ун., 1д.</t>
  </si>
  <si>
    <t>50 м3/час на 1 ун.    75 м3/час на 1 д.</t>
  </si>
  <si>
    <t>129</t>
  </si>
  <si>
    <t>130</t>
  </si>
  <si>
    <t>Обеденный зал</t>
  </si>
  <si>
    <t>По балансу п.131, п.139</t>
  </si>
  <si>
    <t>20 м3/час на 1 ч.</t>
  </si>
  <si>
    <t>П3</t>
  </si>
  <si>
    <t>131</t>
  </si>
  <si>
    <t>Моечная для столовой посуды</t>
  </si>
  <si>
    <t>Комп. МО</t>
  </si>
  <si>
    <t>П4</t>
  </si>
  <si>
    <t>ТХ2 п. 124                                                Зонт 1000х1100 над посуд.машиной</t>
  </si>
  <si>
    <t>По расчету (0,5)</t>
  </si>
  <si>
    <t>МО3</t>
  </si>
  <si>
    <t>ТХ2 п. 126                                                  Зонт вытяжной 1500х700</t>
  </si>
  <si>
    <t>По расчету (0,23)</t>
  </si>
  <si>
    <t>МО4</t>
  </si>
  <si>
    <t>ТХ2 п. 218                                                   Зонт вытяжной 1200х600</t>
  </si>
  <si>
    <t>132</t>
  </si>
  <si>
    <t>По балансу          п. 132 - п.138</t>
  </si>
  <si>
    <t>133</t>
  </si>
  <si>
    <t>Кладовая и моечная оборотной тары</t>
  </si>
  <si>
    <t>ТХ2 п. 132                                                      Зонт вытяжной 1400х700</t>
  </si>
  <si>
    <t>МО5</t>
  </si>
  <si>
    <t>134</t>
  </si>
  <si>
    <t>Загрузочный цех</t>
  </si>
  <si>
    <t>135</t>
  </si>
  <si>
    <t>Кладовая сухих продуктов</t>
  </si>
  <si>
    <t>В24</t>
  </si>
  <si>
    <t>136</t>
  </si>
  <si>
    <t>Помещение персонала санузлом</t>
  </si>
  <si>
    <t>В25</t>
  </si>
  <si>
    <t>137</t>
  </si>
  <si>
    <t>Помещение временного хранения пищевых отходов</t>
  </si>
  <si>
    <t>В20</t>
  </si>
  <si>
    <t>138</t>
  </si>
  <si>
    <t>139</t>
  </si>
  <si>
    <t>Помещение подготовки блюд к реализации с участком мойки кухонной посуды</t>
  </si>
  <si>
    <t>ТХ2 п. 136                                                         Зонт приточно-вытяжной 1400х1100</t>
  </si>
  <si>
    <t>МО6</t>
  </si>
  <si>
    <t>ТХ2 п. 164                                                  Зонт вытяжной 900х1200 для пароконвектомата</t>
  </si>
  <si>
    <t>По расчету (0,36)</t>
  </si>
  <si>
    <t>МО7</t>
  </si>
  <si>
    <t>ТХ2 п. 122                                                  Зонт вытяжной 1200х700</t>
  </si>
  <si>
    <t>По расчету (0,39)</t>
  </si>
  <si>
    <t>МО8</t>
  </si>
  <si>
    <t>140</t>
  </si>
  <si>
    <t>Кабинет врача</t>
  </si>
  <si>
    <t>В</t>
  </si>
  <si>
    <t>П7</t>
  </si>
  <si>
    <t>В18</t>
  </si>
  <si>
    <t>141</t>
  </si>
  <si>
    <t>Процедурный (прививочный) кабинет</t>
  </si>
  <si>
    <t>142</t>
  </si>
  <si>
    <t>Помещение для хранения уборочного инвентаря, приготовления дезинфицирующих растворов</t>
  </si>
  <si>
    <t>В8</t>
  </si>
  <si>
    <t>143</t>
  </si>
  <si>
    <t>Ожидальная медблока</t>
  </si>
  <si>
    <t>144</t>
  </si>
  <si>
    <t>Помещение СС</t>
  </si>
  <si>
    <t>В21</t>
  </si>
  <si>
    <t>145</t>
  </si>
  <si>
    <t>Кабинет с рабочим пространством для учителей. Тип 1</t>
  </si>
  <si>
    <t>В10</t>
  </si>
  <si>
    <t>146</t>
  </si>
  <si>
    <t>Гардероб для учителей</t>
  </si>
  <si>
    <t>ИТОГО по 1 этажу</t>
  </si>
  <si>
    <t>2 этаж</t>
  </si>
  <si>
    <t>201</t>
  </si>
  <si>
    <t>Коридор с рекреацией</t>
  </si>
  <si>
    <t>202</t>
  </si>
  <si>
    <t>203</t>
  </si>
  <si>
    <t>204</t>
  </si>
  <si>
    <t>205</t>
  </si>
  <si>
    <t>206</t>
  </si>
  <si>
    <t>207</t>
  </si>
  <si>
    <t>Подсобное помещение</t>
  </si>
  <si>
    <t>208</t>
  </si>
  <si>
    <t>В14</t>
  </si>
  <si>
    <t>209</t>
  </si>
  <si>
    <t>210</t>
  </si>
  <si>
    <t>В22</t>
  </si>
  <si>
    <t>211</t>
  </si>
  <si>
    <t>5ун.</t>
  </si>
  <si>
    <t>212</t>
  </si>
  <si>
    <t>213</t>
  </si>
  <si>
    <t>Кабинет индивидуальных занятий, в т.ч. с учителем логопедом</t>
  </si>
  <si>
    <t>214</t>
  </si>
  <si>
    <t>Административный кабинет</t>
  </si>
  <si>
    <t>215</t>
  </si>
  <si>
    <t>Учебный кабинет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</si>
  <si>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</si>
  <si>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</si>
  <si>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</si>
  <si>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</si>
  <si>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</si>
  <si>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</si>
  <si>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</si>
  <si>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</si>
  <si>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</si>
  <si>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Гимнастический зал</t>
  </si>
  <si>
    <t>П9</t>
  </si>
  <si>
    <t>В9</t>
  </si>
  <si>
    <t>225</t>
  </si>
  <si>
    <t>Раздевальная. Тип 1</t>
  </si>
  <si>
    <t>226</t>
  </si>
  <si>
    <t>227</t>
  </si>
  <si>
    <t>ИТОГО по 2 этажу</t>
  </si>
  <si>
    <t>3 этаж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</si>
  <si>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</si>
  <si>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</si>
  <si>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</si>
  <si>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</si>
  <si>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</si>
  <si>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</si>
  <si>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</si>
  <si>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</si>
  <si>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</si>
  <si>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</si>
  <si>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</si>
  <si>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</si>
  <si>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</si>
  <si>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Кабинет для индивидуальных занятий, в т.ч. с коррекционным педагогом</t>
  </si>
  <si>
    <t>314</t>
  </si>
  <si>
    <t>315</t>
  </si>
  <si>
    <t>316</t>
  </si>
  <si>
    <t>317</t>
  </si>
  <si>
    <t>Кабинет иностранного языка с возможностью деления трансформируемой перегородкой на два помещения</t>
  </si>
  <si>
    <t>318</t>
  </si>
  <si>
    <t>Творческая студия с возможностью деления трансформируемой перегородкой на два помещения</t>
  </si>
  <si>
    <t>319</t>
  </si>
  <si>
    <t>320</t>
  </si>
  <si>
    <t>321</t>
  </si>
  <si>
    <t>322</t>
  </si>
  <si>
    <t>Многофункциональный  информационный библиотечный
центр с зонами для индивидуальных и групповых занятий, медиатеки, центра детских инициатив</t>
  </si>
  <si>
    <t>20 м3/ч на 1 ч., но не менее 2 + компенсация в пом. 322</t>
  </si>
  <si>
    <t>В16</t>
  </si>
  <si>
    <t>323</t>
  </si>
  <si>
    <t>Многофункциональный информационный библиотечный
центр. Хранение (закрытый фонд) и выдачи книг.</t>
  </si>
  <si>
    <t>ИТОГО по 3 этажу</t>
  </si>
  <si>
    <t>4 этаж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</si>
  <si>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</si>
  <si>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</si>
  <si>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</si>
  <si>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</si>
  <si>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</si>
  <si>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</si>
  <si>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</si>
  <si>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</si>
  <si>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</si>
  <si>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</si>
  <si>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</si>
  <si>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</si>
  <si>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4ун.</t>
  </si>
  <si>
    <t>413</t>
  </si>
  <si>
    <t>2 ун.,           2 пис.</t>
  </si>
  <si>
    <t>414</t>
  </si>
  <si>
    <t>Кабинет для индивидуальных занятий, в т.ч. с педагогом-психологом</t>
  </si>
  <si>
    <t>415</t>
  </si>
  <si>
    <t>Актовый зал (с эстрадой в уровне пола)</t>
  </si>
  <si>
    <t>П2</t>
  </si>
  <si>
    <t>В2</t>
  </si>
  <si>
    <t>416</t>
  </si>
  <si>
    <t>Технический центр</t>
  </si>
  <si>
    <t>60 м3/ч на 1 ч., но не менее 2</t>
  </si>
  <si>
    <t>417</t>
  </si>
  <si>
    <t>Артистическая</t>
  </si>
  <si>
    <t>418</t>
  </si>
  <si>
    <t>Кладовая инвентаря</t>
  </si>
  <si>
    <t>419</t>
  </si>
  <si>
    <t>Кабинет математики</t>
  </si>
  <si>
    <t>420</t>
  </si>
  <si>
    <t>Учебный кабинет (для изучения естествознания: биология/ география. Тип 2)</t>
  </si>
  <si>
    <t>421</t>
  </si>
  <si>
    <t>Лаборантская биологии</t>
  </si>
  <si>
    <t>В17</t>
  </si>
  <si>
    <t>422</t>
  </si>
  <si>
    <t>423</t>
  </si>
  <si>
    <t>424</t>
  </si>
  <si>
    <t>Учебный кабинет информатики с возможностью деления трансформируемой перегородкой на два помещения</t>
  </si>
  <si>
    <t>425</t>
  </si>
  <si>
    <t>Кабинет русского языка и литературы</t>
  </si>
  <si>
    <t>426</t>
  </si>
  <si>
    <t>ИТОГО по 4 этажу</t>
  </si>
  <si>
    <t>ИТОГО по зданию</t>
  </si>
  <si>
    <t xml:space="preserve">                                                                                                                                                                                                                             </t>
  </si>
  <si>
    <t>,</t>
  </si>
  <si>
    <t>Вес, кг</t>
  </si>
  <si>
    <t>L, м3/ч</t>
  </si>
  <si>
    <t>Установка</t>
  </si>
  <si>
    <t>Фильтр</t>
  </si>
  <si>
    <t>Напор, Па</t>
  </si>
  <si>
    <t>N, Вт</t>
  </si>
  <si>
    <t>Водяной нагреватель</t>
  </si>
  <si>
    <t>Электрический нагреватель</t>
  </si>
  <si>
    <t>Заслонка</t>
  </si>
  <si>
    <t>Шумоглуш.</t>
  </si>
  <si>
    <t>Г.В.</t>
  </si>
  <si>
    <t xml:space="preserve">Темп., С </t>
  </si>
  <si>
    <t>Q, кВт</t>
  </si>
  <si>
    <t>Nуст, кВт</t>
  </si>
  <si>
    <t>П</t>
  </si>
  <si>
    <t xml:space="preserve"> +(10-15)%</t>
  </si>
  <si>
    <t>Всего</t>
  </si>
  <si>
    <t>от</t>
  </si>
  <si>
    <t>до</t>
  </si>
  <si>
    <t>G4, F7</t>
  </si>
  <si>
    <t>+</t>
  </si>
  <si>
    <t>Актовый зал, Технический центр, Артистическая</t>
  </si>
  <si>
    <t>G4</t>
  </si>
  <si>
    <t>Пищеблок. Производственные помещения</t>
  </si>
  <si>
    <t>Админ. кабинеты + реакреации.  Левое крыло</t>
  </si>
  <si>
    <t>Админ. кабинеты + реакреации, Помещения СС.  Правое крыло</t>
  </si>
  <si>
    <t>Медблок</t>
  </si>
  <si>
    <t>G4, F7, F9</t>
  </si>
  <si>
    <t>Коридоры, помещения СС. Левое крыло</t>
  </si>
  <si>
    <t>Гимнастический зал (хореография)</t>
  </si>
  <si>
    <t>Венткамеры</t>
  </si>
  <si>
    <t>Пищеблок. Помещение подготовки блюд с участком мойки кухни</t>
  </si>
  <si>
    <t>Санузлы и душевые женские, санузел МГН</t>
  </si>
  <si>
    <t>Санузлы и душевые мужские</t>
  </si>
  <si>
    <t>Санузлы персонала 2-4 этажи</t>
  </si>
  <si>
    <t>ПУИ медблока</t>
  </si>
  <si>
    <t>Гимнастический зал и раздевальные к нему</t>
  </si>
  <si>
    <t>Кабинет для учителей</t>
  </si>
  <si>
    <t>Гардеробы, кладовая</t>
  </si>
  <si>
    <t>В12</t>
  </si>
  <si>
    <t>Комната охраны</t>
  </si>
  <si>
    <t>Подсобные помещения. Правое крыло</t>
  </si>
  <si>
    <t>Подсобные помещения. Левое крыло</t>
  </si>
  <si>
    <t>Библиотечный центр</t>
  </si>
  <si>
    <t>ПУИ. Левое крыло</t>
  </si>
  <si>
    <t>Помещения СС. Левое крыло</t>
  </si>
  <si>
    <t>Помещения СС. Правое крыло</t>
  </si>
  <si>
    <t>ПУИ. Правое крыло</t>
  </si>
  <si>
    <t>Помещение персонала санузлом, ПУИ Пищеблок</t>
  </si>
  <si>
    <t>Зонт вытяжной над оборудованием №52 по ТХ</t>
  </si>
  <si>
    <t>Зонт вытяжной над лазерным станком №69 по ТХ</t>
  </si>
  <si>
    <t>Зонт вытяжной над оборудованием №124 по ТХ</t>
  </si>
  <si>
    <t>Зонт вытяжной над оборудованием №126,218 по ТХ</t>
  </si>
  <si>
    <t>Зонт вытяжной над оборудованием №132 по ТХ</t>
  </si>
  <si>
    <t>Зонт вытяжной над оборудованием №136 по ТХ</t>
  </si>
  <si>
    <t>Зонт вытяжной над оборудованием №164 по ТХ</t>
  </si>
  <si>
    <t>Зонт вытяжной над оборудованием №122 по ТХ</t>
  </si>
  <si>
    <t>Естественная</t>
  </si>
  <si>
    <t>Тип</t>
  </si>
  <si>
    <t>Цвет</t>
  </si>
  <si>
    <t>Наименование по ХОВС / примечание</t>
  </si>
  <si>
    <t>Местный отсос</t>
  </si>
  <si>
    <t>Вытяжка естественная</t>
  </si>
  <si>
    <t>Рекрекация</t>
  </si>
  <si>
    <t>Общий</t>
  </si>
  <si>
    <t>Левое крыло</t>
  </si>
  <si>
    <t>Расположение на плане</t>
  </si>
  <si>
    <t>Правое крыло</t>
  </si>
  <si>
    <t>Пищеблок</t>
  </si>
  <si>
    <t>Пищеблок горячий цех</t>
  </si>
  <si>
    <t>Центр</t>
  </si>
  <si>
    <t>П12</t>
  </si>
  <si>
    <t>Кладовая кабинета материальной технологии</t>
  </si>
  <si>
    <t>Кабинет материальной технологии Тип 2</t>
  </si>
  <si>
    <t>Кабинет материальной технологии Тип 1</t>
  </si>
  <si>
    <t>Венткамеры. Правое крыло</t>
  </si>
  <si>
    <t>Венткамера. Левое крыло</t>
  </si>
  <si>
    <t>—</t>
  </si>
  <si>
    <t>Псистемы</t>
  </si>
  <si>
    <t>Всистемы</t>
  </si>
  <si>
    <t>По балансу с пом. 110</t>
  </si>
  <si>
    <t>Учебные кабинеты. Левое крыло</t>
  </si>
  <si>
    <t>Санузлы и душевые женские, санузел МГН, санузел персонала 1-й этаж</t>
  </si>
  <si>
    <t>Кабинет учителей 1-й этаж, Административный кабинет 2-й этаж. Правое крыло</t>
  </si>
  <si>
    <t>Санузлы персонала 2-4 этажи, Подсобные помещения. Левое крыло</t>
  </si>
  <si>
    <t xml:space="preserve">Пищеблок. Помещение персонала санузлом, ПУИ </t>
  </si>
  <si>
    <t>Учебные кабинеты. Правое крыло</t>
  </si>
  <si>
    <t>Админ. кабинеты Коридоры с реакреациями, Помещения СС, Комната охраны, Коридор 1-этажа.</t>
  </si>
  <si>
    <t>Исполнение</t>
  </si>
  <si>
    <t>Наружное</t>
  </si>
  <si>
    <t>Внутренне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</si>
</sst>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1"/>
      <color theme="1"/>
      <name val="Calibri"/>
    </font>
    <font>
      <b/>
      <sz val="11"/>
      <color indexed="8"/>
      <name val="Calibri"/>
      <family val="2"/>
      <charset val="204"/>
    </font>
    <font>
      <b/>
      <sz val="18"/>
      <color indexed="8"/>
      <name val="Calibri"/>
      <family val="2"/>
      <charset val="204"/>
    </font>
    <font>
      <b/>
      <sz val="16"/>
      <color indexed="8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1"/>
      <name val="Calibri"/>
      <family val="2"/>
      <charset val="204"/>
    </font>
    <font>
      <sz val="11"/>
      <color rgb="FF92D05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theme="1"/>
      <name val="Calibri"/>
      <family val="2"/>
      <charset val="204"/>
    </font>
    <font>
      <sz val="8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0"/>
      <color theme="1"/>
      <name val="Calibri"/>
      <family val="2"/>
      <charset val="204"/>
    </font>
  </fonts>
  <fills count="5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B0C4F4"/>
      </patternFill>
    </fill>
    <fill>
      <patternFill patternType="solid">
        <fgColor rgb="FFD8F4B0"/>
      </patternFill>
    </fill>
    <fill>
      <patternFill patternType="solid">
        <fgColor rgb="FFF4B0EC"/>
      </patternFill>
    </fill>
    <fill>
      <patternFill patternType="solid">
        <fgColor rgb="FFB0F4E9"/>
      </patternFill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B3F4B0"/>
      </patternFill>
    </fill>
    <fill>
      <patternFill patternType="solid">
        <fgColor rgb="FFC6E0B4"/>
      </patternFill>
    </fill>
    <fill>
      <patternFill patternType="solid">
        <fgColor rgb="FFB0DBF4"/>
      </patternFill>
    </fill>
    <fill>
      <patternFill patternType="solid">
        <fgColor rgb="FFEFF4B0"/>
      </patternFill>
    </fill>
    <fill>
      <patternFill patternType="solid">
        <fgColor rgb="FFE6B0F4"/>
      </patternFill>
    </fill>
    <fill>
      <patternFill patternType="solid">
        <fgColor rgb="FFF4BEB0"/>
      </patternFill>
    </fill>
    <fill>
      <patternFill patternType="solid">
        <fgColor rgb="FFB0B6F4"/>
      </patternFill>
    </fill>
    <fill>
      <patternFill patternType="solid">
        <fgColor rgb="FFCAF4B0"/>
      </patternFill>
    </fill>
    <fill>
      <patternFill patternType="solid">
        <fgColor rgb="FFF4B0DE"/>
      </patternFill>
    </fill>
    <fill>
      <patternFill patternType="solid">
        <fgColor rgb="FFB0F2F4"/>
      </patternFill>
    </fill>
    <fill>
      <patternFill patternType="solid">
        <fgColor rgb="FFF4E3B0"/>
      </patternFill>
    </fill>
    <fill>
      <patternFill patternType="solid">
        <fgColor rgb="FFCFB0F4"/>
      </patternFill>
    </fill>
    <fill>
      <patternFill patternType="solid">
        <fgColor rgb="FFB0F4BB"/>
      </patternFill>
    </fill>
    <fill>
      <patternFill patternType="solid">
        <fgColor rgb="FFF4B0B9"/>
      </patternFill>
    </fill>
    <fill>
      <patternFill patternType="solid">
        <fgColor rgb="FFB0CDF4"/>
      </patternFill>
    </fill>
    <fill>
      <patternFill patternType="solid">
        <fgColor rgb="FFE1F4B0"/>
      </patternFill>
    </fill>
    <fill>
      <patternFill patternType="solid">
        <fgColor rgb="FFF4B0F4"/>
      </patternFill>
    </fill>
    <fill>
      <patternFill patternType="solid">
        <fgColor rgb="FFB0F4E0"/>
      </patternFill>
    </fill>
    <fill>
      <patternFill patternType="solid">
        <fgColor rgb="FFF4CCB0"/>
      </patternFill>
    </fill>
    <fill>
      <patternFill patternType="solid">
        <fgColor rgb="FFB8B0F4"/>
      </patternFill>
    </fill>
    <fill>
      <patternFill patternType="solid">
        <fgColor rgb="FFBBF4B0"/>
      </patternFill>
    </fill>
    <fill>
      <patternFill patternType="solid">
        <fgColor rgb="FFF4B0CF"/>
      </patternFill>
    </fill>
    <fill>
      <patternFill patternType="solid">
        <fgColor rgb="FFB0E3F4"/>
      </patternFill>
    </fill>
    <fill>
      <patternFill patternType="solid">
        <fgColor rgb="FFF4F1B0"/>
      </patternFill>
    </fill>
    <fill>
      <patternFill patternType="solid">
        <fgColor rgb="FFDDB0F4"/>
      </patternFill>
    </fill>
    <fill>
      <patternFill patternType="solid">
        <fgColor rgb="FFB0F4C9"/>
      </patternFill>
    </fill>
    <fill>
      <patternFill patternType="solid">
        <fgColor rgb="FFF4B5B0"/>
      </patternFill>
    </fill>
    <fill>
      <patternFill patternType="solid">
        <fgColor rgb="FFB0BEF4"/>
      </patternFill>
    </fill>
    <fill>
      <patternFill patternType="solid">
        <fgColor rgb="FFD2F4B0"/>
      </patternFill>
    </fill>
    <fill>
      <patternFill patternType="solid">
        <fgColor rgb="FFF4B0E6"/>
      </patternFill>
    </fill>
    <fill>
      <patternFill patternType="solid">
        <fgColor rgb="FFB0F4EE"/>
      </patternFill>
    </fill>
    <fill>
      <patternFill patternType="solid">
        <fgColor rgb="FFF4DAB0"/>
      </patternFill>
    </fill>
    <fill>
      <patternFill patternType="solid">
        <fgColor rgb="FFC6B0F4"/>
      </patternFill>
    </fill>
    <fill>
      <patternFill patternType="solid">
        <fgColor rgb="FFB0F4B2"/>
      </patternFill>
    </fill>
    <fill>
      <patternFill patternType="solid">
        <fgColor rgb="FFF4B0C1"/>
      </patternFill>
    </fill>
    <fill>
      <patternFill patternType="solid">
        <fgColor rgb="FFB0D5F4"/>
      </patternFill>
    </fill>
    <fill>
      <patternFill patternType="solid">
        <fgColor rgb="FFE9F4B0"/>
      </patternFill>
    </fill>
    <fill>
      <patternFill patternType="solid">
        <fgColor rgb="FFEBB0F4"/>
      </patternFill>
    </fill>
    <fill>
      <patternFill patternType="solid">
        <fgColor rgb="FFB0F4D7"/>
      </patternFill>
    </fill>
    <fill>
      <patternFill patternType="solid">
        <fgColor rgb="FFF4B0B0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B3F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3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" fontId="1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164" fontId="0" fillId="0" borderId="1" xfId="0" applyNumberFormat="1" applyFill="1" applyBorder="1" applyAlignment="1">
      <alignment horizontal="center" vertical="center" wrapText="1"/>
    </xf>
    <xf numFmtId="165" fontId="1" fillId="0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Fill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2" fontId="1" fillId="0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right" vertical="center" wrapText="1"/>
    </xf>
    <xf numFmtId="1" fontId="0" fillId="0" borderId="0" xfId="0" applyNumberFormat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164" fontId="0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1" fontId="4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164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1" fontId="0" fillId="0" borderId="0" xfId="0" applyNumberForma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 wrapText="1"/>
    </xf>
    <xf numFmtId="164" fontId="0" fillId="0" borderId="2" xfId="0" applyNumberForma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49" fontId="11" fillId="6" borderId="1" xfId="0" applyNumberFormat="1" applyFont="1" applyFill="1" applyBorder="1" applyAlignment="1">
      <alignment horizontal="center" vertical="center" wrapText="1"/>
    </xf>
    <xf numFmtId="49" fontId="11" fillId="7" borderId="1" xfId="0" applyNumberFormat="1" applyFont="1" applyFill="1" applyBorder="1" applyAlignment="1">
      <alignment horizontal="center" vertical="center" wrapText="1"/>
    </xf>
    <xf numFmtId="49" fontId="11" fillId="8" borderId="1" xfId="0" applyNumberFormat="1" applyFont="1" applyFill="1" applyBorder="1" applyAlignment="1">
      <alignment horizontal="center" vertical="center" wrapText="1"/>
    </xf>
    <xf numFmtId="49" fontId="11" fillId="9" borderId="1" xfId="0" applyNumberFormat="1" applyFont="1" applyFill="1" applyBorder="1" applyAlignment="1">
      <alignment horizontal="center" vertical="center" wrapText="1"/>
    </xf>
    <xf numFmtId="49" fontId="11" fillId="10" borderId="1" xfId="0" applyNumberFormat="1" applyFont="1" applyFill="1" applyBorder="1" applyAlignment="1">
      <alignment horizontal="center" vertical="center" wrapText="1"/>
    </xf>
    <xf numFmtId="49" fontId="11" fillId="12" borderId="1" xfId="0" applyNumberFormat="1" applyFont="1" applyFill="1" applyBorder="1" applyAlignment="1">
      <alignment horizontal="center" vertical="center" wrapText="1"/>
    </xf>
    <xf numFmtId="49" fontId="11" fillId="13" borderId="1" xfId="0" applyNumberFormat="1" applyFont="1" applyFill="1" applyBorder="1" applyAlignment="1">
      <alignment horizontal="center" vertical="center" wrapText="1"/>
    </xf>
    <xf numFmtId="49" fontId="11" fillId="14" borderId="1" xfId="0" applyNumberFormat="1" applyFont="1" applyFill="1" applyBorder="1" applyAlignment="1">
      <alignment horizontal="center" vertical="center" wrapText="1"/>
    </xf>
    <xf numFmtId="0" fontId="11" fillId="15" borderId="1" xfId="0" applyNumberFormat="1" applyFont="1" applyFill="1" applyBorder="1" applyAlignment="1">
      <alignment horizontal="center" vertical="center" wrapText="1"/>
    </xf>
    <xf numFmtId="0" fontId="11" fillId="16" borderId="1" xfId="0" applyNumberFormat="1" applyFont="1" applyFill="1" applyBorder="1" applyAlignment="1">
      <alignment horizontal="center" vertical="center" wrapText="1"/>
    </xf>
    <xf numFmtId="0" fontId="11" fillId="17" borderId="1" xfId="0" applyNumberFormat="1" applyFont="1" applyFill="1" applyBorder="1" applyAlignment="1">
      <alignment horizontal="center" vertical="center" wrapText="1"/>
    </xf>
    <xf numFmtId="0" fontId="11" fillId="18" borderId="1" xfId="0" applyNumberFormat="1" applyFont="1" applyFill="1" applyBorder="1" applyAlignment="1">
      <alignment horizontal="center" vertical="center" wrapText="1"/>
    </xf>
    <xf numFmtId="0" fontId="11" fillId="19" borderId="1" xfId="0" applyNumberFormat="1" applyFont="1" applyFill="1" applyBorder="1" applyAlignment="1">
      <alignment horizontal="center" vertical="center" wrapText="1"/>
    </xf>
    <xf numFmtId="0" fontId="11" fillId="20" borderId="1" xfId="0" applyNumberFormat="1" applyFont="1" applyFill="1" applyBorder="1" applyAlignment="1">
      <alignment horizontal="center" vertical="center" wrapText="1"/>
    </xf>
    <xf numFmtId="0" fontId="11" fillId="21" borderId="1" xfId="0" applyNumberFormat="1" applyFont="1" applyFill="1" applyBorder="1" applyAlignment="1">
      <alignment horizontal="center" vertical="center" wrapText="1"/>
    </xf>
    <xf numFmtId="0" fontId="11" fillId="22" borderId="1" xfId="0" applyNumberFormat="1" applyFont="1" applyFill="1" applyBorder="1" applyAlignment="1">
      <alignment horizontal="center" vertical="center" wrapText="1"/>
    </xf>
    <xf numFmtId="0" fontId="11" fillId="23" borderId="1" xfId="0" applyNumberFormat="1" applyFont="1" applyFill="1" applyBorder="1" applyAlignment="1">
      <alignment horizontal="center" vertical="center" wrapText="1"/>
    </xf>
    <xf numFmtId="0" fontId="11" fillId="24" borderId="1" xfId="0" applyNumberFormat="1" applyFont="1" applyFill="1" applyBorder="1" applyAlignment="1">
      <alignment horizontal="center" vertical="center" wrapText="1"/>
    </xf>
    <xf numFmtId="0" fontId="11" fillId="25" borderId="1" xfId="0" applyNumberFormat="1" applyFont="1" applyFill="1" applyBorder="1" applyAlignment="1">
      <alignment horizontal="center" vertical="center" wrapText="1"/>
    </xf>
    <xf numFmtId="0" fontId="11" fillId="26" borderId="1" xfId="0" applyNumberFormat="1" applyFont="1" applyFill="1" applyBorder="1" applyAlignment="1">
      <alignment horizontal="center" vertical="center" wrapText="1"/>
    </xf>
    <xf numFmtId="0" fontId="11" fillId="27" borderId="1" xfId="0" applyNumberFormat="1" applyFont="1" applyFill="1" applyBorder="1" applyAlignment="1">
      <alignment horizontal="center" vertical="center" wrapText="1"/>
    </xf>
    <xf numFmtId="0" fontId="11" fillId="28" borderId="1" xfId="0" applyNumberFormat="1" applyFont="1" applyFill="1" applyBorder="1" applyAlignment="1">
      <alignment horizontal="center" vertical="center" wrapText="1"/>
    </xf>
    <xf numFmtId="0" fontId="11" fillId="34" borderId="1" xfId="0" applyNumberFormat="1" applyFont="1" applyFill="1" applyBorder="1" applyAlignment="1">
      <alignment horizontal="center" vertical="center" wrapText="1"/>
    </xf>
    <xf numFmtId="0" fontId="11" fillId="35" borderId="1" xfId="0" applyNumberFormat="1" applyFont="1" applyFill="1" applyBorder="1" applyAlignment="1">
      <alignment horizontal="center" vertical="center" wrapText="1"/>
    </xf>
    <xf numFmtId="0" fontId="11" fillId="36" borderId="1" xfId="0" applyNumberFormat="1" applyFont="1" applyFill="1" applyBorder="1" applyAlignment="1">
      <alignment horizontal="center" vertical="center" wrapText="1"/>
    </xf>
    <xf numFmtId="0" fontId="11" fillId="37" borderId="1" xfId="0" applyNumberFormat="1" applyFont="1" applyFill="1" applyBorder="1" applyAlignment="1">
      <alignment horizontal="center" vertical="center" wrapText="1"/>
    </xf>
    <xf numFmtId="0" fontId="11" fillId="38" borderId="1" xfId="0" applyNumberFormat="1" applyFont="1" applyFill="1" applyBorder="1" applyAlignment="1">
      <alignment horizontal="center" vertical="center" wrapText="1"/>
    </xf>
    <xf numFmtId="0" fontId="11" fillId="40" borderId="1" xfId="0" applyNumberFormat="1" applyFont="1" applyFill="1" applyBorder="1" applyAlignment="1">
      <alignment horizontal="center" vertical="center" wrapText="1"/>
    </xf>
    <xf numFmtId="0" fontId="11" fillId="41" borderId="1" xfId="0" applyNumberFormat="1" applyFont="1" applyFill="1" applyBorder="1" applyAlignment="1">
      <alignment horizontal="center" vertical="center" wrapText="1"/>
    </xf>
    <xf numFmtId="0" fontId="11" fillId="42" borderId="1" xfId="0" applyNumberFormat="1" applyFont="1" applyFill="1" applyBorder="1" applyAlignment="1">
      <alignment horizontal="center" vertical="center" wrapText="1"/>
    </xf>
    <xf numFmtId="0" fontId="11" fillId="43" borderId="1" xfId="0" applyNumberFormat="1" applyFont="1" applyFill="1" applyBorder="1" applyAlignment="1">
      <alignment horizontal="center" vertical="center" wrapText="1"/>
    </xf>
    <xf numFmtId="0" fontId="11" fillId="44" borderId="1" xfId="0" applyNumberFormat="1" applyFont="1" applyFill="1" applyBorder="1" applyAlignment="1">
      <alignment horizontal="center" vertical="center" wrapText="1"/>
    </xf>
    <xf numFmtId="0" fontId="11" fillId="45" borderId="1" xfId="0" applyNumberFormat="1" applyFont="1" applyFill="1" applyBorder="1" applyAlignment="1">
      <alignment horizontal="center" vertical="center" wrapText="1"/>
    </xf>
    <xf numFmtId="0" fontId="11" fillId="46" borderId="1" xfId="0" applyNumberFormat="1" applyFont="1" applyFill="1" applyBorder="1" applyAlignment="1">
      <alignment horizontal="center" vertical="center" wrapText="1"/>
    </xf>
    <xf numFmtId="0" fontId="11" fillId="47" borderId="1" xfId="0" applyNumberFormat="1" applyFont="1" applyFill="1" applyBorder="1" applyAlignment="1">
      <alignment horizontal="center" vertical="center" wrapText="1"/>
    </xf>
    <xf numFmtId="0" fontId="11" fillId="48" borderId="1" xfId="0" applyNumberFormat="1" applyFont="1" applyFill="1" applyBorder="1" applyAlignment="1">
      <alignment horizontal="center" vertical="center" wrapText="1"/>
    </xf>
    <xf numFmtId="0" fontId="10" fillId="4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48" borderId="1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37" borderId="1" xfId="0" applyNumberFormat="1" applyFont="1" applyFill="1" applyBorder="1" applyAlignment="1">
      <alignment horizontal="center" vertical="center" wrapText="1"/>
    </xf>
    <xf numFmtId="0" fontId="10" fillId="27" borderId="1" xfId="0" applyNumberFormat="1" applyFont="1" applyFill="1" applyBorder="1" applyAlignment="1">
      <alignment horizontal="center" vertical="center" wrapText="1"/>
    </xf>
    <xf numFmtId="0" fontId="10" fillId="25" borderId="1" xfId="0" applyNumberFormat="1" applyFont="1" applyFill="1" applyBorder="1" applyAlignment="1">
      <alignment horizontal="center" vertical="center" wrapText="1"/>
    </xf>
    <xf numFmtId="0" fontId="10" fillId="8" borderId="1" xfId="0" applyNumberFormat="1" applyFont="1" applyFill="1" applyBorder="1" applyAlignment="1">
      <alignment horizontal="center" vertical="center" wrapText="1"/>
    </xf>
    <xf numFmtId="0" fontId="10" fillId="40" borderId="1" xfId="0" applyNumberFormat="1" applyFont="1" applyFill="1" applyBorder="1" applyAlignment="1">
      <alignment horizontal="center" vertical="center" wrapText="1"/>
    </xf>
    <xf numFmtId="0" fontId="10" fillId="41" borderId="1" xfId="0" applyNumberFormat="1" applyFont="1" applyFill="1" applyBorder="1" applyAlignment="1">
      <alignment horizontal="center" vertical="center" wrapText="1"/>
    </xf>
    <xf numFmtId="0" fontId="10" fillId="21" borderId="1" xfId="0" applyNumberFormat="1" applyFont="1" applyFill="1" applyBorder="1" applyAlignment="1">
      <alignment horizontal="center" vertical="center" wrapText="1"/>
    </xf>
    <xf numFmtId="0" fontId="10" fillId="19" borderId="1" xfId="0" applyNumberFormat="1" applyFont="1" applyFill="1" applyBorder="1" applyAlignment="1">
      <alignment horizontal="center" vertical="center" wrapText="1"/>
    </xf>
    <xf numFmtId="0" fontId="10" fillId="20" borderId="1" xfId="0" applyNumberFormat="1" applyFont="1" applyFill="1" applyBorder="1" applyAlignment="1">
      <alignment horizontal="center" vertical="center" wrapText="1"/>
    </xf>
    <xf numFmtId="0" fontId="10" fillId="9" borderId="1" xfId="0" applyNumberFormat="1" applyFont="1" applyFill="1" applyBorder="1" applyAlignment="1">
      <alignment horizontal="center" vertical="center" wrapText="1"/>
    </xf>
    <xf numFmtId="0" fontId="10" fillId="34" borderId="1" xfId="0" applyNumberFormat="1" applyFont="1" applyFill="1" applyBorder="1" applyAlignment="1">
      <alignment horizontal="center" vertical="center" wrapText="1"/>
    </xf>
    <xf numFmtId="0" fontId="10" fillId="10" borderId="1" xfId="0" applyNumberFormat="1" applyFont="1" applyFill="1" applyBorder="1" applyAlignment="1">
      <alignment horizontal="center" vertical="center" wrapText="1"/>
    </xf>
    <xf numFmtId="0" fontId="10" fillId="22" borderId="1" xfId="0" applyNumberFormat="1" applyFont="1" applyFill="1" applyBorder="1" applyAlignment="1">
      <alignment horizontal="center" vertical="center" wrapText="1"/>
    </xf>
    <xf numFmtId="0" fontId="10" fillId="35" borderId="1" xfId="0" applyNumberFormat="1" applyFont="1" applyFill="1" applyBorder="1" applyAlignment="1">
      <alignment horizontal="center" vertical="center" wrapText="1"/>
    </xf>
    <xf numFmtId="0" fontId="10" fillId="24" borderId="1" xfId="0" applyNumberFormat="1" applyFont="1" applyFill="1" applyBorder="1" applyAlignment="1">
      <alignment horizontal="center" vertical="center" wrapText="1"/>
    </xf>
    <xf numFmtId="0" fontId="10" fillId="28" borderId="1" xfId="0" applyNumberFormat="1" applyFont="1" applyFill="1" applyBorder="1" applyAlignment="1">
      <alignment horizontal="center" vertical="center" wrapText="1"/>
    </xf>
    <xf numFmtId="0" fontId="10" fillId="36" borderId="1" xfId="0" applyNumberFormat="1" applyFont="1" applyFill="1" applyBorder="1" applyAlignment="1">
      <alignment horizontal="center" vertical="center" wrapText="1"/>
    </xf>
    <xf numFmtId="0" fontId="10" fillId="12" borderId="1" xfId="0" applyNumberFormat="1" applyFont="1" applyFill="1" applyBorder="1" applyAlignment="1">
      <alignment horizontal="center" vertical="center" wrapText="1"/>
    </xf>
    <xf numFmtId="0" fontId="10" fillId="23" borderId="1" xfId="0" applyNumberFormat="1" applyFont="1" applyFill="1" applyBorder="1" applyAlignment="1">
      <alignment horizontal="center" vertical="center" wrapText="1"/>
    </xf>
    <xf numFmtId="0" fontId="10" fillId="5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2" fillId="50" borderId="0" xfId="0" applyNumberFormat="1" applyFont="1" applyFill="1" applyBorder="1" applyAlignment="1">
      <alignment wrapText="1"/>
    </xf>
    <xf numFmtId="0" fontId="0" fillId="49" borderId="0" xfId="0" applyNumberFormat="1" applyFont="1" applyFill="1" applyBorder="1"/>
    <xf numFmtId="0" fontId="4" fillId="49" borderId="0" xfId="0" applyNumberFormat="1" applyFont="1" applyFill="1" applyBorder="1"/>
    <xf numFmtId="0" fontId="0" fillId="4" borderId="0" xfId="0" applyNumberFormat="1" applyFont="1" applyFill="1" applyBorder="1"/>
    <xf numFmtId="0" fontId="4" fillId="4" borderId="0" xfId="0" applyNumberFormat="1" applyFont="1" applyFill="1" applyBorder="1"/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0" fillId="6" borderId="0" xfId="0" applyNumberFormat="1" applyFont="1" applyFill="1" applyBorder="1"/>
    <xf numFmtId="0" fontId="4" fillId="6" borderId="0" xfId="0" applyNumberFormat="1" applyFont="1" applyFill="1" applyBorder="1"/>
    <xf numFmtId="0" fontId="0" fillId="7" borderId="0" xfId="0" applyNumberFormat="1" applyFont="1" applyFill="1" applyBorder="1"/>
    <xf numFmtId="0" fontId="4" fillId="7" borderId="0" xfId="0" applyNumberFormat="1" applyFont="1" applyFill="1" applyBorder="1"/>
    <xf numFmtId="0" fontId="0" fillId="8" borderId="0" xfId="0" applyNumberFormat="1" applyFont="1" applyFill="1" applyBorder="1"/>
    <xf numFmtId="0" fontId="4" fillId="8" borderId="0" xfId="0" applyNumberFormat="1" applyFont="1" applyFill="1" applyBorder="1"/>
    <xf numFmtId="0" fontId="0" fillId="9" borderId="0" xfId="0" applyNumberFormat="1" applyFont="1" applyFill="1" applyBorder="1"/>
    <xf numFmtId="0" fontId="4" fillId="9" borderId="0" xfId="0" applyNumberFormat="1" applyFont="1" applyFill="1" applyBorder="1"/>
    <xf numFmtId="0" fontId="0" fillId="10" borderId="0" xfId="0" applyNumberFormat="1" applyFont="1" applyFill="1" applyBorder="1"/>
    <xf numFmtId="0" fontId="4" fillId="10" borderId="0" xfId="0" applyNumberFormat="1" applyFont="1" applyFill="1" applyBorder="1"/>
    <xf numFmtId="0" fontId="0" fillId="11" borderId="0" xfId="0" applyNumberFormat="1" applyFont="1" applyFill="1" applyBorder="1"/>
    <xf numFmtId="0" fontId="4" fillId="11" borderId="0" xfId="0" applyNumberFormat="1" applyFont="1" applyFill="1" applyBorder="1"/>
    <xf numFmtId="0" fontId="0" fillId="12" borderId="0" xfId="0" applyNumberFormat="1" applyFont="1" applyFill="1" applyBorder="1"/>
    <xf numFmtId="0" fontId="4" fillId="12" borderId="0" xfId="0" applyNumberFormat="1" applyFont="1" applyFill="1" applyBorder="1"/>
    <xf numFmtId="0" fontId="0" fillId="13" borderId="0" xfId="0" applyNumberFormat="1" applyFont="1" applyFill="1" applyBorder="1"/>
    <xf numFmtId="0" fontId="4" fillId="13" borderId="0" xfId="0" applyNumberFormat="1" applyFont="1" applyFill="1" applyBorder="1"/>
    <xf numFmtId="0" fontId="0" fillId="14" borderId="0" xfId="0" applyNumberFormat="1" applyFont="1" applyFill="1" applyBorder="1"/>
    <xf numFmtId="0" fontId="4" fillId="14" borderId="0" xfId="0" applyNumberFormat="1" applyFont="1" applyFill="1" applyBorder="1"/>
    <xf numFmtId="0" fontId="0" fillId="15" borderId="0" xfId="0" applyNumberFormat="1" applyFont="1" applyFill="1" applyBorder="1"/>
    <xf numFmtId="0" fontId="4" fillId="15" borderId="0" xfId="0" applyNumberFormat="1" applyFont="1" applyFill="1" applyBorder="1"/>
    <xf numFmtId="0" fontId="0" fillId="16" borderId="0" xfId="0" applyNumberFormat="1" applyFont="1" applyFill="1" applyBorder="1"/>
    <xf numFmtId="0" fontId="4" fillId="16" borderId="0" xfId="0" applyNumberFormat="1" applyFont="1" applyFill="1" applyBorder="1"/>
    <xf numFmtId="0" fontId="0" fillId="17" borderId="0" xfId="0" applyNumberFormat="1" applyFont="1" applyFill="1" applyBorder="1"/>
    <xf numFmtId="0" fontId="4" fillId="17" borderId="0" xfId="0" applyNumberFormat="1" applyFont="1" applyFill="1" applyBorder="1"/>
    <xf numFmtId="0" fontId="0" fillId="18" borderId="0" xfId="0" applyNumberFormat="1" applyFont="1" applyFill="1" applyBorder="1"/>
    <xf numFmtId="0" fontId="4" fillId="18" borderId="0" xfId="0" applyNumberFormat="1" applyFont="1" applyFill="1" applyBorder="1"/>
    <xf numFmtId="0" fontId="0" fillId="19" borderId="0" xfId="0" applyNumberFormat="1" applyFont="1" applyFill="1" applyBorder="1"/>
    <xf numFmtId="0" fontId="4" fillId="19" borderId="0" xfId="0" applyNumberFormat="1" applyFont="1" applyFill="1" applyBorder="1"/>
    <xf numFmtId="0" fontId="0" fillId="20" borderId="0" xfId="0" applyNumberFormat="1" applyFont="1" applyFill="1" applyBorder="1"/>
    <xf numFmtId="0" fontId="4" fillId="20" borderId="0" xfId="0" applyNumberFormat="1" applyFont="1" applyFill="1" applyBorder="1"/>
    <xf numFmtId="0" fontId="0" fillId="21" borderId="0" xfId="0" applyNumberFormat="1" applyFont="1" applyFill="1" applyBorder="1"/>
    <xf numFmtId="0" fontId="4" fillId="21" borderId="0" xfId="0" applyNumberFormat="1" applyFont="1" applyFill="1" applyBorder="1"/>
    <xf numFmtId="0" fontId="0" fillId="22" borderId="0" xfId="0" applyNumberFormat="1" applyFont="1" applyFill="1" applyBorder="1"/>
    <xf numFmtId="0" fontId="4" fillId="22" borderId="0" xfId="0" applyNumberFormat="1" applyFont="1" applyFill="1" applyBorder="1"/>
    <xf numFmtId="0" fontId="0" fillId="23" borderId="0" xfId="0" applyNumberFormat="1" applyFont="1" applyFill="1" applyBorder="1"/>
    <xf numFmtId="0" fontId="4" fillId="23" borderId="0" xfId="0" applyNumberFormat="1" applyFont="1" applyFill="1" applyBorder="1"/>
    <xf numFmtId="0" fontId="0" fillId="24" borderId="0" xfId="0" applyNumberFormat="1" applyFont="1" applyFill="1" applyBorder="1"/>
    <xf numFmtId="0" fontId="4" fillId="24" borderId="0" xfId="0" applyNumberFormat="1" applyFont="1" applyFill="1" applyBorder="1"/>
    <xf numFmtId="0" fontId="0" fillId="25" borderId="0" xfId="0" applyNumberFormat="1" applyFont="1" applyFill="1" applyBorder="1"/>
    <xf numFmtId="0" fontId="4" fillId="25" borderId="0" xfId="0" applyNumberFormat="1" applyFont="1" applyFill="1" applyBorder="1"/>
    <xf numFmtId="0" fontId="0" fillId="26" borderId="0" xfId="0" applyNumberFormat="1" applyFont="1" applyFill="1" applyBorder="1"/>
    <xf numFmtId="0" fontId="4" fillId="26" borderId="0" xfId="0" applyNumberFormat="1" applyFont="1" applyFill="1" applyBorder="1"/>
    <xf numFmtId="0" fontId="0" fillId="27" borderId="0" xfId="0" applyNumberFormat="1" applyFont="1" applyFill="1" applyBorder="1"/>
    <xf numFmtId="0" fontId="4" fillId="27" borderId="0" xfId="0" applyNumberFormat="1" applyFont="1" applyFill="1" applyBorder="1"/>
    <xf numFmtId="0" fontId="0" fillId="28" borderId="0" xfId="0" applyNumberFormat="1" applyFont="1" applyFill="1" applyBorder="1"/>
    <xf numFmtId="0" fontId="4" fillId="28" borderId="0" xfId="0" applyNumberFormat="1" applyFont="1" applyFill="1" applyBorder="1"/>
    <xf numFmtId="0" fontId="0" fillId="29" borderId="0" xfId="0" applyNumberFormat="1" applyFont="1" applyFill="1" applyBorder="1"/>
    <xf numFmtId="0" fontId="4" fillId="29" borderId="0" xfId="0" applyNumberFormat="1" applyFont="1" applyFill="1" applyBorder="1"/>
    <xf numFmtId="0" fontId="0" fillId="30" borderId="0" xfId="0" applyNumberFormat="1" applyFont="1" applyFill="1" applyBorder="1"/>
    <xf numFmtId="0" fontId="4" fillId="30" borderId="0" xfId="0" applyNumberFormat="1" applyFont="1" applyFill="1" applyBorder="1"/>
    <xf numFmtId="0" fontId="0" fillId="31" borderId="0" xfId="0" applyNumberFormat="1" applyFont="1" applyFill="1" applyBorder="1"/>
    <xf numFmtId="0" fontId="4" fillId="31" borderId="0" xfId="0" applyNumberFormat="1" applyFont="1" applyFill="1" applyBorder="1"/>
    <xf numFmtId="0" fontId="0" fillId="32" borderId="0" xfId="0" applyNumberFormat="1" applyFont="1" applyFill="1" applyBorder="1"/>
    <xf numFmtId="0" fontId="4" fillId="32" borderId="0" xfId="0" applyNumberFormat="1" applyFont="1" applyFill="1" applyBorder="1"/>
    <xf numFmtId="0" fontId="0" fillId="33" borderId="0" xfId="0" applyNumberFormat="1" applyFont="1" applyFill="1" applyBorder="1"/>
    <xf numFmtId="0" fontId="4" fillId="33" borderId="0" xfId="0" applyNumberFormat="1" applyFont="1" applyFill="1" applyBorder="1"/>
    <xf numFmtId="0" fontId="0" fillId="34" borderId="0" xfId="0" applyNumberFormat="1" applyFont="1" applyFill="1" applyBorder="1"/>
    <xf numFmtId="0" fontId="4" fillId="34" borderId="0" xfId="0" applyNumberFormat="1" applyFont="1" applyFill="1" applyBorder="1"/>
    <xf numFmtId="0" fontId="0" fillId="35" borderId="0" xfId="0" applyNumberFormat="1" applyFont="1" applyFill="1" applyBorder="1"/>
    <xf numFmtId="0" fontId="4" fillId="35" borderId="0" xfId="0" applyNumberFormat="1" applyFont="1" applyFill="1" applyBorder="1"/>
    <xf numFmtId="0" fontId="0" fillId="36" borderId="0" xfId="0" applyNumberFormat="1" applyFont="1" applyFill="1" applyBorder="1"/>
    <xf numFmtId="0" fontId="4" fillId="36" borderId="0" xfId="0" applyNumberFormat="1" applyFont="1" applyFill="1" applyBorder="1"/>
    <xf numFmtId="0" fontId="0" fillId="37" borderId="0" xfId="0" applyNumberFormat="1" applyFont="1" applyFill="1" applyBorder="1"/>
    <xf numFmtId="0" fontId="4" fillId="37" borderId="0" xfId="0" applyNumberFormat="1" applyFont="1" applyFill="1" applyBorder="1"/>
    <xf numFmtId="0" fontId="0" fillId="38" borderId="0" xfId="0" applyNumberFormat="1" applyFont="1" applyFill="1" applyBorder="1"/>
    <xf numFmtId="0" fontId="4" fillId="38" borderId="0" xfId="0" applyNumberFormat="1" applyFont="1" applyFill="1" applyBorder="1"/>
    <xf numFmtId="0" fontId="0" fillId="39" borderId="0" xfId="0" applyNumberFormat="1" applyFont="1" applyFill="1" applyBorder="1"/>
    <xf numFmtId="0" fontId="4" fillId="39" borderId="0" xfId="0" applyNumberFormat="1" applyFont="1" applyFill="1" applyBorder="1"/>
    <xf numFmtId="0" fontId="0" fillId="40" borderId="0" xfId="0" applyNumberFormat="1" applyFont="1" applyFill="1" applyBorder="1"/>
    <xf numFmtId="0" fontId="4" fillId="40" borderId="0" xfId="0" applyNumberFormat="1" applyFont="1" applyFill="1" applyBorder="1"/>
    <xf numFmtId="0" fontId="0" fillId="41" borderId="0" xfId="0" applyNumberFormat="1" applyFont="1" applyFill="1" applyBorder="1"/>
    <xf numFmtId="0" fontId="4" fillId="41" borderId="0" xfId="0" applyNumberFormat="1" applyFont="1" applyFill="1" applyBorder="1"/>
    <xf numFmtId="0" fontId="0" fillId="42" borderId="0" xfId="0" applyNumberFormat="1" applyFont="1" applyFill="1" applyBorder="1"/>
    <xf numFmtId="0" fontId="4" fillId="42" borderId="0" xfId="0" applyNumberFormat="1" applyFont="1" applyFill="1" applyBorder="1"/>
    <xf numFmtId="0" fontId="0" fillId="43" borderId="0" xfId="0" applyNumberFormat="1" applyFont="1" applyFill="1" applyBorder="1"/>
    <xf numFmtId="0" fontId="4" fillId="43" borderId="0" xfId="0" applyNumberFormat="1" applyFont="1" applyFill="1" applyBorder="1"/>
    <xf numFmtId="0" fontId="0" fillId="44" borderId="0" xfId="0" applyNumberFormat="1" applyFont="1" applyFill="1" applyBorder="1"/>
    <xf numFmtId="0" fontId="4" fillId="44" borderId="0" xfId="0" applyNumberFormat="1" applyFont="1" applyFill="1" applyBorder="1"/>
    <xf numFmtId="0" fontId="0" fillId="45" borderId="0" xfId="0" applyNumberFormat="1" applyFont="1" applyFill="1" applyBorder="1"/>
    <xf numFmtId="0" fontId="4" fillId="45" borderId="0" xfId="0" applyNumberFormat="1" applyFont="1" applyFill="1" applyBorder="1"/>
    <xf numFmtId="0" fontId="0" fillId="46" borderId="0" xfId="0" applyNumberFormat="1" applyFont="1" applyFill="1" applyBorder="1"/>
    <xf numFmtId="0" fontId="4" fillId="46" borderId="0" xfId="0" applyNumberFormat="1" applyFont="1" applyFill="1" applyBorder="1"/>
    <xf numFmtId="0" fontId="0" fillId="47" borderId="0" xfId="0" applyNumberFormat="1" applyFont="1" applyFill="1" applyBorder="1"/>
    <xf numFmtId="0" fontId="4" fillId="47" borderId="0" xfId="0" applyNumberFormat="1" applyFont="1" applyFill="1" applyBorder="1"/>
    <xf numFmtId="0" fontId="0" fillId="48" borderId="0" xfId="0" applyNumberFormat="1" applyFont="1" applyFill="1" applyBorder="1"/>
    <xf numFmtId="0" fontId="4" fillId="48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vertical="center" wrapText="1"/>
    </xf>
    <xf numFmtId="0" fontId="4" fillId="51" borderId="0" xfId="0" applyNumberFormat="1" applyFont="1" applyFill="1" applyBorder="1"/>
    <xf numFmtId="0" fontId="0" fillId="51" borderId="0" xfId="0" applyNumberFormat="1" applyFont="1" applyFill="1" applyBorder="1"/>
    <xf numFmtId="0" fontId="0" fillId="0" borderId="0" xfId="0" applyAlignment="1">
      <alignment wrapText="1"/>
    </xf>
    <xf numFmtId="0" fontId="0" fillId="51" borderId="0" xfId="0" applyFill="1" applyAlignment="1">
      <alignment wrapText="1"/>
    </xf>
    <xf numFmtId="0" fontId="13" fillId="0" borderId="1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left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49" fontId="11" fillId="53" borderId="1" xfId="0" applyNumberFormat="1" applyFont="1" applyFill="1" applyBorder="1" applyAlignment="1">
      <alignment horizontal="center" vertical="center" wrapText="1"/>
    </xf>
    <xf numFmtId="1" fontId="13" fillId="0" borderId="1" xfId="0" applyNumberFormat="1" applyFont="1" applyFill="1" applyBorder="1" applyAlignment="1">
      <alignment horizontal="center" vertical="center" wrapText="1"/>
    </xf>
    <xf numFmtId="164" fontId="13" fillId="0" borderId="1" xfId="0" applyNumberFormat="1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3" fillId="52" borderId="1" xfId="0" applyFont="1" applyFill="1" applyBorder="1" applyAlignment="1">
      <alignment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1" fontId="4" fillId="55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left" vertical="center" wrapText="1"/>
    </xf>
    <xf numFmtId="1" fontId="18" fillId="0" borderId="1" xfId="0" applyNumberFormat="1" applyFont="1" applyFill="1" applyBorder="1" applyAlignment="1">
      <alignment horizontal="center" vertical="center" wrapText="1"/>
    </xf>
    <xf numFmtId="0" fontId="4" fillId="40" borderId="1" xfId="0" applyNumberFormat="1" applyFont="1" applyFill="1" applyBorder="1" applyAlignment="1">
      <alignment horizontal="center" vertical="center"/>
    </xf>
    <xf numFmtId="0" fontId="4" fillId="41" borderId="1" xfId="0" applyNumberFormat="1" applyFont="1" applyFill="1" applyBorder="1" applyAlignment="1">
      <alignment horizontal="center" vertical="center"/>
    </xf>
    <xf numFmtId="0" fontId="4" fillId="42" borderId="1" xfId="0" applyNumberFormat="1" applyFont="1" applyFill="1" applyBorder="1" applyAlignment="1">
      <alignment horizontal="center" vertical="center"/>
    </xf>
    <xf numFmtId="0" fontId="4" fillId="43" borderId="1" xfId="0" applyNumberFormat="1" applyFont="1" applyFill="1" applyBorder="1" applyAlignment="1">
      <alignment horizontal="center" vertical="center"/>
    </xf>
    <xf numFmtId="0" fontId="4" fillId="44" borderId="1" xfId="0" applyNumberFormat="1" applyFont="1" applyFill="1" applyBorder="1" applyAlignment="1">
      <alignment horizontal="center" vertical="center"/>
    </xf>
    <xf numFmtId="0" fontId="4" fillId="45" borderId="1" xfId="0" applyNumberFormat="1" applyFont="1" applyFill="1" applyBorder="1" applyAlignment="1">
      <alignment horizontal="center" vertical="center"/>
    </xf>
    <xf numFmtId="0" fontId="4" fillId="46" borderId="1" xfId="0" applyNumberFormat="1" applyFont="1" applyFill="1" applyBorder="1" applyAlignment="1">
      <alignment horizontal="center" vertical="center"/>
    </xf>
    <xf numFmtId="0" fontId="4" fillId="47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5" fillId="30" borderId="1" xfId="0" applyNumberFormat="1" applyFont="1" applyFill="1" applyBorder="1" applyAlignment="1">
      <alignment horizontal="center" vertical="center" wrapText="1"/>
    </xf>
    <xf numFmtId="0" fontId="16" fillId="30" borderId="1" xfId="0" applyNumberFormat="1" applyFont="1" applyFill="1" applyBorder="1" applyAlignment="1">
      <alignment horizontal="center" vertical="center" wrapText="1"/>
    </xf>
    <xf numFmtId="0" fontId="15" fillId="31" borderId="1" xfId="0" applyNumberFormat="1" applyFont="1" applyFill="1" applyBorder="1" applyAlignment="1">
      <alignment horizontal="center" vertical="center" wrapText="1"/>
    </xf>
    <xf numFmtId="0" fontId="16" fillId="31" borderId="1" xfId="0" applyNumberFormat="1" applyFont="1" applyFill="1" applyBorder="1" applyAlignment="1">
      <alignment horizontal="center" vertical="center" wrapText="1"/>
    </xf>
    <xf numFmtId="0" fontId="15" fillId="32" borderId="1" xfId="0" applyNumberFormat="1" applyFont="1" applyFill="1" applyBorder="1" applyAlignment="1">
      <alignment horizontal="center" vertical="center" wrapText="1"/>
    </xf>
    <xf numFmtId="0" fontId="16" fillId="32" borderId="1" xfId="0" applyNumberFormat="1" applyFont="1" applyFill="1" applyBorder="1" applyAlignment="1">
      <alignment horizontal="center" vertical="center" wrapText="1"/>
    </xf>
    <xf numFmtId="0" fontId="15" fillId="33" borderId="1" xfId="0" applyNumberFormat="1" applyFont="1" applyFill="1" applyBorder="1" applyAlignment="1">
      <alignment horizontal="center" vertical="center" wrapText="1"/>
    </xf>
    <xf numFmtId="0" fontId="15" fillId="52" borderId="1" xfId="0" applyNumberFormat="1" applyFont="1" applyFill="1" applyBorder="1" applyAlignment="1">
      <alignment horizontal="center" vertical="center" wrapText="1"/>
    </xf>
    <xf numFmtId="164" fontId="0" fillId="0" borderId="8" xfId="0" applyNumberFormat="1" applyFill="1" applyBorder="1" applyAlignment="1">
      <alignment horizontal="center" vertical="center" wrapText="1"/>
    </xf>
    <xf numFmtId="1" fontId="1" fillId="54" borderId="1" xfId="0" applyNumberFormat="1" applyFont="1" applyFill="1" applyBorder="1" applyAlignment="1">
      <alignment horizontal="center" vertical="center" wrapText="1"/>
    </xf>
    <xf numFmtId="164" fontId="0" fillId="0" borderId="2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2" fontId="13" fillId="0" borderId="1" xfId="0" applyNumberFormat="1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1" fillId="56" borderId="1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1" fillId="0" borderId="3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49" fontId="0" fillId="0" borderId="3" xfId="0" applyNumberFormat="1" applyFill="1" applyBorder="1" applyAlignment="1">
      <alignment horizontal="center" vertical="center" wrapText="1"/>
    </xf>
    <xf numFmtId="49" fontId="0" fillId="0" borderId="4" xfId="0" applyNumberForma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49" fontId="0" fillId="0" borderId="7" xfId="0" applyNumberForma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" fontId="0" fillId="0" borderId="11" xfId="0" applyNumberFormat="1" applyFill="1" applyBorder="1" applyAlignment="1">
      <alignment horizontal="center" vertical="center" wrapText="1"/>
    </xf>
    <xf numFmtId="1" fontId="0" fillId="0" borderId="13" xfId="0" applyNumberFormat="1" applyFill="1" applyBorder="1" applyAlignment="1">
      <alignment horizontal="center" vertical="center" wrapText="1"/>
    </xf>
    <xf numFmtId="1" fontId="0" fillId="0" borderId="14" xfId="0" applyNumberFormat="1" applyFill="1" applyBorder="1" applyAlignment="1">
      <alignment horizontal="center" vertical="center" wrapText="1"/>
    </xf>
    <xf numFmtId="1" fontId="0" fillId="0" borderId="15" xfId="0" applyNumberFormat="1" applyFill="1" applyBorder="1" applyAlignment="1">
      <alignment horizontal="center" vertical="center" wrapText="1"/>
    </xf>
    <xf numFmtId="1" fontId="0" fillId="0" borderId="8" xfId="0" applyNumberFormat="1" applyFill="1" applyBorder="1" applyAlignment="1">
      <alignment horizontal="center" vertical="center" wrapText="1"/>
    </xf>
    <xf numFmtId="1" fontId="0" fillId="0" borderId="10" xfId="0" applyNumberFormat="1" applyFill="1" applyBorder="1" applyAlignment="1">
      <alignment horizontal="center" vertical="center" wrapText="1"/>
    </xf>
    <xf numFmtId="1" fontId="0" fillId="0" borderId="2" xfId="0" applyNumberFormat="1" applyFill="1" applyBorder="1" applyAlignment="1">
      <alignment horizontal="center" vertical="center" wrapText="1"/>
    </xf>
    <xf numFmtId="1" fontId="0" fillId="0" borderId="6" xfId="0" applyNumberFormat="1" applyFill="1" applyBorder="1" applyAlignment="1">
      <alignment horizontal="center" vertical="center" wrapText="1"/>
    </xf>
    <xf numFmtId="164" fontId="0" fillId="0" borderId="2" xfId="0" applyNumberFormat="1" applyFill="1" applyBorder="1" applyAlignment="1">
      <alignment horizontal="center" vertical="center" wrapText="1"/>
    </xf>
    <xf numFmtId="164" fontId="0" fillId="0" borderId="5" xfId="0" applyNumberFormat="1" applyFill="1" applyBorder="1" applyAlignment="1">
      <alignment horizontal="center" vertical="center" wrapText="1"/>
    </xf>
    <xf numFmtId="164" fontId="0" fillId="0" borderId="6" xfId="0" applyNumberForma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 wrapText="1"/>
    </xf>
    <xf numFmtId="1" fontId="4" fillId="0" borderId="3" xfId="0" applyNumberFormat="1" applyFont="1" applyFill="1" applyBorder="1" applyAlignment="1">
      <alignment horizontal="center" vertical="center" wrapText="1"/>
    </xf>
    <xf numFmtId="1" fontId="4" fillId="0" borderId="7" xfId="0" applyNumberFormat="1" applyFont="1" applyFill="1" applyBorder="1" applyAlignment="1">
      <alignment horizontal="center" vertical="center" wrapText="1"/>
    </xf>
    <xf numFmtId="1" fontId="4" fillId="0" borderId="4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mruColors>
      <color rgb="FFEDB3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1"/>
  <sheetViews>
    <sheetView topLeftCell="B151" zoomScale="85" zoomScaleNormal="85" workbookViewId="0">
      <selection activeCell="R164" sqref="R164"/>
    </sheetView>
  </sheetViews>
  <sheetFormatPr defaultRowHeight="15" x14ac:dyDescent="0.25"/>
  <cols>
    <col min="1" max="1" width="4.42578125" style="4" hidden="1" customWidth="1"/>
    <col min="2" max="2" width="5.5703125" style="11" customWidth="1"/>
    <col min="3" max="3" width="7" style="11" customWidth="1"/>
    <col min="4" max="4" width="34.5703125" style="4" customWidth="1"/>
    <col min="5" max="5" width="7.140625" style="12" customWidth="1"/>
    <col min="6" max="6" width="8.28515625" style="12" customWidth="1"/>
    <col min="7" max="7" width="7.140625" style="12" customWidth="1"/>
    <col min="8" max="8" width="7.7109375" style="12" customWidth="1"/>
    <col min="9" max="9" width="6.85546875" style="12" customWidth="1"/>
    <col min="10" max="10" width="15.7109375" style="13" customWidth="1"/>
    <col min="11" max="11" width="16.7109375" style="13" customWidth="1"/>
    <col min="12" max="12" width="8.7109375" style="13" customWidth="1"/>
    <col min="13" max="13" width="8.42578125" style="13" customWidth="1"/>
    <col min="14" max="15" width="7.42578125" style="13" customWidth="1"/>
    <col min="16" max="16" width="13.5703125" style="16" customWidth="1"/>
    <col min="17" max="17" width="15.28515625" style="16" customWidth="1"/>
    <col min="18" max="18" width="7.28515625" style="4" customWidth="1"/>
    <col min="19" max="20" width="9.140625" style="4" customWidth="1"/>
    <col min="21" max="21" width="6.140625" style="4" customWidth="1"/>
    <col min="22" max="22" width="64.42578125" style="4" customWidth="1"/>
    <col min="23" max="23" width="19.7109375" style="4" customWidth="1"/>
    <col min="24" max="16384" width="9.140625" style="4"/>
  </cols>
  <sheetData>
    <row r="1" spans="1:24" ht="18.75" customHeight="1" x14ac:dyDescent="0.25">
      <c r="A1" s="25"/>
      <c r="B1" s="8"/>
      <c r="C1" s="217" t="s">
        <v>0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U1" s="222" t="s">
        <v>395</v>
      </c>
    </row>
    <row r="2" spans="1:24" ht="27.6" customHeight="1" x14ac:dyDescent="0.25">
      <c r="A2" s="25"/>
      <c r="B2" s="8"/>
      <c r="C2" s="262" t="s">
        <v>1</v>
      </c>
      <c r="D2" s="262" t="s">
        <v>2</v>
      </c>
      <c r="E2" s="265" t="s">
        <v>3</v>
      </c>
      <c r="F2" s="265" t="s">
        <v>4</v>
      </c>
      <c r="G2" s="265" t="s">
        <v>5</v>
      </c>
      <c r="H2" s="265" t="s">
        <v>6</v>
      </c>
      <c r="I2" s="265" t="s">
        <v>7</v>
      </c>
      <c r="J2" s="271" t="s">
        <v>8</v>
      </c>
      <c r="K2" s="268"/>
      <c r="L2" s="271" t="s">
        <v>9</v>
      </c>
      <c r="M2" s="268"/>
      <c r="N2" s="267" t="s">
        <v>10</v>
      </c>
      <c r="O2" s="268"/>
      <c r="P2" s="272" t="s">
        <v>11</v>
      </c>
      <c r="Q2" s="262" t="s">
        <v>383</v>
      </c>
      <c r="U2" s="223" t="s">
        <v>394</v>
      </c>
    </row>
    <row r="3" spans="1:24" s="5" customFormat="1" ht="16.350000000000001" customHeight="1" x14ac:dyDescent="0.25">
      <c r="A3" s="3"/>
      <c r="B3" s="39"/>
      <c r="C3" s="263"/>
      <c r="D3" s="263"/>
      <c r="E3" s="266"/>
      <c r="F3" s="266"/>
      <c r="G3" s="266"/>
      <c r="H3" s="266"/>
      <c r="I3" s="266"/>
      <c r="J3" s="39" t="s">
        <v>12</v>
      </c>
      <c r="K3" s="39" t="s">
        <v>13</v>
      </c>
      <c r="L3" s="39" t="s">
        <v>12</v>
      </c>
      <c r="M3" s="39" t="s">
        <v>14</v>
      </c>
      <c r="N3" s="211" t="s">
        <v>12</v>
      </c>
      <c r="O3" s="211" t="s">
        <v>14</v>
      </c>
      <c r="P3" s="263"/>
      <c r="Q3" s="263"/>
      <c r="U3" s="54" t="s">
        <v>26</v>
      </c>
      <c r="V3" s="25" t="s">
        <v>23</v>
      </c>
      <c r="W3" s="7">
        <f>L8</f>
        <v>2190</v>
      </c>
    </row>
    <row r="4" spans="1:24" ht="21" customHeight="1" x14ac:dyDescent="0.25">
      <c r="A4" s="25"/>
      <c r="B4" s="42" t="s">
        <v>15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1"/>
      <c r="Q4" s="41"/>
      <c r="U4" s="55" t="s">
        <v>290</v>
      </c>
      <c r="V4" s="25" t="s">
        <v>338</v>
      </c>
      <c r="W4" s="7">
        <f>SUM(M155:M157)</f>
        <v>3320</v>
      </c>
    </row>
    <row r="5" spans="1:24" x14ac:dyDescent="0.25">
      <c r="A5" s="25"/>
      <c r="B5" s="25"/>
      <c r="C5" s="28" t="s">
        <v>16</v>
      </c>
      <c r="D5" s="25" t="s">
        <v>17</v>
      </c>
      <c r="E5" s="18"/>
      <c r="F5" s="18"/>
      <c r="G5" s="23">
        <v>10.1</v>
      </c>
      <c r="H5" s="18">
        <f>G5*2.65</f>
        <v>26.764999999999997</v>
      </c>
      <c r="I5" s="29"/>
      <c r="J5" s="7" t="s">
        <v>18</v>
      </c>
      <c r="K5" s="7" t="s">
        <v>18</v>
      </c>
      <c r="L5" s="8" t="s">
        <v>18</v>
      </c>
      <c r="M5" s="8" t="s">
        <v>18</v>
      </c>
      <c r="N5" s="8"/>
      <c r="O5" s="8"/>
      <c r="P5" s="32"/>
      <c r="Q5" s="9" t="s">
        <v>382</v>
      </c>
      <c r="U5" s="56" t="s">
        <v>136</v>
      </c>
      <c r="V5" s="25" t="s">
        <v>133</v>
      </c>
      <c r="W5" s="7">
        <f>L55</f>
        <v>3190</v>
      </c>
    </row>
    <row r="6" spans="1:24" x14ac:dyDescent="0.25">
      <c r="A6" s="25"/>
      <c r="B6" s="25"/>
      <c r="C6" s="28" t="s">
        <v>19</v>
      </c>
      <c r="D6" s="25" t="s">
        <v>20</v>
      </c>
      <c r="E6" s="18"/>
      <c r="F6" s="18"/>
      <c r="G6" s="23">
        <v>4.5999999999999996</v>
      </c>
      <c r="H6" s="18">
        <f t="shared" ref="H6:H20" si="0">G6*2.65</f>
        <v>12.19</v>
      </c>
      <c r="I6" s="29"/>
      <c r="J6" s="7" t="s">
        <v>18</v>
      </c>
      <c r="K6" s="7" t="s">
        <v>18</v>
      </c>
      <c r="L6" s="8" t="s">
        <v>18</v>
      </c>
      <c r="M6" s="8" t="s">
        <v>18</v>
      </c>
      <c r="N6" s="8" t="s">
        <v>18</v>
      </c>
      <c r="O6" s="8"/>
      <c r="P6" s="32"/>
      <c r="Q6" s="218" t="s">
        <v>387</v>
      </c>
      <c r="U6" s="57" t="s">
        <v>140</v>
      </c>
      <c r="V6" s="25" t="s">
        <v>340</v>
      </c>
      <c r="W6" s="7">
        <f>SUM(L56,L60,L61,L63,L65,L68)</f>
        <v>8685</v>
      </c>
    </row>
    <row r="7" spans="1:24" x14ac:dyDescent="0.25">
      <c r="A7" s="25"/>
      <c r="B7" s="25"/>
      <c r="C7" s="28" t="s">
        <v>21</v>
      </c>
      <c r="D7" s="25" t="s">
        <v>17</v>
      </c>
      <c r="E7" s="18"/>
      <c r="F7" s="18"/>
      <c r="G7" s="23">
        <v>7.3</v>
      </c>
      <c r="H7" s="18">
        <f t="shared" si="0"/>
        <v>19.344999999999999</v>
      </c>
      <c r="I7" s="29"/>
      <c r="J7" s="7" t="s">
        <v>18</v>
      </c>
      <c r="K7" s="7" t="s">
        <v>18</v>
      </c>
      <c r="L7" s="8" t="s">
        <v>18</v>
      </c>
      <c r="M7" s="8" t="s">
        <v>18</v>
      </c>
      <c r="N7" s="8"/>
      <c r="O7" s="8"/>
      <c r="P7" s="32"/>
      <c r="Q7" s="9" t="s">
        <v>384</v>
      </c>
      <c r="U7" s="58" t="s">
        <v>74</v>
      </c>
      <c r="V7" s="216" t="s">
        <v>398</v>
      </c>
      <c r="W7" s="7">
        <f>SUM(L27,L29,L33,L36,L44,L81,L97,L98,L99,L100,L101,L102,L112,L127,L128,L129,L130,L131,L132,L139,L159,L160,L161,L162,L166)</f>
        <v>9055</v>
      </c>
    </row>
    <row r="8" spans="1:24" ht="30" x14ac:dyDescent="0.25">
      <c r="A8" s="33"/>
      <c r="B8" s="25"/>
      <c r="C8" s="28" t="s">
        <v>22</v>
      </c>
      <c r="D8" s="25" t="s">
        <v>23</v>
      </c>
      <c r="E8" s="18"/>
      <c r="F8" s="18"/>
      <c r="G8" s="23">
        <v>262.7</v>
      </c>
      <c r="H8" s="18">
        <f t="shared" si="0"/>
        <v>696.15499999999997</v>
      </c>
      <c r="I8" s="29">
        <v>26</v>
      </c>
      <c r="J8" s="8" t="s">
        <v>24</v>
      </c>
      <c r="K8" s="8" t="s">
        <v>25</v>
      </c>
      <c r="L8" s="7">
        <f>SUM(M8:M10)</f>
        <v>2190</v>
      </c>
      <c r="M8" s="7">
        <f>80*I8</f>
        <v>2080</v>
      </c>
      <c r="N8" s="92" t="s">
        <v>26</v>
      </c>
      <c r="O8" s="93" t="s">
        <v>27</v>
      </c>
      <c r="P8" s="32"/>
      <c r="Q8" s="218" t="s">
        <v>387</v>
      </c>
      <c r="R8" s="31"/>
      <c r="U8" s="59" t="s">
        <v>120</v>
      </c>
      <c r="V8" s="216" t="s">
        <v>403</v>
      </c>
      <c r="W8" s="7">
        <f>SUM(L49,L53,L83,L103,L104,L105,L109,L133,L134,L141,L163,L164,L165,L135)</f>
        <v>5755</v>
      </c>
    </row>
    <row r="9" spans="1:24" x14ac:dyDescent="0.25">
      <c r="A9" s="33"/>
      <c r="B9" s="25"/>
      <c r="C9" s="28" t="s">
        <v>28</v>
      </c>
      <c r="D9" s="25" t="s">
        <v>29</v>
      </c>
      <c r="E9" s="18" t="s">
        <v>30</v>
      </c>
      <c r="F9" s="18"/>
      <c r="G9" s="23">
        <v>9.8000000000000007</v>
      </c>
      <c r="H9" s="18">
        <f t="shared" si="0"/>
        <v>25.970000000000002</v>
      </c>
      <c r="I9" s="29"/>
      <c r="J9" s="7" t="s">
        <v>18</v>
      </c>
      <c r="K9" s="7">
        <v>1</v>
      </c>
      <c r="L9" s="8" t="s">
        <v>18</v>
      </c>
      <c r="M9" s="8">
        <f>ROUND(H9*K9,-1)</f>
        <v>30</v>
      </c>
      <c r="N9" s="8" t="s">
        <v>394</v>
      </c>
      <c r="O9" s="93" t="s">
        <v>27</v>
      </c>
      <c r="P9" s="9" t="s">
        <v>31</v>
      </c>
      <c r="Q9" s="218" t="s">
        <v>387</v>
      </c>
      <c r="U9" s="60" t="s">
        <v>179</v>
      </c>
      <c r="V9" s="25" t="s">
        <v>343</v>
      </c>
      <c r="W9" s="7">
        <f>SUM(L72,L73,L75)</f>
        <v>520</v>
      </c>
    </row>
    <row r="10" spans="1:24" ht="30" x14ac:dyDescent="0.25">
      <c r="A10" s="33"/>
      <c r="B10" s="25"/>
      <c r="C10" s="28" t="s">
        <v>32</v>
      </c>
      <c r="D10" s="25" t="s">
        <v>29</v>
      </c>
      <c r="E10" s="18" t="s">
        <v>30</v>
      </c>
      <c r="F10" s="18"/>
      <c r="G10" s="23">
        <v>28.6</v>
      </c>
      <c r="H10" s="18">
        <f t="shared" si="0"/>
        <v>75.790000000000006</v>
      </c>
      <c r="I10" s="29"/>
      <c r="J10" s="7" t="s">
        <v>18</v>
      </c>
      <c r="K10" s="7">
        <v>1</v>
      </c>
      <c r="L10" s="8" t="s">
        <v>18</v>
      </c>
      <c r="M10" s="8">
        <f>ROUND(H10*K10,-1)</f>
        <v>80</v>
      </c>
      <c r="N10" s="8" t="s">
        <v>394</v>
      </c>
      <c r="O10" s="93" t="s">
        <v>27</v>
      </c>
      <c r="P10" s="9" t="s">
        <v>31</v>
      </c>
      <c r="Q10" s="218" t="s">
        <v>387</v>
      </c>
      <c r="U10" s="219" t="s">
        <v>43</v>
      </c>
      <c r="V10" s="216" t="s">
        <v>404</v>
      </c>
      <c r="W10" s="7">
        <f>SUM(L25,L76,L77,L82,L84,L85,L88,L95,L96,L113,L117,L118,L119,L126,L140,L142,L146,L147,L154,L24)</f>
        <v>5790</v>
      </c>
    </row>
    <row r="11" spans="1:24" x14ac:dyDescent="0.25">
      <c r="A11" s="25"/>
      <c r="B11" s="25"/>
      <c r="C11" s="28" t="s">
        <v>33</v>
      </c>
      <c r="D11" s="25" t="s">
        <v>20</v>
      </c>
      <c r="E11" s="18"/>
      <c r="F11" s="18"/>
      <c r="G11" s="23">
        <v>8.6999999999999993</v>
      </c>
      <c r="H11" s="18">
        <f t="shared" si="0"/>
        <v>23.054999999999996</v>
      </c>
      <c r="I11" s="29"/>
      <c r="J11" s="7" t="s">
        <v>18</v>
      </c>
      <c r="K11" s="7" t="s">
        <v>18</v>
      </c>
      <c r="L11" s="8" t="s">
        <v>18</v>
      </c>
      <c r="M11" s="8" t="s">
        <v>18</v>
      </c>
      <c r="N11" s="8" t="s">
        <v>394</v>
      </c>
      <c r="O11" s="8"/>
      <c r="P11" s="9" t="s">
        <v>31</v>
      </c>
      <c r="Q11" s="218" t="s">
        <v>387</v>
      </c>
      <c r="U11" s="61" t="s">
        <v>231</v>
      </c>
      <c r="V11" s="25" t="s">
        <v>346</v>
      </c>
      <c r="W11" s="7">
        <f>SUM(L106)</f>
        <v>1320</v>
      </c>
    </row>
    <row r="12" spans="1:24" x14ac:dyDescent="0.25">
      <c r="A12" s="25"/>
      <c r="B12" s="25"/>
      <c r="C12" s="28" t="s">
        <v>34</v>
      </c>
      <c r="D12" s="25" t="s">
        <v>35</v>
      </c>
      <c r="E12" s="18"/>
      <c r="F12" s="18"/>
      <c r="G12" s="23">
        <v>40.4</v>
      </c>
      <c r="H12" s="18">
        <f t="shared" si="0"/>
        <v>107.05999999999999</v>
      </c>
      <c r="I12" s="29"/>
      <c r="J12" s="7" t="s">
        <v>18</v>
      </c>
      <c r="K12" s="7" t="s">
        <v>36</v>
      </c>
      <c r="L12" s="8" t="s">
        <v>18</v>
      </c>
      <c r="M12" s="8">
        <f>SUM(L12:L14)-SUM(M13:M14)</f>
        <v>180</v>
      </c>
      <c r="N12" s="8" t="s">
        <v>394</v>
      </c>
      <c r="O12" s="94" t="s">
        <v>37</v>
      </c>
      <c r="P12" s="9"/>
      <c r="Q12" s="9" t="s">
        <v>382</v>
      </c>
      <c r="U12" s="62" t="s">
        <v>45</v>
      </c>
      <c r="V12" s="216" t="s">
        <v>392</v>
      </c>
      <c r="W12" s="7">
        <f>SUM(L15,L18,L20)</f>
        <v>550</v>
      </c>
    </row>
    <row r="13" spans="1:24" x14ac:dyDescent="0.25">
      <c r="A13" s="33"/>
      <c r="B13" s="25"/>
      <c r="C13" s="28" t="s">
        <v>38</v>
      </c>
      <c r="D13" s="25" t="s">
        <v>39</v>
      </c>
      <c r="E13" s="18" t="s">
        <v>30</v>
      </c>
      <c r="F13" s="18"/>
      <c r="G13" s="23">
        <v>18</v>
      </c>
      <c r="H13" s="18">
        <f t="shared" si="0"/>
        <v>47.699999999999996</v>
      </c>
      <c r="I13" s="29"/>
      <c r="J13" s="18" t="s">
        <v>18</v>
      </c>
      <c r="K13" s="7">
        <v>1</v>
      </c>
      <c r="L13" s="8" t="s">
        <v>18</v>
      </c>
      <c r="M13" s="8">
        <f>ROUND(H13*K13,-1)</f>
        <v>50</v>
      </c>
      <c r="N13" s="8" t="s">
        <v>394</v>
      </c>
      <c r="O13" s="94" t="s">
        <v>37</v>
      </c>
      <c r="P13" s="9" t="s">
        <v>31</v>
      </c>
      <c r="Q13" s="9" t="s">
        <v>382</v>
      </c>
      <c r="U13" s="63" t="s">
        <v>54</v>
      </c>
      <c r="V13" s="25" t="s">
        <v>52</v>
      </c>
      <c r="W13" s="7">
        <f>L19</f>
        <v>1070</v>
      </c>
    </row>
    <row r="14" spans="1:24" x14ac:dyDescent="0.25">
      <c r="A14" s="25"/>
      <c r="B14" s="25"/>
      <c r="C14" s="28" t="s">
        <v>40</v>
      </c>
      <c r="D14" s="25" t="s">
        <v>41</v>
      </c>
      <c r="E14" s="18" t="s">
        <v>42</v>
      </c>
      <c r="F14" s="18"/>
      <c r="G14" s="23">
        <v>44.2</v>
      </c>
      <c r="H14" s="18">
        <f t="shared" si="0"/>
        <v>117.13000000000001</v>
      </c>
      <c r="I14" s="29"/>
      <c r="J14" s="7">
        <v>2</v>
      </c>
      <c r="K14" s="7" t="s">
        <v>18</v>
      </c>
      <c r="L14" s="7">
        <f>ROUND(H14*J14,-1)</f>
        <v>230</v>
      </c>
      <c r="M14" s="8" t="s">
        <v>18</v>
      </c>
      <c r="N14" s="224" t="s">
        <v>388</v>
      </c>
      <c r="O14" s="8" t="s">
        <v>394</v>
      </c>
      <c r="P14" s="9" t="s">
        <v>31</v>
      </c>
      <c r="Q14" s="9" t="s">
        <v>382</v>
      </c>
      <c r="U14" s="224" t="s">
        <v>388</v>
      </c>
      <c r="V14" s="216" t="s">
        <v>393</v>
      </c>
      <c r="W14" s="7">
        <f>L14</f>
        <v>230</v>
      </c>
      <c r="X14" s="31">
        <f>SUM(W3:W14)</f>
        <v>41675</v>
      </c>
    </row>
    <row r="15" spans="1:24" x14ac:dyDescent="0.25">
      <c r="A15" s="25"/>
      <c r="B15" s="25"/>
      <c r="C15" s="28" t="s">
        <v>44</v>
      </c>
      <c r="D15" s="25" t="s">
        <v>41</v>
      </c>
      <c r="E15" s="18" t="s">
        <v>42</v>
      </c>
      <c r="F15" s="18"/>
      <c r="G15" s="23">
        <v>36.200000000000003</v>
      </c>
      <c r="H15" s="18">
        <f t="shared" si="0"/>
        <v>95.93</v>
      </c>
      <c r="I15" s="29"/>
      <c r="J15" s="7">
        <v>2</v>
      </c>
      <c r="K15" s="7" t="s">
        <v>18</v>
      </c>
      <c r="L15" s="7">
        <f>ROUND(H15*J15,-1)</f>
        <v>190</v>
      </c>
      <c r="M15" s="8" t="s">
        <v>18</v>
      </c>
      <c r="N15" s="95" t="s">
        <v>45</v>
      </c>
      <c r="O15" s="8" t="s">
        <v>394</v>
      </c>
      <c r="P15" s="9" t="s">
        <v>31</v>
      </c>
      <c r="Q15" s="9" t="s">
        <v>384</v>
      </c>
      <c r="U15" s="222" t="s">
        <v>396</v>
      </c>
    </row>
    <row r="16" spans="1:24" x14ac:dyDescent="0.25">
      <c r="A16" s="25"/>
      <c r="B16" s="25"/>
      <c r="C16" s="28" t="s">
        <v>46</v>
      </c>
      <c r="D16" s="25" t="s">
        <v>35</v>
      </c>
      <c r="E16" s="18"/>
      <c r="F16" s="18"/>
      <c r="G16" s="23">
        <v>102.8</v>
      </c>
      <c r="H16" s="18">
        <f t="shared" si="0"/>
        <v>272.41999999999996</v>
      </c>
      <c r="I16" s="29"/>
      <c r="J16" s="7" t="s">
        <v>18</v>
      </c>
      <c r="K16" s="7" t="s">
        <v>36</v>
      </c>
      <c r="L16" s="8" t="s">
        <v>18</v>
      </c>
      <c r="M16" s="7">
        <f>SUM(L15:L20)-SUM(M15,M17:M20)</f>
        <v>460</v>
      </c>
      <c r="N16" s="7" t="s">
        <v>18</v>
      </c>
      <c r="O16" s="94" t="s">
        <v>37</v>
      </c>
      <c r="P16" s="9"/>
      <c r="Q16" s="9" t="s">
        <v>384</v>
      </c>
      <c r="U16" s="64" t="s">
        <v>27</v>
      </c>
      <c r="V16" s="25" t="s">
        <v>23</v>
      </c>
      <c r="W16" s="7">
        <f>SUM(M8:M10)</f>
        <v>2190</v>
      </c>
    </row>
    <row r="17" spans="1:25" x14ac:dyDescent="0.25">
      <c r="A17" s="25"/>
      <c r="B17" s="25"/>
      <c r="C17" s="28" t="s">
        <v>47</v>
      </c>
      <c r="D17" s="25" t="s">
        <v>48</v>
      </c>
      <c r="E17" s="18" t="s">
        <v>42</v>
      </c>
      <c r="F17" s="18"/>
      <c r="G17" s="23">
        <v>16.399999999999999</v>
      </c>
      <c r="H17" s="18">
        <f t="shared" si="0"/>
        <v>43.459999999999994</v>
      </c>
      <c r="I17" s="29"/>
      <c r="J17" s="7" t="s">
        <v>18</v>
      </c>
      <c r="K17" s="7">
        <v>2</v>
      </c>
      <c r="L17" s="8" t="s">
        <v>18</v>
      </c>
      <c r="M17" s="8">
        <f>ROUND(H17*K17,-1)</f>
        <v>90</v>
      </c>
      <c r="N17" s="8" t="s">
        <v>18</v>
      </c>
      <c r="O17" s="248" t="s">
        <v>180</v>
      </c>
      <c r="P17" s="9" t="s">
        <v>31</v>
      </c>
      <c r="Q17" s="9" t="s">
        <v>384</v>
      </c>
      <c r="U17" s="65" t="s">
        <v>291</v>
      </c>
      <c r="V17" s="25" t="s">
        <v>338</v>
      </c>
      <c r="W17" s="7">
        <f>SUM(M155:M157)</f>
        <v>3320</v>
      </c>
    </row>
    <row r="18" spans="1:25" x14ac:dyDescent="0.25">
      <c r="A18" s="25"/>
      <c r="B18" s="25"/>
      <c r="C18" s="28" t="s">
        <v>50</v>
      </c>
      <c r="D18" s="25" t="s">
        <v>41</v>
      </c>
      <c r="E18" s="18" t="s">
        <v>42</v>
      </c>
      <c r="F18" s="18"/>
      <c r="G18" s="23">
        <v>24.1</v>
      </c>
      <c r="H18" s="18">
        <f t="shared" si="0"/>
        <v>63.865000000000002</v>
      </c>
      <c r="I18" s="29"/>
      <c r="J18" s="7">
        <v>2</v>
      </c>
      <c r="K18" s="7" t="s">
        <v>18</v>
      </c>
      <c r="L18" s="7">
        <f>ROUND(H18*J18,-1)</f>
        <v>130</v>
      </c>
      <c r="M18" s="8" t="s">
        <v>18</v>
      </c>
      <c r="N18" s="95" t="s">
        <v>45</v>
      </c>
      <c r="O18" s="8" t="s">
        <v>394</v>
      </c>
      <c r="P18" s="9" t="s">
        <v>31</v>
      </c>
      <c r="Q18" s="9" t="s">
        <v>384</v>
      </c>
      <c r="U18" s="66" t="s">
        <v>30</v>
      </c>
      <c r="V18" s="25" t="s">
        <v>133</v>
      </c>
      <c r="W18" s="7">
        <f>M55</f>
        <v>2200</v>
      </c>
    </row>
    <row r="19" spans="1:25" x14ac:dyDescent="0.25">
      <c r="A19" s="25"/>
      <c r="B19" s="25"/>
      <c r="C19" s="28" t="s">
        <v>51</v>
      </c>
      <c r="D19" s="25" t="s">
        <v>52</v>
      </c>
      <c r="E19" s="34" t="s">
        <v>53</v>
      </c>
      <c r="F19" s="18"/>
      <c r="G19" s="23">
        <v>80.8</v>
      </c>
      <c r="H19" s="18">
        <f t="shared" si="0"/>
        <v>214.11999999999998</v>
      </c>
      <c r="I19" s="29"/>
      <c r="J19" s="7">
        <v>5</v>
      </c>
      <c r="K19" s="7">
        <v>5</v>
      </c>
      <c r="L19" s="7">
        <f>ROUND(H19*J19,-1)</f>
        <v>1070</v>
      </c>
      <c r="M19" s="8">
        <f>ROUND(H19*K19,-1)</f>
        <v>1070</v>
      </c>
      <c r="N19" s="96" t="s">
        <v>54</v>
      </c>
      <c r="O19" s="97" t="s">
        <v>55</v>
      </c>
      <c r="P19" s="9" t="s">
        <v>31</v>
      </c>
      <c r="Q19" s="9" t="s">
        <v>384</v>
      </c>
      <c r="U19" s="67" t="s">
        <v>42</v>
      </c>
      <c r="V19" s="216" t="s">
        <v>340</v>
      </c>
      <c r="W19" s="7">
        <f>SUM(M56,M61,M68)</f>
        <v>1070</v>
      </c>
    </row>
    <row r="20" spans="1:25" ht="30" x14ac:dyDescent="0.25">
      <c r="A20" s="25"/>
      <c r="B20" s="25"/>
      <c r="C20" s="28" t="s">
        <v>56</v>
      </c>
      <c r="D20" s="25" t="s">
        <v>41</v>
      </c>
      <c r="E20" s="18" t="s">
        <v>42</v>
      </c>
      <c r="F20" s="18"/>
      <c r="G20" s="23">
        <v>43.1</v>
      </c>
      <c r="H20" s="18">
        <f t="shared" si="0"/>
        <v>114.215</v>
      </c>
      <c r="I20" s="29"/>
      <c r="J20" s="7">
        <v>2</v>
      </c>
      <c r="K20" s="7" t="s">
        <v>18</v>
      </c>
      <c r="L20" s="7">
        <f>ROUND(H20*J20,-1)</f>
        <v>230</v>
      </c>
      <c r="M20" s="8" t="s">
        <v>18</v>
      </c>
      <c r="N20" s="95" t="s">
        <v>45</v>
      </c>
      <c r="O20" s="8" t="s">
        <v>394</v>
      </c>
      <c r="P20" s="9" t="s">
        <v>31</v>
      </c>
      <c r="Q20" s="9" t="s">
        <v>384</v>
      </c>
      <c r="U20" s="68" t="s">
        <v>98</v>
      </c>
      <c r="V20" s="216" t="s">
        <v>399</v>
      </c>
      <c r="W20" s="7">
        <f>SUM(M38,M39,M41,M42,M45,M46,M93,M124,M152)</f>
        <v>1355</v>
      </c>
    </row>
    <row r="21" spans="1:25" x14ac:dyDescent="0.25">
      <c r="A21" s="25"/>
      <c r="B21" s="25"/>
      <c r="C21" s="28"/>
      <c r="D21" s="30" t="s">
        <v>57</v>
      </c>
      <c r="E21" s="18"/>
      <c r="F21" s="18"/>
      <c r="G21" s="23"/>
      <c r="H21" s="18"/>
      <c r="I21" s="29"/>
      <c r="J21" s="7"/>
      <c r="K21" s="7"/>
      <c r="L21" s="230">
        <f>SUM(L5:L20)</f>
        <v>4040</v>
      </c>
      <c r="M21" s="230">
        <f>SUM(M8:M20)</f>
        <v>4040</v>
      </c>
      <c r="N21" s="8"/>
      <c r="O21" s="8"/>
      <c r="P21" s="9"/>
      <c r="Q21" s="9"/>
      <c r="U21" s="69" t="s">
        <v>116</v>
      </c>
      <c r="V21" s="25" t="s">
        <v>350</v>
      </c>
      <c r="W21" s="7">
        <f>SUM(M47,M48,M51,M53,M94,M125,M153)</f>
        <v>1055</v>
      </c>
    </row>
    <row r="22" spans="1:25" ht="21" customHeight="1" x14ac:dyDescent="0.25">
      <c r="A22" s="25"/>
      <c r="B22" s="42" t="s">
        <v>58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"/>
      <c r="Q22" s="41"/>
      <c r="U22" s="70" t="s">
        <v>94</v>
      </c>
      <c r="V22" s="216" t="s">
        <v>401</v>
      </c>
      <c r="W22" s="7">
        <f>SUM(M89,M120,M148,M91,M122,M150)</f>
        <v>210</v>
      </c>
    </row>
    <row r="23" spans="1:25" ht="30" x14ac:dyDescent="0.25">
      <c r="A23" s="25"/>
      <c r="B23" s="25"/>
      <c r="C23" s="28" t="s">
        <v>59</v>
      </c>
      <c r="D23" s="25" t="s">
        <v>60</v>
      </c>
      <c r="E23" s="18"/>
      <c r="F23" s="18"/>
      <c r="G23" s="23">
        <v>12.5</v>
      </c>
      <c r="H23" s="18">
        <f>G23*3.46</f>
        <v>43.25</v>
      </c>
      <c r="I23" s="29"/>
      <c r="J23" s="7" t="s">
        <v>18</v>
      </c>
      <c r="K23" s="7" t="s">
        <v>18</v>
      </c>
      <c r="L23" s="8" t="s">
        <v>18</v>
      </c>
      <c r="M23" s="8" t="s">
        <v>18</v>
      </c>
      <c r="N23" s="7" t="s">
        <v>18</v>
      </c>
      <c r="O23" s="7" t="s">
        <v>18</v>
      </c>
      <c r="P23" s="9"/>
      <c r="Q23" s="9" t="s">
        <v>381</v>
      </c>
      <c r="S23" s="11"/>
      <c r="U23" s="71" t="s">
        <v>185</v>
      </c>
      <c r="V23" s="216" t="s">
        <v>184</v>
      </c>
      <c r="W23" s="7">
        <f>SUM(M74)</f>
        <v>100</v>
      </c>
    </row>
    <row r="24" spans="1:25" x14ac:dyDescent="0.25">
      <c r="A24" s="33"/>
      <c r="B24" s="25"/>
      <c r="C24" s="28" t="s">
        <v>61</v>
      </c>
      <c r="D24" s="25" t="s">
        <v>35</v>
      </c>
      <c r="E24" s="18"/>
      <c r="F24" s="18"/>
      <c r="G24" s="23">
        <v>268.8</v>
      </c>
      <c r="H24" s="18">
        <f t="shared" ref="H24:H56" si="1">G24*3.46</f>
        <v>930.048</v>
      </c>
      <c r="I24" s="29"/>
      <c r="J24" s="220" t="s">
        <v>36</v>
      </c>
      <c r="K24" s="7" t="s">
        <v>18</v>
      </c>
      <c r="L24" s="7">
        <f>SUM(M23:M78)-SUM(L25:L78)</f>
        <v>3010</v>
      </c>
      <c r="M24" s="7" t="s">
        <v>18</v>
      </c>
      <c r="N24" s="219" t="s">
        <v>43</v>
      </c>
      <c r="O24" s="7" t="s">
        <v>18</v>
      </c>
      <c r="P24" s="231"/>
      <c r="Q24" s="9" t="s">
        <v>381</v>
      </c>
      <c r="S24" s="11"/>
      <c r="T24" s="11"/>
      <c r="U24" s="72" t="s">
        <v>232</v>
      </c>
      <c r="V24" s="25" t="s">
        <v>353</v>
      </c>
      <c r="W24" s="7">
        <f>SUM(M106:M108)</f>
        <v>1320</v>
      </c>
    </row>
    <row r="25" spans="1:25" ht="30" x14ac:dyDescent="0.25">
      <c r="A25" s="33"/>
      <c r="B25" s="25"/>
      <c r="C25" s="28" t="s">
        <v>62</v>
      </c>
      <c r="D25" s="25" t="s">
        <v>63</v>
      </c>
      <c r="E25" s="18"/>
      <c r="F25" s="18"/>
      <c r="G25" s="23">
        <v>16.2</v>
      </c>
      <c r="H25" s="18">
        <f t="shared" si="1"/>
        <v>56.052</v>
      </c>
      <c r="I25" s="8">
        <v>2</v>
      </c>
      <c r="J25" s="8" t="s">
        <v>64</v>
      </c>
      <c r="K25" s="8" t="s">
        <v>64</v>
      </c>
      <c r="L25" s="7">
        <f>60*I25</f>
        <v>120</v>
      </c>
      <c r="M25" s="8">
        <f>60*I25</f>
        <v>120</v>
      </c>
      <c r="N25" s="219" t="s">
        <v>43</v>
      </c>
      <c r="O25" s="98" t="s">
        <v>65</v>
      </c>
      <c r="P25" s="9"/>
      <c r="Q25" s="9" t="s">
        <v>382</v>
      </c>
      <c r="S25" s="11"/>
      <c r="T25" s="11"/>
      <c r="U25" s="73" t="s">
        <v>193</v>
      </c>
      <c r="V25" s="216" t="s">
        <v>400</v>
      </c>
      <c r="W25" s="7">
        <f>SUM(M96,M77)</f>
        <v>480</v>
      </c>
      <c r="X25" s="31"/>
      <c r="Y25" s="221"/>
    </row>
    <row r="26" spans="1:25" x14ac:dyDescent="0.25">
      <c r="A26" s="25"/>
      <c r="B26" s="25"/>
      <c r="C26" s="28" t="s">
        <v>66</v>
      </c>
      <c r="D26" s="25" t="s">
        <v>67</v>
      </c>
      <c r="E26" s="18"/>
      <c r="F26" s="18"/>
      <c r="G26" s="23">
        <v>46.2</v>
      </c>
      <c r="H26" s="18">
        <f t="shared" si="1"/>
        <v>159.852</v>
      </c>
      <c r="I26" s="8"/>
      <c r="J26" s="7" t="s">
        <v>18</v>
      </c>
      <c r="K26" s="8">
        <v>1</v>
      </c>
      <c r="L26" s="8" t="s">
        <v>18</v>
      </c>
      <c r="M26" s="8">
        <f>ROUND(H26*K26,-1)</f>
        <v>160</v>
      </c>
      <c r="N26" s="8" t="s">
        <v>18</v>
      </c>
      <c r="O26" s="99" t="s">
        <v>68</v>
      </c>
      <c r="P26" s="32"/>
      <c r="Q26" s="9" t="s">
        <v>382</v>
      </c>
      <c r="S26" s="11"/>
      <c r="T26" s="11"/>
      <c r="U26" s="74" t="s">
        <v>68</v>
      </c>
      <c r="V26" s="25" t="s">
        <v>355</v>
      </c>
      <c r="W26" s="7">
        <f>SUM(M26,M28,M35,M43,M78,M158)</f>
        <v>660</v>
      </c>
    </row>
    <row r="27" spans="1:25" ht="30" x14ac:dyDescent="0.25">
      <c r="A27" s="25"/>
      <c r="B27" s="25"/>
      <c r="C27" s="28" t="s">
        <v>69</v>
      </c>
      <c r="D27" s="25" t="s">
        <v>70</v>
      </c>
      <c r="E27" s="18"/>
      <c r="F27" s="18"/>
      <c r="G27" s="23">
        <v>59.9</v>
      </c>
      <c r="H27" s="18">
        <f t="shared" si="1"/>
        <v>207.25399999999999</v>
      </c>
      <c r="I27" s="29"/>
      <c r="J27" s="225" t="s">
        <v>397</v>
      </c>
      <c r="K27" s="7" t="s">
        <v>18</v>
      </c>
      <c r="L27" s="8">
        <f>M35</f>
        <v>60</v>
      </c>
      <c r="M27" s="8" t="s">
        <v>18</v>
      </c>
      <c r="N27" s="100" t="s">
        <v>74</v>
      </c>
      <c r="O27" s="7" t="s">
        <v>18</v>
      </c>
      <c r="P27" s="9"/>
      <c r="Q27" s="9" t="s">
        <v>382</v>
      </c>
      <c r="S27" s="11"/>
      <c r="T27" s="11"/>
      <c r="U27" s="75" t="s">
        <v>356</v>
      </c>
      <c r="V27" s="25" t="s">
        <v>79</v>
      </c>
      <c r="W27" s="7">
        <f>M32</f>
        <v>50</v>
      </c>
    </row>
    <row r="28" spans="1:25" x14ac:dyDescent="0.25">
      <c r="A28" s="33"/>
      <c r="B28" s="25"/>
      <c r="C28" s="28" t="s">
        <v>71</v>
      </c>
      <c r="D28" s="25" t="s">
        <v>67</v>
      </c>
      <c r="E28" s="18"/>
      <c r="F28" s="18"/>
      <c r="G28" s="23">
        <v>53.7</v>
      </c>
      <c r="H28" s="18">
        <f t="shared" si="1"/>
        <v>185.80200000000002</v>
      </c>
      <c r="I28" s="8"/>
      <c r="J28" s="7" t="s">
        <v>18</v>
      </c>
      <c r="K28" s="8">
        <v>1</v>
      </c>
      <c r="L28" s="8" t="s">
        <v>18</v>
      </c>
      <c r="M28" s="8">
        <f>ROUND(H28*K28,-1)</f>
        <v>190</v>
      </c>
      <c r="N28" s="8" t="s">
        <v>18</v>
      </c>
      <c r="O28" s="99" t="s">
        <v>68</v>
      </c>
      <c r="P28" s="32"/>
      <c r="Q28" s="9" t="s">
        <v>382</v>
      </c>
      <c r="S28" s="11"/>
      <c r="T28" s="11"/>
      <c r="U28" s="76" t="s">
        <v>65</v>
      </c>
      <c r="V28" s="25" t="s">
        <v>357</v>
      </c>
      <c r="W28" s="7">
        <f>M25</f>
        <v>120</v>
      </c>
    </row>
    <row r="29" spans="1:25" ht="30" x14ac:dyDescent="0.25">
      <c r="A29" s="25"/>
      <c r="B29" s="25"/>
      <c r="C29" s="28" t="s">
        <v>72</v>
      </c>
      <c r="D29" s="25" t="s">
        <v>391</v>
      </c>
      <c r="E29" s="18"/>
      <c r="F29" s="18"/>
      <c r="G29" s="23">
        <v>66.099999999999994</v>
      </c>
      <c r="H29" s="18">
        <f t="shared" si="1"/>
        <v>228.70599999999999</v>
      </c>
      <c r="I29" s="29">
        <v>21</v>
      </c>
      <c r="J29" s="8" t="s">
        <v>73</v>
      </c>
      <c r="K29" s="8" t="s">
        <v>73</v>
      </c>
      <c r="L29" s="7">
        <f>MAX(20*I29,ROUND(H29*2,-1))</f>
        <v>460</v>
      </c>
      <c r="M29" s="7">
        <f>MAX(20*I29,ROUND(H29*2,-1))</f>
        <v>460</v>
      </c>
      <c r="N29" s="100" t="s">
        <v>74</v>
      </c>
      <c r="O29" s="94" t="s">
        <v>37</v>
      </c>
      <c r="P29" s="9"/>
      <c r="Q29" s="9" t="s">
        <v>382</v>
      </c>
      <c r="S29" s="11"/>
      <c r="T29" s="11"/>
      <c r="U29" s="77" t="s">
        <v>208</v>
      </c>
      <c r="V29" s="25" t="s">
        <v>358</v>
      </c>
      <c r="W29" s="7">
        <f>SUM(M90,M121,M149)</f>
        <v>30</v>
      </c>
    </row>
    <row r="30" spans="1:25" ht="30" x14ac:dyDescent="0.25">
      <c r="A30" s="33"/>
      <c r="B30" s="25"/>
      <c r="C30" s="28"/>
      <c r="D30" s="25" t="s">
        <v>75</v>
      </c>
      <c r="E30" s="18"/>
      <c r="F30" s="18"/>
      <c r="G30" s="23"/>
      <c r="H30" s="18"/>
      <c r="I30" s="8"/>
      <c r="J30" s="232" t="s">
        <v>18</v>
      </c>
      <c r="K30" s="8" t="s">
        <v>76</v>
      </c>
      <c r="L30" s="8" t="s">
        <v>18</v>
      </c>
      <c r="M30" s="8">
        <v>600</v>
      </c>
      <c r="N30" s="7" t="s">
        <v>18</v>
      </c>
      <c r="O30" s="101" t="s">
        <v>77</v>
      </c>
      <c r="P30" s="9" t="s">
        <v>31</v>
      </c>
      <c r="Q30" s="9"/>
      <c r="S30" s="11"/>
      <c r="T30" s="11"/>
      <c r="U30" s="242" t="s">
        <v>80</v>
      </c>
      <c r="V30" s="25" t="s">
        <v>360</v>
      </c>
      <c r="W30" s="7">
        <f>SUM(M135:M136)</f>
        <v>1270</v>
      </c>
    </row>
    <row r="31" spans="1:25" ht="30" x14ac:dyDescent="0.25">
      <c r="A31" s="25"/>
      <c r="B31" s="25"/>
      <c r="C31" s="28"/>
      <c r="D31" s="25" t="s">
        <v>75</v>
      </c>
      <c r="E31" s="18"/>
      <c r="F31" s="18"/>
      <c r="G31" s="23"/>
      <c r="H31" s="18"/>
      <c r="I31" s="8"/>
      <c r="J31" s="232" t="s">
        <v>18</v>
      </c>
      <c r="K31" s="8" t="s">
        <v>76</v>
      </c>
      <c r="L31" s="8" t="s">
        <v>18</v>
      </c>
      <c r="M31" s="8">
        <v>600</v>
      </c>
      <c r="N31" s="7" t="s">
        <v>18</v>
      </c>
      <c r="O31" s="101" t="s">
        <v>77</v>
      </c>
      <c r="P31" s="9" t="s">
        <v>31</v>
      </c>
      <c r="Q31" s="9"/>
      <c r="S31" s="11"/>
      <c r="T31" s="11"/>
      <c r="U31" s="244" t="s">
        <v>266</v>
      </c>
      <c r="V31" s="25" t="s">
        <v>304</v>
      </c>
      <c r="W31" s="7">
        <f>SUM(M161)</f>
        <v>120</v>
      </c>
    </row>
    <row r="32" spans="1:25" x14ac:dyDescent="0.25">
      <c r="A32" s="25"/>
      <c r="B32" s="25"/>
      <c r="C32" s="28" t="s">
        <v>78</v>
      </c>
      <c r="D32" s="25" t="s">
        <v>79</v>
      </c>
      <c r="E32" s="18" t="s">
        <v>30</v>
      </c>
      <c r="F32" s="18"/>
      <c r="G32" s="23">
        <v>15.5</v>
      </c>
      <c r="H32" s="18">
        <f t="shared" si="1"/>
        <v>53.63</v>
      </c>
      <c r="I32" s="29"/>
      <c r="J32" s="7" t="s">
        <v>18</v>
      </c>
      <c r="K32" s="8">
        <v>1</v>
      </c>
      <c r="L32" s="7" t="s">
        <v>18</v>
      </c>
      <c r="M32" s="8">
        <f>ROUND(H32*K32,-1)</f>
        <v>50</v>
      </c>
      <c r="N32" s="7" t="s">
        <v>18</v>
      </c>
      <c r="O32" s="75" t="s">
        <v>356</v>
      </c>
      <c r="P32" s="9" t="s">
        <v>31</v>
      </c>
      <c r="Q32" s="9" t="s">
        <v>382</v>
      </c>
      <c r="S32" s="11"/>
      <c r="T32" s="11"/>
      <c r="U32" s="246" t="s">
        <v>305</v>
      </c>
      <c r="V32" s="25" t="s">
        <v>343</v>
      </c>
      <c r="W32" s="7">
        <f>SUM(M72:M73)</f>
        <v>420</v>
      </c>
    </row>
    <row r="33" spans="1:24" ht="30" x14ac:dyDescent="0.25">
      <c r="A33" s="33"/>
      <c r="B33" s="25"/>
      <c r="C33" s="269" t="s">
        <v>81</v>
      </c>
      <c r="D33" s="25" t="s">
        <v>390</v>
      </c>
      <c r="E33" s="18"/>
      <c r="F33" s="18"/>
      <c r="G33" s="23">
        <v>58.5</v>
      </c>
      <c r="H33" s="18">
        <f t="shared" si="1"/>
        <v>202.41</v>
      </c>
      <c r="I33" s="29">
        <v>21</v>
      </c>
      <c r="J33" s="8" t="s">
        <v>73</v>
      </c>
      <c r="K33" s="8" t="s">
        <v>73</v>
      </c>
      <c r="L33" s="7">
        <f>MAX(20*I33,ROUND(H33*2,-1))</f>
        <v>420</v>
      </c>
      <c r="M33" s="7">
        <f>MAX(20*I33,ROUND(H33*2,-1))</f>
        <v>420</v>
      </c>
      <c r="N33" s="100" t="s">
        <v>74</v>
      </c>
      <c r="O33" s="94" t="s">
        <v>37</v>
      </c>
      <c r="P33" s="9"/>
      <c r="Q33" s="9" t="s">
        <v>382</v>
      </c>
      <c r="S33" s="11"/>
      <c r="T33" s="11"/>
      <c r="U33" s="248" t="s">
        <v>180</v>
      </c>
      <c r="V33" s="216" t="s">
        <v>48</v>
      </c>
      <c r="W33" s="7">
        <f>M17</f>
        <v>90</v>
      </c>
    </row>
    <row r="34" spans="1:24" ht="45" x14ac:dyDescent="0.25">
      <c r="A34" s="33"/>
      <c r="B34" s="25"/>
      <c r="C34" s="270"/>
      <c r="D34" s="25" t="s">
        <v>82</v>
      </c>
      <c r="E34" s="18"/>
      <c r="F34" s="18"/>
      <c r="G34" s="23"/>
      <c r="H34" s="18"/>
      <c r="I34" s="8"/>
      <c r="J34" s="7" t="s">
        <v>18</v>
      </c>
      <c r="K34" s="8" t="s">
        <v>83</v>
      </c>
      <c r="L34" s="8" t="s">
        <v>18</v>
      </c>
      <c r="M34" s="8">
        <v>700</v>
      </c>
      <c r="N34" s="7" t="s">
        <v>18</v>
      </c>
      <c r="O34" s="102" t="s">
        <v>84</v>
      </c>
      <c r="P34" s="9" t="s">
        <v>31</v>
      </c>
      <c r="Q34" s="9"/>
      <c r="S34" s="11"/>
      <c r="T34" s="11"/>
      <c r="U34" s="249" t="s">
        <v>49</v>
      </c>
      <c r="V34" s="25" t="s">
        <v>163</v>
      </c>
      <c r="W34" s="7">
        <f>M66</f>
        <v>170</v>
      </c>
    </row>
    <row r="35" spans="1:24" ht="30" x14ac:dyDescent="0.25">
      <c r="A35" s="25"/>
      <c r="B35" s="25"/>
      <c r="C35" s="28" t="s">
        <v>85</v>
      </c>
      <c r="D35" s="25" t="s">
        <v>389</v>
      </c>
      <c r="E35" s="18" t="s">
        <v>30</v>
      </c>
      <c r="F35" s="18"/>
      <c r="G35" s="23">
        <v>18</v>
      </c>
      <c r="H35" s="18">
        <f t="shared" si="1"/>
        <v>62.28</v>
      </c>
      <c r="I35" s="29"/>
      <c r="J35" s="7" t="s">
        <v>18</v>
      </c>
      <c r="K35" s="7">
        <v>1</v>
      </c>
      <c r="L35" s="8" t="s">
        <v>18</v>
      </c>
      <c r="M35" s="8">
        <f>ROUND(H35*K35,-1)</f>
        <v>60</v>
      </c>
      <c r="N35" s="7" t="s">
        <v>18</v>
      </c>
      <c r="O35" s="99" t="s">
        <v>68</v>
      </c>
      <c r="P35" s="9" t="s">
        <v>31</v>
      </c>
      <c r="Q35" s="9" t="s">
        <v>382</v>
      </c>
      <c r="S35" s="11"/>
      <c r="T35" s="11"/>
      <c r="U35" s="78" t="s">
        <v>164</v>
      </c>
      <c r="V35" s="37" t="s">
        <v>362</v>
      </c>
      <c r="W35" s="7">
        <f>SUM(M85,M118,M146)</f>
        <v>90</v>
      </c>
    </row>
    <row r="36" spans="1:24" ht="30" x14ac:dyDescent="0.25">
      <c r="A36" s="33"/>
      <c r="B36" s="25"/>
      <c r="C36" s="28" t="s">
        <v>86</v>
      </c>
      <c r="D36" s="25" t="s">
        <v>87</v>
      </c>
      <c r="E36" s="18"/>
      <c r="F36" s="18"/>
      <c r="G36" s="23">
        <v>53.3</v>
      </c>
      <c r="H36" s="18">
        <f t="shared" si="1"/>
        <v>184.41799999999998</v>
      </c>
      <c r="I36" s="29">
        <v>21</v>
      </c>
      <c r="J36" s="8" t="s">
        <v>73</v>
      </c>
      <c r="K36" s="8" t="s">
        <v>73</v>
      </c>
      <c r="L36" s="7">
        <f>MAX(20*I36,ROUND(H36*2,-1))</f>
        <v>420</v>
      </c>
      <c r="M36" s="7">
        <f>MAX(20*I36,ROUND(H36*2,-1))</f>
        <v>420</v>
      </c>
      <c r="N36" s="100" t="s">
        <v>74</v>
      </c>
      <c r="O36" s="94" t="s">
        <v>37</v>
      </c>
      <c r="P36" s="9"/>
      <c r="Q36" s="9" t="s">
        <v>382</v>
      </c>
      <c r="S36" s="11"/>
      <c r="T36" s="11"/>
      <c r="U36" s="79" t="s">
        <v>190</v>
      </c>
      <c r="V36" s="25" t="s">
        <v>363</v>
      </c>
      <c r="W36" s="7">
        <f>SUM(M76,M88,M119,M147)</f>
        <v>220</v>
      </c>
    </row>
    <row r="37" spans="1:24" x14ac:dyDescent="0.25">
      <c r="A37" s="33"/>
      <c r="B37" s="25"/>
      <c r="C37" s="28" t="s">
        <v>88</v>
      </c>
      <c r="D37" s="25" t="s">
        <v>89</v>
      </c>
      <c r="E37" s="18"/>
      <c r="F37" s="18"/>
      <c r="G37" s="23">
        <v>27.8</v>
      </c>
      <c r="H37" s="18">
        <f t="shared" si="1"/>
        <v>96.188000000000002</v>
      </c>
      <c r="I37" s="29"/>
      <c r="J37" s="7" t="s">
        <v>18</v>
      </c>
      <c r="K37" s="7" t="s">
        <v>18</v>
      </c>
      <c r="L37" s="8" t="s">
        <v>18</v>
      </c>
      <c r="M37" s="8" t="s">
        <v>18</v>
      </c>
      <c r="N37" s="7" t="s">
        <v>18</v>
      </c>
      <c r="O37" s="7" t="s">
        <v>18</v>
      </c>
      <c r="P37" s="9"/>
      <c r="Q37" s="9" t="s">
        <v>382</v>
      </c>
      <c r="S37" s="11"/>
      <c r="T37" s="11"/>
      <c r="U37" s="80" t="s">
        <v>211</v>
      </c>
      <c r="V37" s="25" t="s">
        <v>364</v>
      </c>
      <c r="W37" s="7">
        <f>SUM(M92,M123,M151)</f>
        <v>120</v>
      </c>
    </row>
    <row r="38" spans="1:24" ht="30" x14ac:dyDescent="0.25">
      <c r="A38" s="25"/>
      <c r="B38" s="25"/>
      <c r="C38" s="28" t="s">
        <v>90</v>
      </c>
      <c r="D38" s="25" t="s">
        <v>91</v>
      </c>
      <c r="E38" s="18"/>
      <c r="F38" s="18"/>
      <c r="G38" s="23">
        <v>3.3</v>
      </c>
      <c r="H38" s="18">
        <f t="shared" si="1"/>
        <v>11.417999999999999</v>
      </c>
      <c r="I38" s="29" t="s">
        <v>92</v>
      </c>
      <c r="J38" s="7" t="s">
        <v>18</v>
      </c>
      <c r="K38" s="8" t="s">
        <v>93</v>
      </c>
      <c r="L38" s="8" t="s">
        <v>18</v>
      </c>
      <c r="M38" s="7">
        <v>50</v>
      </c>
      <c r="N38" s="7" t="s">
        <v>18</v>
      </c>
      <c r="O38" s="68" t="s">
        <v>98</v>
      </c>
      <c r="P38" s="9"/>
      <c r="Q38" s="9" t="s">
        <v>382</v>
      </c>
      <c r="S38" s="11"/>
      <c r="T38" s="11"/>
      <c r="U38" s="81" t="s">
        <v>55</v>
      </c>
      <c r="V38" s="25" t="s">
        <v>52</v>
      </c>
      <c r="W38" s="7">
        <f>M19</f>
        <v>1070</v>
      </c>
    </row>
    <row r="39" spans="1:24" ht="30" x14ac:dyDescent="0.25">
      <c r="A39" s="33"/>
      <c r="B39" s="25"/>
      <c r="C39" s="28" t="s">
        <v>95</v>
      </c>
      <c r="D39" s="25" t="s">
        <v>96</v>
      </c>
      <c r="E39" s="18"/>
      <c r="F39" s="18"/>
      <c r="G39" s="23">
        <v>17</v>
      </c>
      <c r="H39" s="18">
        <f t="shared" si="1"/>
        <v>58.82</v>
      </c>
      <c r="I39" s="29" t="s">
        <v>97</v>
      </c>
      <c r="J39" s="7" t="s">
        <v>18</v>
      </c>
      <c r="K39" s="8" t="s">
        <v>93</v>
      </c>
      <c r="L39" s="8" t="s">
        <v>18</v>
      </c>
      <c r="M39" s="7">
        <f>50*3</f>
        <v>150</v>
      </c>
      <c r="N39" s="7" t="s">
        <v>18</v>
      </c>
      <c r="O39" s="68" t="s">
        <v>98</v>
      </c>
      <c r="P39" s="9"/>
      <c r="Q39" s="9" t="s">
        <v>382</v>
      </c>
      <c r="S39" s="11"/>
      <c r="T39" s="11"/>
      <c r="U39" s="82" t="s">
        <v>158</v>
      </c>
      <c r="V39" s="216" t="s">
        <v>402</v>
      </c>
      <c r="W39" s="7">
        <f>SUM(M65,M67)</f>
        <v>185</v>
      </c>
      <c r="X39" s="31">
        <f>SUM(W16:W39)</f>
        <v>17915</v>
      </c>
    </row>
    <row r="40" spans="1:24" x14ac:dyDescent="0.25">
      <c r="A40" s="33"/>
      <c r="B40" s="25"/>
      <c r="C40" s="28" t="s">
        <v>99</v>
      </c>
      <c r="D40" s="25" t="s">
        <v>17</v>
      </c>
      <c r="E40" s="18"/>
      <c r="F40" s="18"/>
      <c r="G40" s="23">
        <v>17.8</v>
      </c>
      <c r="H40" s="18">
        <f t="shared" si="1"/>
        <v>61.588000000000001</v>
      </c>
      <c r="I40" s="29"/>
      <c r="J40" s="7" t="s">
        <v>18</v>
      </c>
      <c r="K40" s="7" t="s">
        <v>18</v>
      </c>
      <c r="L40" s="8" t="s">
        <v>18</v>
      </c>
      <c r="M40" s="8" t="s">
        <v>18</v>
      </c>
      <c r="N40" s="7" t="s">
        <v>18</v>
      </c>
      <c r="O40" s="7" t="s">
        <v>18</v>
      </c>
      <c r="P40" s="9"/>
      <c r="Q40" s="9" t="s">
        <v>382</v>
      </c>
      <c r="S40" s="11"/>
      <c r="T40" s="11"/>
      <c r="U40" s="260" t="s">
        <v>161</v>
      </c>
      <c r="V40" s="253" t="s">
        <v>157</v>
      </c>
      <c r="W40" s="7">
        <f>M64</f>
        <v>50</v>
      </c>
    </row>
    <row r="41" spans="1:24" x14ac:dyDescent="0.25">
      <c r="A41" s="25"/>
      <c r="B41" s="25"/>
      <c r="C41" s="28" t="s">
        <v>100</v>
      </c>
      <c r="D41" s="25" t="s">
        <v>101</v>
      </c>
      <c r="E41" s="18" t="s">
        <v>42</v>
      </c>
      <c r="F41" s="18"/>
      <c r="G41" s="23">
        <v>4.5999999999999996</v>
      </c>
      <c r="H41" s="18">
        <f t="shared" si="1"/>
        <v>15.915999999999999</v>
      </c>
      <c r="I41" s="29"/>
      <c r="J41" s="18" t="s">
        <v>18</v>
      </c>
      <c r="K41" s="7">
        <v>5</v>
      </c>
      <c r="L41" s="8" t="s">
        <v>18</v>
      </c>
      <c r="M41" s="8">
        <f>ROUND(H41*K41,-1)</f>
        <v>80</v>
      </c>
      <c r="N41" s="7" t="s">
        <v>18</v>
      </c>
      <c r="O41" s="68" t="s">
        <v>98</v>
      </c>
      <c r="P41" s="9" t="s">
        <v>31</v>
      </c>
      <c r="Q41" s="9" t="s">
        <v>382</v>
      </c>
      <c r="S41" s="11"/>
      <c r="T41" s="11"/>
      <c r="U41" s="223" t="s">
        <v>394</v>
      </c>
    </row>
    <row r="42" spans="1:24" ht="30" x14ac:dyDescent="0.25">
      <c r="A42" s="25"/>
      <c r="B42" s="25"/>
      <c r="C42" s="28" t="s">
        <v>102</v>
      </c>
      <c r="D42" s="25" t="s">
        <v>103</v>
      </c>
      <c r="E42" s="18"/>
      <c r="F42" s="18"/>
      <c r="G42" s="23">
        <v>6.6</v>
      </c>
      <c r="H42" s="18">
        <f t="shared" si="1"/>
        <v>22.835999999999999</v>
      </c>
      <c r="I42" s="29" t="s">
        <v>92</v>
      </c>
      <c r="J42" s="7" t="s">
        <v>18</v>
      </c>
      <c r="K42" s="8" t="s">
        <v>93</v>
      </c>
      <c r="L42" s="8" t="s">
        <v>18</v>
      </c>
      <c r="M42" s="7">
        <v>50</v>
      </c>
      <c r="N42" s="7" t="s">
        <v>18</v>
      </c>
      <c r="O42" s="68" t="s">
        <v>98</v>
      </c>
      <c r="P42" s="9"/>
      <c r="Q42" s="9" t="s">
        <v>382</v>
      </c>
      <c r="S42" s="11"/>
      <c r="T42" s="11"/>
      <c r="U42" s="94" t="s">
        <v>37</v>
      </c>
      <c r="V42" s="253"/>
      <c r="W42" s="254">
        <f>SUM(M12,M13,M16,M29,M33,M36,,M95,M97,M99,M98,M100,M101,M102,M103,M104,M105,M109,M126,M127,M128,M129,M130,M131,M132,M134,M133,M154,M159,M160,M162,M163,M164,M165,M166)</f>
        <v>13610</v>
      </c>
    </row>
    <row r="43" spans="1:24" x14ac:dyDescent="0.25">
      <c r="A43" s="33"/>
      <c r="B43" s="25"/>
      <c r="C43" s="28" t="s">
        <v>104</v>
      </c>
      <c r="D43" s="25" t="s">
        <v>67</v>
      </c>
      <c r="E43" s="18"/>
      <c r="F43" s="18"/>
      <c r="G43" s="23">
        <v>46.4</v>
      </c>
      <c r="H43" s="18">
        <f t="shared" si="1"/>
        <v>160.54399999999998</v>
      </c>
      <c r="I43" s="8"/>
      <c r="J43" s="7" t="s">
        <v>18</v>
      </c>
      <c r="K43" s="8">
        <v>1</v>
      </c>
      <c r="L43" s="8" t="s">
        <v>18</v>
      </c>
      <c r="M43" s="8">
        <f>ROUND(H43*K43,-1)</f>
        <v>160</v>
      </c>
      <c r="N43" s="8" t="s">
        <v>18</v>
      </c>
      <c r="O43" s="99" t="s">
        <v>68</v>
      </c>
      <c r="P43" s="32"/>
      <c r="Q43" s="9" t="s">
        <v>384</v>
      </c>
      <c r="S43" s="11"/>
      <c r="T43" s="11"/>
    </row>
    <row r="44" spans="1:24" x14ac:dyDescent="0.25">
      <c r="A44" s="25"/>
      <c r="B44" s="25"/>
      <c r="C44" s="28" t="s">
        <v>105</v>
      </c>
      <c r="D44" s="25" t="s">
        <v>106</v>
      </c>
      <c r="E44" s="18"/>
      <c r="F44" s="18"/>
      <c r="G44" s="23">
        <v>18.7</v>
      </c>
      <c r="H44" s="18">
        <f t="shared" si="1"/>
        <v>64.701999999999998</v>
      </c>
      <c r="I44" s="29"/>
      <c r="J44" s="7" t="s">
        <v>36</v>
      </c>
      <c r="K44" s="8"/>
      <c r="L44" s="7">
        <f>SUM(M45:M46)</f>
        <v>325</v>
      </c>
      <c r="M44" s="8" t="s">
        <v>18</v>
      </c>
      <c r="N44" s="100" t="s">
        <v>74</v>
      </c>
      <c r="O44" s="7" t="s">
        <v>18</v>
      </c>
      <c r="P44" s="32"/>
      <c r="Q44" s="9" t="s">
        <v>382</v>
      </c>
      <c r="S44" s="11"/>
      <c r="T44" s="11"/>
      <c r="U44" s="233" t="s">
        <v>77</v>
      </c>
      <c r="V44" s="241" t="s">
        <v>366</v>
      </c>
    </row>
    <row r="45" spans="1:24" x14ac:dyDescent="0.25">
      <c r="A45" s="33"/>
      <c r="B45" s="25"/>
      <c r="C45" s="28" t="s">
        <v>107</v>
      </c>
      <c r="D45" s="25" t="s">
        <v>108</v>
      </c>
      <c r="E45" s="18"/>
      <c r="F45" s="18"/>
      <c r="G45" s="23">
        <v>6.3</v>
      </c>
      <c r="H45" s="18">
        <f t="shared" si="1"/>
        <v>21.797999999999998</v>
      </c>
      <c r="I45" s="29" t="s">
        <v>109</v>
      </c>
      <c r="J45" s="7" t="s">
        <v>18</v>
      </c>
      <c r="K45" s="8" t="s">
        <v>110</v>
      </c>
      <c r="L45" s="8" t="s">
        <v>18</v>
      </c>
      <c r="M45" s="7">
        <f>75*3</f>
        <v>225</v>
      </c>
      <c r="N45" s="7" t="s">
        <v>18</v>
      </c>
      <c r="O45" s="68" t="s">
        <v>98</v>
      </c>
      <c r="P45" s="35"/>
      <c r="Q45" s="9" t="s">
        <v>382</v>
      </c>
      <c r="S45" s="11"/>
      <c r="T45" s="11"/>
      <c r="U45" s="234" t="s">
        <v>84</v>
      </c>
      <c r="V45" s="241" t="s">
        <v>367</v>
      </c>
    </row>
    <row r="46" spans="1:24" ht="30" x14ac:dyDescent="0.25">
      <c r="A46" s="33"/>
      <c r="B46" s="25"/>
      <c r="C46" s="28" t="s">
        <v>111</v>
      </c>
      <c r="D46" s="25" t="s">
        <v>112</v>
      </c>
      <c r="E46" s="18"/>
      <c r="F46" s="18"/>
      <c r="G46" s="23">
        <v>5.7</v>
      </c>
      <c r="H46" s="18">
        <f t="shared" si="1"/>
        <v>19.722000000000001</v>
      </c>
      <c r="I46" s="29" t="s">
        <v>113</v>
      </c>
      <c r="J46" s="7" t="s">
        <v>18</v>
      </c>
      <c r="K46" s="8" t="s">
        <v>93</v>
      </c>
      <c r="L46" s="8" t="s">
        <v>18</v>
      </c>
      <c r="M46" s="7">
        <f>50*2</f>
        <v>100</v>
      </c>
      <c r="N46" s="7" t="s">
        <v>18</v>
      </c>
      <c r="O46" s="68" t="s">
        <v>98</v>
      </c>
      <c r="P46" s="35"/>
      <c r="Q46" s="9" t="s">
        <v>382</v>
      </c>
      <c r="S46" s="11"/>
      <c r="T46" s="11"/>
      <c r="U46" s="235" t="s">
        <v>143</v>
      </c>
      <c r="V46" s="241" t="s">
        <v>368</v>
      </c>
    </row>
    <row r="47" spans="1:24" ht="30" x14ac:dyDescent="0.25">
      <c r="A47" s="33"/>
      <c r="B47" s="25"/>
      <c r="C47" s="28" t="s">
        <v>114</v>
      </c>
      <c r="D47" s="25" t="s">
        <v>115</v>
      </c>
      <c r="E47" s="18"/>
      <c r="F47" s="18"/>
      <c r="G47" s="23">
        <v>6.1</v>
      </c>
      <c r="H47" s="18">
        <f t="shared" si="1"/>
        <v>21.105999999999998</v>
      </c>
      <c r="I47" s="29" t="s">
        <v>113</v>
      </c>
      <c r="J47" s="7" t="s">
        <v>18</v>
      </c>
      <c r="K47" s="8" t="s">
        <v>93</v>
      </c>
      <c r="L47" s="8" t="s">
        <v>18</v>
      </c>
      <c r="M47" s="36">
        <f>50*2</f>
        <v>100</v>
      </c>
      <c r="N47" s="7" t="s">
        <v>18</v>
      </c>
      <c r="O47" s="105" t="s">
        <v>116</v>
      </c>
      <c r="P47" s="35"/>
      <c r="Q47" s="9" t="s">
        <v>384</v>
      </c>
      <c r="S47" s="11"/>
      <c r="T47" s="11"/>
      <c r="U47" s="236" t="s">
        <v>146</v>
      </c>
      <c r="V47" s="241" t="s">
        <v>369</v>
      </c>
    </row>
    <row r="48" spans="1:24" x14ac:dyDescent="0.25">
      <c r="A48" s="33"/>
      <c r="B48" s="25"/>
      <c r="C48" s="28" t="s">
        <v>117</v>
      </c>
      <c r="D48" s="25" t="s">
        <v>118</v>
      </c>
      <c r="E48" s="18"/>
      <c r="F48" s="18"/>
      <c r="G48" s="23">
        <v>6.2</v>
      </c>
      <c r="H48" s="18">
        <f t="shared" si="1"/>
        <v>21.452000000000002</v>
      </c>
      <c r="I48" s="29" t="s">
        <v>109</v>
      </c>
      <c r="J48" s="7" t="s">
        <v>18</v>
      </c>
      <c r="K48" s="8" t="s">
        <v>110</v>
      </c>
      <c r="L48" s="8" t="s">
        <v>18</v>
      </c>
      <c r="M48" s="36">
        <f>75*3</f>
        <v>225</v>
      </c>
      <c r="N48" s="7" t="s">
        <v>18</v>
      </c>
      <c r="O48" s="105" t="s">
        <v>116</v>
      </c>
      <c r="P48" s="35"/>
      <c r="Q48" s="9" t="s">
        <v>384</v>
      </c>
      <c r="S48" s="11"/>
      <c r="T48" s="11"/>
      <c r="U48" s="237" t="s">
        <v>153</v>
      </c>
      <c r="V48" s="241" t="s">
        <v>370</v>
      </c>
    </row>
    <row r="49" spans="1:22" x14ac:dyDescent="0.25">
      <c r="A49" s="33"/>
      <c r="B49" s="25"/>
      <c r="C49" s="28" t="s">
        <v>119</v>
      </c>
      <c r="D49" s="25" t="s">
        <v>106</v>
      </c>
      <c r="E49" s="18"/>
      <c r="F49" s="18"/>
      <c r="G49" s="23">
        <v>18.8</v>
      </c>
      <c r="H49" s="18">
        <f t="shared" si="1"/>
        <v>65.048000000000002</v>
      </c>
      <c r="I49" s="29"/>
      <c r="J49" s="7" t="s">
        <v>36</v>
      </c>
      <c r="K49" s="7" t="s">
        <v>18</v>
      </c>
      <c r="L49" s="7">
        <f>SUM(M47:M48)</f>
        <v>325</v>
      </c>
      <c r="M49" s="8" t="s">
        <v>18</v>
      </c>
      <c r="N49" s="106" t="s">
        <v>120</v>
      </c>
      <c r="O49" s="7" t="s">
        <v>18</v>
      </c>
      <c r="P49" s="32"/>
      <c r="Q49" s="9" t="s">
        <v>384</v>
      </c>
      <c r="S49" s="11"/>
      <c r="T49" s="11"/>
      <c r="U49" s="238" t="s">
        <v>169</v>
      </c>
      <c r="V49" s="241" t="s">
        <v>371</v>
      </c>
    </row>
    <row r="50" spans="1:22" x14ac:dyDescent="0.25">
      <c r="A50" s="33"/>
      <c r="B50" s="25"/>
      <c r="C50" s="28" t="s">
        <v>121</v>
      </c>
      <c r="D50" s="25" t="s">
        <v>17</v>
      </c>
      <c r="E50" s="18"/>
      <c r="F50" s="18"/>
      <c r="G50" s="23">
        <v>18.899999999999999</v>
      </c>
      <c r="H50" s="18">
        <f t="shared" si="1"/>
        <v>65.393999999999991</v>
      </c>
      <c r="I50" s="29"/>
      <c r="J50" s="7" t="s">
        <v>18</v>
      </c>
      <c r="K50" s="7" t="s">
        <v>18</v>
      </c>
      <c r="L50" s="8" t="s">
        <v>18</v>
      </c>
      <c r="M50" s="8" t="s">
        <v>18</v>
      </c>
      <c r="N50" s="7" t="s">
        <v>18</v>
      </c>
      <c r="O50" s="7" t="s">
        <v>18</v>
      </c>
      <c r="P50" s="9"/>
      <c r="Q50" s="9" t="s">
        <v>384</v>
      </c>
      <c r="S50" s="11"/>
      <c r="T50" s="11"/>
      <c r="U50" s="239" t="s">
        <v>172</v>
      </c>
      <c r="V50" s="241" t="s">
        <v>372</v>
      </c>
    </row>
    <row r="51" spans="1:22" ht="45" x14ac:dyDescent="0.25">
      <c r="A51" s="25"/>
      <c r="B51" s="25"/>
      <c r="C51" s="28" t="s">
        <v>122</v>
      </c>
      <c r="D51" s="25" t="s">
        <v>123</v>
      </c>
      <c r="E51" s="18"/>
      <c r="F51" s="18"/>
      <c r="G51" s="23">
        <v>18.399999999999999</v>
      </c>
      <c r="H51" s="18">
        <f t="shared" si="1"/>
        <v>63.663999999999994</v>
      </c>
      <c r="I51" s="29" t="s">
        <v>124</v>
      </c>
      <c r="J51" s="7" t="s">
        <v>18</v>
      </c>
      <c r="K51" s="8" t="s">
        <v>125</v>
      </c>
      <c r="L51" s="8" t="s">
        <v>18</v>
      </c>
      <c r="M51" s="7">
        <f>50*2+2*25</f>
        <v>150</v>
      </c>
      <c r="N51" s="7" t="s">
        <v>18</v>
      </c>
      <c r="O51" s="105" t="s">
        <v>116</v>
      </c>
      <c r="P51" s="35"/>
      <c r="Q51" s="9" t="s">
        <v>384</v>
      </c>
      <c r="S51" s="11"/>
      <c r="T51" s="11"/>
      <c r="U51" s="240" t="s">
        <v>175</v>
      </c>
      <c r="V51" s="241" t="s">
        <v>373</v>
      </c>
    </row>
    <row r="52" spans="1:22" x14ac:dyDescent="0.25">
      <c r="A52" s="33"/>
      <c r="B52" s="25"/>
      <c r="C52" s="28" t="s">
        <v>126</v>
      </c>
      <c r="D52" s="25" t="s">
        <v>89</v>
      </c>
      <c r="E52" s="18"/>
      <c r="F52" s="18"/>
      <c r="G52" s="23">
        <v>27.8</v>
      </c>
      <c r="H52" s="18">
        <f t="shared" si="1"/>
        <v>96.188000000000002</v>
      </c>
      <c r="I52" s="29"/>
      <c r="J52" s="7" t="s">
        <v>18</v>
      </c>
      <c r="K52" s="7" t="s">
        <v>18</v>
      </c>
      <c r="L52" s="8" t="s">
        <v>18</v>
      </c>
      <c r="M52" s="8" t="s">
        <v>18</v>
      </c>
      <c r="N52" s="7" t="s">
        <v>18</v>
      </c>
      <c r="O52" s="7" t="s">
        <v>18</v>
      </c>
      <c r="P52" s="35"/>
      <c r="Q52" s="9" t="s">
        <v>384</v>
      </c>
      <c r="S52" s="11"/>
      <c r="T52" s="11"/>
    </row>
    <row r="53" spans="1:22" ht="45" x14ac:dyDescent="0.25">
      <c r="A53" s="25"/>
      <c r="B53" s="25"/>
      <c r="C53" s="28" t="s">
        <v>127</v>
      </c>
      <c r="D53" s="25" t="s">
        <v>128</v>
      </c>
      <c r="E53" s="18"/>
      <c r="F53" s="18"/>
      <c r="G53" s="23">
        <v>12.1</v>
      </c>
      <c r="H53" s="18">
        <f t="shared" si="1"/>
        <v>41.866</v>
      </c>
      <c r="I53" s="29" t="s">
        <v>129</v>
      </c>
      <c r="J53" s="7" t="s">
        <v>36</v>
      </c>
      <c r="K53" s="8" t="s">
        <v>130</v>
      </c>
      <c r="L53" s="7">
        <f>M53</f>
        <v>130</v>
      </c>
      <c r="M53" s="7">
        <f>50+80</f>
        <v>130</v>
      </c>
      <c r="N53" s="106" t="s">
        <v>120</v>
      </c>
      <c r="O53" s="105" t="s">
        <v>116</v>
      </c>
      <c r="P53" s="9"/>
      <c r="Q53" s="9" t="s">
        <v>384</v>
      </c>
      <c r="S53" s="11"/>
      <c r="T53" s="11"/>
    </row>
    <row r="54" spans="1:22" x14ac:dyDescent="0.25">
      <c r="A54" s="33"/>
      <c r="B54" s="25"/>
      <c r="C54" s="28" t="s">
        <v>131</v>
      </c>
      <c r="D54" s="25" t="s">
        <v>60</v>
      </c>
      <c r="E54" s="18"/>
      <c r="F54" s="18"/>
      <c r="G54" s="23">
        <v>2.2000000000000002</v>
      </c>
      <c r="H54" s="18">
        <f t="shared" si="1"/>
        <v>7.6120000000000001</v>
      </c>
      <c r="I54" s="29"/>
      <c r="J54" s="7" t="s">
        <v>18</v>
      </c>
      <c r="K54" s="7" t="s">
        <v>18</v>
      </c>
      <c r="L54" s="8" t="s">
        <v>18</v>
      </c>
      <c r="M54" s="8" t="s">
        <v>18</v>
      </c>
      <c r="N54" s="7" t="s">
        <v>18</v>
      </c>
      <c r="O54" s="7" t="s">
        <v>18</v>
      </c>
      <c r="P54" s="9"/>
      <c r="Q54" s="9" t="s">
        <v>385</v>
      </c>
      <c r="S54" s="11"/>
      <c r="T54" s="11"/>
    </row>
    <row r="55" spans="1:22" ht="30" x14ac:dyDescent="0.25">
      <c r="A55" s="25"/>
      <c r="B55" s="25"/>
      <c r="C55" s="28" t="s">
        <v>132</v>
      </c>
      <c r="D55" s="25" t="s">
        <v>133</v>
      </c>
      <c r="E55" s="18"/>
      <c r="F55" s="18"/>
      <c r="G55" s="23">
        <v>114.5</v>
      </c>
      <c r="H55" s="18">
        <f t="shared" si="1"/>
        <v>396.17</v>
      </c>
      <c r="I55" s="8">
        <v>110</v>
      </c>
      <c r="J55" s="8" t="s">
        <v>134</v>
      </c>
      <c r="K55" s="8" t="s">
        <v>135</v>
      </c>
      <c r="L55" s="7">
        <f>SUM(M55:M59,M68:M71)-SUM(L56:L59,L68:L71)</f>
        <v>3190</v>
      </c>
      <c r="M55" s="7">
        <f>20*I55</f>
        <v>2200</v>
      </c>
      <c r="N55" s="56" t="s">
        <v>136</v>
      </c>
      <c r="O55" s="66" t="s">
        <v>30</v>
      </c>
      <c r="P55" s="32"/>
      <c r="Q55" s="9" t="s">
        <v>385</v>
      </c>
      <c r="S55" s="11"/>
      <c r="T55" s="11"/>
    </row>
    <row r="56" spans="1:22" x14ac:dyDescent="0.25">
      <c r="A56" s="25"/>
      <c r="B56" s="25"/>
      <c r="C56" s="28" t="s">
        <v>137</v>
      </c>
      <c r="D56" s="25" t="s">
        <v>138</v>
      </c>
      <c r="E56" s="18" t="s">
        <v>42</v>
      </c>
      <c r="F56" s="18"/>
      <c r="G56" s="23">
        <v>18.399999999999999</v>
      </c>
      <c r="H56" s="18">
        <f t="shared" si="1"/>
        <v>63.663999999999994</v>
      </c>
      <c r="I56" s="8"/>
      <c r="J56" s="7" t="s">
        <v>139</v>
      </c>
      <c r="K56" s="8">
        <v>6</v>
      </c>
      <c r="L56" s="7">
        <f>SUM(M57:M59)</f>
        <v>3500</v>
      </c>
      <c r="M56" s="8">
        <f>ROUND(H56*K56,-1)</f>
        <v>380</v>
      </c>
      <c r="N56" s="57" t="s">
        <v>140</v>
      </c>
      <c r="O56" s="67" t="s">
        <v>42</v>
      </c>
      <c r="P56" s="32"/>
      <c r="Q56" s="9" t="s">
        <v>385</v>
      </c>
      <c r="S56" s="11"/>
      <c r="T56" s="11"/>
    </row>
    <row r="57" spans="1:22" ht="30" x14ac:dyDescent="0.25">
      <c r="A57" s="25"/>
      <c r="B57" s="25"/>
      <c r="C57" s="269"/>
      <c r="D57" s="25" t="s">
        <v>141</v>
      </c>
      <c r="E57" s="18"/>
      <c r="F57" s="18"/>
      <c r="G57" s="23"/>
      <c r="H57" s="18"/>
      <c r="I57" s="8"/>
      <c r="J57" s="7" t="s">
        <v>18</v>
      </c>
      <c r="K57" s="8" t="s">
        <v>142</v>
      </c>
      <c r="L57" s="8" t="s">
        <v>18</v>
      </c>
      <c r="M57" s="8">
        <v>2000</v>
      </c>
      <c r="N57" s="7" t="s">
        <v>18</v>
      </c>
      <c r="O57" s="235" t="s">
        <v>143</v>
      </c>
      <c r="P57" s="32"/>
      <c r="Q57" s="32"/>
      <c r="S57" s="11"/>
      <c r="T57" s="11"/>
    </row>
    <row r="58" spans="1:22" ht="30" x14ac:dyDescent="0.25">
      <c r="A58" s="25"/>
      <c r="B58" s="25"/>
      <c r="C58" s="273"/>
      <c r="D58" s="25" t="s">
        <v>144</v>
      </c>
      <c r="E58" s="18"/>
      <c r="F58" s="18"/>
      <c r="G58" s="23"/>
      <c r="H58" s="18"/>
      <c r="I58" s="8"/>
      <c r="J58" s="7" t="s">
        <v>18</v>
      </c>
      <c r="K58" s="8" t="s">
        <v>145</v>
      </c>
      <c r="L58" s="8" t="s">
        <v>18</v>
      </c>
      <c r="M58" s="8">
        <v>900</v>
      </c>
      <c r="N58" s="7" t="s">
        <v>18</v>
      </c>
      <c r="O58" s="236" t="s">
        <v>146</v>
      </c>
      <c r="P58" s="32"/>
      <c r="Q58" s="32"/>
      <c r="S58" s="11"/>
      <c r="T58" s="11"/>
    </row>
    <row r="59" spans="1:22" ht="30" x14ac:dyDescent="0.25">
      <c r="A59" s="25"/>
      <c r="B59" s="25"/>
      <c r="C59" s="270"/>
      <c r="D59" s="25" t="s">
        <v>147</v>
      </c>
      <c r="E59" s="18"/>
      <c r="F59" s="18"/>
      <c r="G59" s="23"/>
      <c r="H59" s="18"/>
      <c r="I59" s="8"/>
      <c r="J59" s="7" t="s">
        <v>18</v>
      </c>
      <c r="K59" s="8" t="s">
        <v>145</v>
      </c>
      <c r="L59" s="8" t="s">
        <v>18</v>
      </c>
      <c r="M59" s="8">
        <v>600</v>
      </c>
      <c r="N59" s="7" t="s">
        <v>18</v>
      </c>
      <c r="O59" s="236" t="s">
        <v>146</v>
      </c>
      <c r="P59" s="32"/>
      <c r="Q59" s="32"/>
      <c r="S59" s="11"/>
      <c r="T59" s="11"/>
    </row>
    <row r="60" spans="1:22" ht="30" x14ac:dyDescent="0.25">
      <c r="A60" s="25"/>
      <c r="B60" s="25"/>
      <c r="C60" s="28" t="s">
        <v>148</v>
      </c>
      <c r="D60" s="25" t="s">
        <v>35</v>
      </c>
      <c r="E60" s="18"/>
      <c r="F60" s="18"/>
      <c r="G60" s="23">
        <v>21.2</v>
      </c>
      <c r="H60" s="18">
        <f>G60*3.46</f>
        <v>73.352000000000004</v>
      </c>
      <c r="I60" s="29"/>
      <c r="J60" s="7" t="s">
        <v>149</v>
      </c>
      <c r="K60" s="7" t="s">
        <v>18</v>
      </c>
      <c r="L60" s="7">
        <f>SUM(M60:M67)-SUM(L61:L67)</f>
        <v>290</v>
      </c>
      <c r="M60" s="8" t="s">
        <v>18</v>
      </c>
      <c r="N60" s="57" t="s">
        <v>140</v>
      </c>
      <c r="O60" s="7" t="s">
        <v>18</v>
      </c>
      <c r="P60" s="9"/>
      <c r="Q60" s="9" t="s">
        <v>385</v>
      </c>
      <c r="S60" s="11"/>
      <c r="T60" s="11"/>
    </row>
    <row r="61" spans="1:22" ht="30" x14ac:dyDescent="0.25">
      <c r="A61" s="25"/>
      <c r="B61" s="25"/>
      <c r="C61" s="28" t="s">
        <v>150</v>
      </c>
      <c r="D61" s="25" t="s">
        <v>151</v>
      </c>
      <c r="E61" s="18" t="s">
        <v>42</v>
      </c>
      <c r="F61" s="18"/>
      <c r="G61" s="23">
        <v>4</v>
      </c>
      <c r="H61" s="18">
        <f>G61*3.46</f>
        <v>13.84</v>
      </c>
      <c r="I61" s="8"/>
      <c r="J61" s="7" t="s">
        <v>139</v>
      </c>
      <c r="K61" s="8">
        <v>6</v>
      </c>
      <c r="L61" s="7">
        <f>SUM(M62)</f>
        <v>800</v>
      </c>
      <c r="M61" s="8">
        <f>ROUND(H61*K61,-1)</f>
        <v>80</v>
      </c>
      <c r="N61" s="57" t="s">
        <v>140</v>
      </c>
      <c r="O61" s="67" t="s">
        <v>42</v>
      </c>
      <c r="P61" s="9" t="s">
        <v>31</v>
      </c>
      <c r="Q61" s="9" t="s">
        <v>385</v>
      </c>
      <c r="S61" s="11"/>
      <c r="T61" s="11"/>
    </row>
    <row r="62" spans="1:22" ht="30" x14ac:dyDescent="0.25">
      <c r="A62" s="25"/>
      <c r="B62" s="25"/>
      <c r="C62" s="28"/>
      <c r="D62" s="25" t="s">
        <v>152</v>
      </c>
      <c r="E62" s="18"/>
      <c r="F62" s="18"/>
      <c r="G62" s="23"/>
      <c r="H62" s="18"/>
      <c r="I62" s="8"/>
      <c r="J62" s="232" t="s">
        <v>18</v>
      </c>
      <c r="K62" s="8" t="s">
        <v>145</v>
      </c>
      <c r="L62" s="8" t="s">
        <v>18</v>
      </c>
      <c r="M62" s="8">
        <v>800</v>
      </c>
      <c r="N62" s="7" t="s">
        <v>18</v>
      </c>
      <c r="O62" s="237" t="s">
        <v>153</v>
      </c>
      <c r="P62" s="9" t="s">
        <v>31</v>
      </c>
      <c r="Q62" s="9"/>
      <c r="S62" s="11"/>
      <c r="T62" s="11"/>
    </row>
    <row r="63" spans="1:22" x14ac:dyDescent="0.25">
      <c r="A63" s="25"/>
      <c r="B63" s="25"/>
      <c r="C63" s="28" t="s">
        <v>154</v>
      </c>
      <c r="D63" s="25" t="s">
        <v>155</v>
      </c>
      <c r="E63" s="18" t="s">
        <v>42</v>
      </c>
      <c r="F63" s="18"/>
      <c r="G63" s="23">
        <v>6.6</v>
      </c>
      <c r="H63" s="18">
        <f t="shared" ref="H63:H68" si="2">G63*3.46</f>
        <v>22.835999999999999</v>
      </c>
      <c r="I63" s="8"/>
      <c r="J63" s="7">
        <v>3</v>
      </c>
      <c r="K63" s="7" t="s">
        <v>18</v>
      </c>
      <c r="L63" s="7">
        <f>ROUND(H63*J63,-1)</f>
        <v>70</v>
      </c>
      <c r="M63" s="8" t="s">
        <v>18</v>
      </c>
      <c r="N63" s="57" t="s">
        <v>140</v>
      </c>
      <c r="O63" s="8"/>
      <c r="P63" s="9" t="s">
        <v>31</v>
      </c>
      <c r="Q63" s="9" t="s">
        <v>385</v>
      </c>
      <c r="S63" s="11"/>
      <c r="T63" s="11"/>
    </row>
    <row r="64" spans="1:22" x14ac:dyDescent="0.25">
      <c r="A64" s="25"/>
      <c r="B64" s="25"/>
      <c r="C64" s="28" t="s">
        <v>156</v>
      </c>
      <c r="D64" s="25" t="s">
        <v>157</v>
      </c>
      <c r="E64" s="18" t="s">
        <v>42</v>
      </c>
      <c r="F64" s="18"/>
      <c r="G64" s="23">
        <v>3.7</v>
      </c>
      <c r="H64" s="18">
        <f t="shared" si="2"/>
        <v>12.802</v>
      </c>
      <c r="I64" s="29"/>
      <c r="J64" s="7" t="s">
        <v>18</v>
      </c>
      <c r="K64" s="7">
        <v>1</v>
      </c>
      <c r="L64" s="8" t="s">
        <v>18</v>
      </c>
      <c r="M64" s="8">
        <v>50</v>
      </c>
      <c r="N64" s="7" t="s">
        <v>18</v>
      </c>
      <c r="O64" s="82" t="s">
        <v>161</v>
      </c>
      <c r="P64" s="9" t="s">
        <v>31</v>
      </c>
      <c r="Q64" s="9" t="s">
        <v>385</v>
      </c>
      <c r="S64" s="11"/>
      <c r="T64" s="11"/>
    </row>
    <row r="65" spans="1:20" ht="38.25" customHeight="1" x14ac:dyDescent="0.25">
      <c r="A65" s="25"/>
      <c r="B65" s="25"/>
      <c r="C65" s="28" t="s">
        <v>159</v>
      </c>
      <c r="D65" s="25" t="s">
        <v>160</v>
      </c>
      <c r="E65" s="18"/>
      <c r="F65" s="18"/>
      <c r="G65" s="23">
        <v>6</v>
      </c>
      <c r="H65" s="18">
        <f t="shared" si="2"/>
        <v>20.759999999999998</v>
      </c>
      <c r="I65" s="29" t="s">
        <v>129</v>
      </c>
      <c r="J65" s="7" t="s">
        <v>36</v>
      </c>
      <c r="K65" s="8" t="s">
        <v>130</v>
      </c>
      <c r="L65" s="7">
        <f>M65</f>
        <v>125</v>
      </c>
      <c r="M65" s="7">
        <f>50+75</f>
        <v>125</v>
      </c>
      <c r="N65" s="57" t="s">
        <v>140</v>
      </c>
      <c r="O65" s="82" t="s">
        <v>158</v>
      </c>
      <c r="P65" s="9"/>
      <c r="Q65" s="9" t="s">
        <v>385</v>
      </c>
      <c r="S65" s="11"/>
      <c r="T65" s="11"/>
    </row>
    <row r="66" spans="1:20" ht="38.25" customHeight="1" x14ac:dyDescent="0.25">
      <c r="A66" s="33"/>
      <c r="B66" s="25"/>
      <c r="C66" s="28" t="s">
        <v>162</v>
      </c>
      <c r="D66" s="25" t="s">
        <v>163</v>
      </c>
      <c r="E66" s="18" t="s">
        <v>42</v>
      </c>
      <c r="F66" s="18"/>
      <c r="G66" s="23">
        <v>4.8</v>
      </c>
      <c r="H66" s="18">
        <f t="shared" si="2"/>
        <v>16.608000000000001</v>
      </c>
      <c r="I66" s="29"/>
      <c r="J66" s="18" t="s">
        <v>18</v>
      </c>
      <c r="K66" s="8">
        <v>10</v>
      </c>
      <c r="L66" s="8" t="s">
        <v>18</v>
      </c>
      <c r="M66" s="8">
        <f>ROUND(H66*K66,-1)</f>
        <v>170</v>
      </c>
      <c r="N66" s="7" t="s">
        <v>18</v>
      </c>
      <c r="O66" s="249" t="s">
        <v>49</v>
      </c>
      <c r="P66" s="9" t="s">
        <v>31</v>
      </c>
      <c r="Q66" s="9" t="s">
        <v>385</v>
      </c>
      <c r="S66" s="11"/>
      <c r="T66" s="11"/>
    </row>
    <row r="67" spans="1:20" ht="24.75" customHeight="1" x14ac:dyDescent="0.25">
      <c r="A67" s="25"/>
      <c r="B67" s="25"/>
      <c r="C67" s="28" t="s">
        <v>165</v>
      </c>
      <c r="D67" s="25" t="s">
        <v>101</v>
      </c>
      <c r="E67" s="18" t="s">
        <v>42</v>
      </c>
      <c r="F67" s="18"/>
      <c r="G67" s="23">
        <v>3.5</v>
      </c>
      <c r="H67" s="18">
        <f t="shared" si="2"/>
        <v>12.11</v>
      </c>
      <c r="I67" s="29"/>
      <c r="J67" s="18" t="s">
        <v>18</v>
      </c>
      <c r="K67" s="7">
        <v>5</v>
      </c>
      <c r="L67" s="8" t="s">
        <v>18</v>
      </c>
      <c r="M67" s="8">
        <f>ROUND(H67*K67,-1)</f>
        <v>60</v>
      </c>
      <c r="N67" s="7" t="s">
        <v>18</v>
      </c>
      <c r="O67" s="82" t="s">
        <v>158</v>
      </c>
      <c r="P67" s="9" t="s">
        <v>31</v>
      </c>
      <c r="Q67" s="9" t="s">
        <v>385</v>
      </c>
      <c r="S67" s="11"/>
      <c r="T67" s="11"/>
    </row>
    <row r="68" spans="1:20" ht="48" customHeight="1" x14ac:dyDescent="0.25">
      <c r="A68" s="25"/>
      <c r="B68" s="25"/>
      <c r="C68" s="28" t="s">
        <v>166</v>
      </c>
      <c r="D68" s="25" t="s">
        <v>167</v>
      </c>
      <c r="E68" s="18" t="s">
        <v>42</v>
      </c>
      <c r="F68" s="18"/>
      <c r="G68" s="23">
        <v>29.2</v>
      </c>
      <c r="H68" s="18">
        <f t="shared" si="2"/>
        <v>101.032</v>
      </c>
      <c r="I68" s="8"/>
      <c r="J68" s="7" t="s">
        <v>139</v>
      </c>
      <c r="K68" s="8">
        <v>6</v>
      </c>
      <c r="L68" s="7">
        <f>SUM(M69:M71)</f>
        <v>3900</v>
      </c>
      <c r="M68" s="8">
        <f>ROUND(H68*K68,-1)</f>
        <v>610</v>
      </c>
      <c r="N68" s="57" t="s">
        <v>140</v>
      </c>
      <c r="O68" s="67" t="s">
        <v>42</v>
      </c>
      <c r="P68" s="32"/>
      <c r="Q68" s="9" t="s">
        <v>386</v>
      </c>
      <c r="S68" s="11"/>
      <c r="T68" s="11"/>
    </row>
    <row r="69" spans="1:20" ht="68.25" customHeight="1" x14ac:dyDescent="0.25">
      <c r="A69" s="25"/>
      <c r="B69" s="25"/>
      <c r="C69" s="269"/>
      <c r="D69" s="25" t="s">
        <v>168</v>
      </c>
      <c r="E69" s="18"/>
      <c r="F69" s="18"/>
      <c r="G69" s="23"/>
      <c r="H69" s="18"/>
      <c r="I69" s="8"/>
      <c r="J69" s="7" t="s">
        <v>18</v>
      </c>
      <c r="K69" s="8" t="s">
        <v>145</v>
      </c>
      <c r="L69" s="8" t="s">
        <v>18</v>
      </c>
      <c r="M69" s="8">
        <v>1300</v>
      </c>
      <c r="N69" s="7" t="s">
        <v>18</v>
      </c>
      <c r="O69" s="238" t="s">
        <v>169</v>
      </c>
      <c r="P69" s="32"/>
      <c r="Q69" s="32"/>
      <c r="S69" s="11"/>
      <c r="T69" s="11"/>
    </row>
    <row r="70" spans="1:20" ht="50.25" customHeight="1" x14ac:dyDescent="0.25">
      <c r="A70" s="25"/>
      <c r="B70" s="25"/>
      <c r="C70" s="273"/>
      <c r="D70" s="25" t="s">
        <v>170</v>
      </c>
      <c r="E70" s="18"/>
      <c r="F70" s="18"/>
      <c r="G70" s="23"/>
      <c r="H70" s="18"/>
      <c r="I70" s="8"/>
      <c r="J70" s="7" t="s">
        <v>18</v>
      </c>
      <c r="K70" s="8" t="s">
        <v>171</v>
      </c>
      <c r="L70" s="8" t="s">
        <v>18</v>
      </c>
      <c r="M70" s="8">
        <v>1400</v>
      </c>
      <c r="N70" s="7" t="s">
        <v>18</v>
      </c>
      <c r="O70" s="239" t="s">
        <v>172</v>
      </c>
      <c r="P70" s="32"/>
      <c r="Q70" s="32"/>
      <c r="S70" s="11"/>
      <c r="T70" s="11"/>
    </row>
    <row r="71" spans="1:20" ht="48" customHeight="1" x14ac:dyDescent="0.25">
      <c r="A71" s="25"/>
      <c r="B71" s="25"/>
      <c r="C71" s="270"/>
      <c r="D71" s="25" t="s">
        <v>173</v>
      </c>
      <c r="E71" s="18"/>
      <c r="F71" s="18"/>
      <c r="G71" s="23"/>
      <c r="H71" s="18"/>
      <c r="I71" s="8"/>
      <c r="J71" s="7" t="s">
        <v>18</v>
      </c>
      <c r="K71" s="8" t="s">
        <v>174</v>
      </c>
      <c r="L71" s="8" t="s">
        <v>18</v>
      </c>
      <c r="M71" s="8">
        <v>1200</v>
      </c>
      <c r="N71" s="7" t="s">
        <v>18</v>
      </c>
      <c r="O71" s="240" t="s">
        <v>175</v>
      </c>
      <c r="P71" s="32"/>
      <c r="Q71" s="32"/>
      <c r="S71" s="11"/>
      <c r="T71" s="11"/>
    </row>
    <row r="72" spans="1:20" ht="48" customHeight="1" x14ac:dyDescent="0.25">
      <c r="A72" s="25"/>
      <c r="B72" s="25"/>
      <c r="C72" s="28" t="s">
        <v>176</v>
      </c>
      <c r="D72" s="25" t="s">
        <v>177</v>
      </c>
      <c r="E72" s="18"/>
      <c r="F72" s="18" t="s">
        <v>178</v>
      </c>
      <c r="G72" s="23">
        <v>18.7</v>
      </c>
      <c r="H72" s="18">
        <f t="shared" ref="H72:H78" si="3">G72*3.46</f>
        <v>64.701999999999998</v>
      </c>
      <c r="I72" s="29">
        <v>1</v>
      </c>
      <c r="J72" s="8" t="s">
        <v>64</v>
      </c>
      <c r="K72" s="8" t="s">
        <v>64</v>
      </c>
      <c r="L72" s="7">
        <f>60*I72</f>
        <v>60</v>
      </c>
      <c r="M72" s="7">
        <f>60*I72</f>
        <v>60</v>
      </c>
      <c r="N72" s="108" t="s">
        <v>179</v>
      </c>
      <c r="O72" s="247" t="s">
        <v>305</v>
      </c>
      <c r="P72" s="32"/>
      <c r="Q72" s="9" t="s">
        <v>343</v>
      </c>
      <c r="S72" s="11"/>
      <c r="T72" s="11"/>
    </row>
    <row r="73" spans="1:20" ht="39.75" customHeight="1" x14ac:dyDescent="0.25">
      <c r="A73" s="33"/>
      <c r="B73" s="25"/>
      <c r="C73" s="28" t="s">
        <v>181</v>
      </c>
      <c r="D73" s="25" t="s">
        <v>182</v>
      </c>
      <c r="E73" s="18"/>
      <c r="F73" s="18" t="s">
        <v>178</v>
      </c>
      <c r="G73" s="23">
        <v>12.9</v>
      </c>
      <c r="H73" s="18">
        <f t="shared" si="3"/>
        <v>44.634</v>
      </c>
      <c r="I73" s="29"/>
      <c r="J73" s="8">
        <v>8</v>
      </c>
      <c r="K73" s="7">
        <v>8</v>
      </c>
      <c r="L73" s="7">
        <f>ROUND(H73*J73,-1)</f>
        <v>360</v>
      </c>
      <c r="M73" s="8">
        <f>ROUND(H73*K73,-1)</f>
        <v>360</v>
      </c>
      <c r="N73" s="108" t="s">
        <v>179</v>
      </c>
      <c r="O73" s="247" t="s">
        <v>305</v>
      </c>
      <c r="P73" s="9"/>
      <c r="Q73" s="9" t="s">
        <v>343</v>
      </c>
      <c r="S73" s="11"/>
      <c r="T73" s="11"/>
    </row>
    <row r="74" spans="1:20" ht="74.25" customHeight="1" x14ac:dyDescent="0.25">
      <c r="A74" s="33"/>
      <c r="B74" s="25"/>
      <c r="C74" s="28" t="s">
        <v>183</v>
      </c>
      <c r="D74" s="216" t="s">
        <v>184</v>
      </c>
      <c r="E74" s="18" t="s">
        <v>42</v>
      </c>
      <c r="F74" s="18"/>
      <c r="G74" s="23">
        <v>5.5</v>
      </c>
      <c r="H74" s="18">
        <f t="shared" si="3"/>
        <v>19.03</v>
      </c>
      <c r="I74" s="29"/>
      <c r="J74" s="18" t="s">
        <v>18</v>
      </c>
      <c r="K74" s="7">
        <v>5</v>
      </c>
      <c r="L74" s="8" t="s">
        <v>18</v>
      </c>
      <c r="M74" s="8">
        <f>ROUND(H74*K74,-1)</f>
        <v>100</v>
      </c>
      <c r="N74" s="7" t="s">
        <v>18</v>
      </c>
      <c r="O74" s="109" t="s">
        <v>185</v>
      </c>
      <c r="P74" s="9" t="s">
        <v>31</v>
      </c>
      <c r="Q74" s="9" t="s">
        <v>343</v>
      </c>
      <c r="S74" s="11"/>
      <c r="T74" s="11"/>
    </row>
    <row r="75" spans="1:20" ht="59.25" customHeight="1" x14ac:dyDescent="0.25">
      <c r="A75" s="33"/>
      <c r="B75" s="25"/>
      <c r="C75" s="28" t="s">
        <v>186</v>
      </c>
      <c r="D75" s="25" t="s">
        <v>187</v>
      </c>
      <c r="E75" s="18"/>
      <c r="F75" s="18"/>
      <c r="G75" s="23">
        <v>3.4</v>
      </c>
      <c r="H75" s="18">
        <f t="shared" si="3"/>
        <v>11.763999999999999</v>
      </c>
      <c r="I75" s="29"/>
      <c r="J75" s="7" t="s">
        <v>36</v>
      </c>
      <c r="K75" s="7" t="s">
        <v>18</v>
      </c>
      <c r="L75" s="7">
        <f>SUM(M72:M75)-SUM(L72:L74)</f>
        <v>100</v>
      </c>
      <c r="M75" s="8" t="s">
        <v>18</v>
      </c>
      <c r="N75" s="108" t="s">
        <v>179</v>
      </c>
      <c r="O75" s="8"/>
      <c r="P75" s="9"/>
      <c r="Q75" s="9" t="s">
        <v>343</v>
      </c>
      <c r="S75" s="11"/>
      <c r="T75" s="11"/>
    </row>
    <row r="76" spans="1:20" x14ac:dyDescent="0.25">
      <c r="A76" s="33"/>
      <c r="B76" s="25"/>
      <c r="C76" s="28" t="s">
        <v>188</v>
      </c>
      <c r="D76" s="25" t="s">
        <v>189</v>
      </c>
      <c r="E76" s="18" t="s">
        <v>42</v>
      </c>
      <c r="F76" s="18"/>
      <c r="G76" s="23">
        <v>9.5</v>
      </c>
      <c r="H76" s="18">
        <f t="shared" si="3"/>
        <v>32.869999999999997</v>
      </c>
      <c r="I76" s="29"/>
      <c r="J76" s="7">
        <v>2</v>
      </c>
      <c r="K76" s="7">
        <v>2</v>
      </c>
      <c r="L76" s="7">
        <f>ROUND(H76*J76,-1)</f>
        <v>70</v>
      </c>
      <c r="M76" s="8">
        <f>ROUND(H76*K76,-1)</f>
        <v>70</v>
      </c>
      <c r="N76" s="219" t="s">
        <v>43</v>
      </c>
      <c r="O76" s="110" t="s">
        <v>190</v>
      </c>
      <c r="P76" s="9" t="s">
        <v>31</v>
      </c>
      <c r="Q76" s="9" t="s">
        <v>384</v>
      </c>
      <c r="S76" s="11"/>
      <c r="T76" s="11"/>
    </row>
    <row r="77" spans="1:20" ht="30" x14ac:dyDescent="0.25">
      <c r="A77" s="33"/>
      <c r="B77" s="25"/>
      <c r="C77" s="28" t="s">
        <v>191</v>
      </c>
      <c r="D77" s="25" t="s">
        <v>192</v>
      </c>
      <c r="E77" s="18"/>
      <c r="F77" s="18"/>
      <c r="G77" s="23">
        <v>41.5</v>
      </c>
      <c r="H77" s="18">
        <f t="shared" si="3"/>
        <v>143.59</v>
      </c>
      <c r="I77" s="29">
        <v>6</v>
      </c>
      <c r="J77" s="8" t="s">
        <v>64</v>
      </c>
      <c r="K77" s="8" t="s">
        <v>64</v>
      </c>
      <c r="L77" s="7">
        <f>60*I77</f>
        <v>360</v>
      </c>
      <c r="M77" s="7">
        <f>60*I77</f>
        <v>360</v>
      </c>
      <c r="N77" s="219" t="s">
        <v>43</v>
      </c>
      <c r="O77" s="111" t="s">
        <v>193</v>
      </c>
      <c r="P77" s="9"/>
      <c r="Q77" s="9" t="s">
        <v>384</v>
      </c>
      <c r="S77" s="11"/>
      <c r="T77" s="11"/>
    </row>
    <row r="78" spans="1:20" x14ac:dyDescent="0.25">
      <c r="A78" s="33"/>
      <c r="B78" s="25"/>
      <c r="C78" s="28" t="s">
        <v>194</v>
      </c>
      <c r="D78" s="25" t="s">
        <v>195</v>
      </c>
      <c r="E78" s="18"/>
      <c r="F78" s="18"/>
      <c r="G78" s="23">
        <v>19.100000000000001</v>
      </c>
      <c r="H78" s="18">
        <f t="shared" si="3"/>
        <v>66.085999999999999</v>
      </c>
      <c r="I78" s="29"/>
      <c r="J78" s="7" t="s">
        <v>18</v>
      </c>
      <c r="K78" s="8">
        <v>1</v>
      </c>
      <c r="L78" s="7" t="s">
        <v>18</v>
      </c>
      <c r="M78" s="8">
        <f>ROUND(H78*K78,-1)</f>
        <v>70</v>
      </c>
      <c r="N78" s="7" t="s">
        <v>18</v>
      </c>
      <c r="O78" s="99" t="s">
        <v>68</v>
      </c>
      <c r="P78" s="9"/>
      <c r="Q78" s="9" t="s">
        <v>384</v>
      </c>
      <c r="S78" s="11"/>
      <c r="T78" s="11"/>
    </row>
    <row r="79" spans="1:20" x14ac:dyDescent="0.25">
      <c r="A79" s="33"/>
      <c r="B79" s="25"/>
      <c r="C79" s="28"/>
      <c r="D79" s="30" t="s">
        <v>196</v>
      </c>
      <c r="E79" s="18"/>
      <c r="F79" s="18"/>
      <c r="G79" s="23"/>
      <c r="H79" s="18"/>
      <c r="I79" s="29"/>
      <c r="J79" s="7"/>
      <c r="K79" s="7"/>
      <c r="L79" s="230">
        <f>SUM(L23:L78)</f>
        <v>18095</v>
      </c>
      <c r="M79" s="230">
        <f>SUM(M23:M78)</f>
        <v>18095</v>
      </c>
      <c r="N79" s="7">
        <f>L79-M79</f>
        <v>0</v>
      </c>
      <c r="O79" s="8"/>
      <c r="P79" s="9"/>
      <c r="Q79" s="9"/>
      <c r="S79" s="11"/>
      <c r="T79" s="11"/>
    </row>
    <row r="80" spans="1:20" ht="21" x14ac:dyDescent="0.25">
      <c r="A80" s="25"/>
      <c r="B80" s="42" t="s">
        <v>197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1"/>
      <c r="Q80" s="41"/>
    </row>
    <row r="81" spans="1:23" ht="21" customHeight="1" x14ac:dyDescent="0.25">
      <c r="A81" s="33"/>
      <c r="B81" s="25"/>
      <c r="C81" s="28" t="s">
        <v>198</v>
      </c>
      <c r="D81" s="25" t="s">
        <v>199</v>
      </c>
      <c r="E81" s="18"/>
      <c r="F81" s="18"/>
      <c r="G81" s="23">
        <f>191.5-G82</f>
        <v>154.22999999999999</v>
      </c>
      <c r="H81" s="18">
        <f>G81*3.42</f>
        <v>527.46659999999997</v>
      </c>
      <c r="I81" s="29"/>
      <c r="J81" s="7" t="s">
        <v>18</v>
      </c>
      <c r="K81" s="7" t="s">
        <v>18</v>
      </c>
      <c r="L81" s="7" t="s">
        <v>18</v>
      </c>
      <c r="M81" s="7" t="s">
        <v>18</v>
      </c>
      <c r="N81" s="7" t="s">
        <v>18</v>
      </c>
      <c r="O81" s="7" t="s">
        <v>18</v>
      </c>
      <c r="P81" s="32"/>
      <c r="Q81" s="9" t="s">
        <v>382</v>
      </c>
      <c r="W81" s="31"/>
    </row>
    <row r="82" spans="1:23" x14ac:dyDescent="0.25">
      <c r="A82" s="33"/>
      <c r="B82" s="25"/>
      <c r="C82" s="28"/>
      <c r="D82" s="228" t="s">
        <v>380</v>
      </c>
      <c r="E82" s="18"/>
      <c r="F82" s="18"/>
      <c r="G82" s="23">
        <v>37.270000000000003</v>
      </c>
      <c r="H82" s="18">
        <f>G82*3.42</f>
        <v>127.46340000000001</v>
      </c>
      <c r="I82" s="29"/>
      <c r="J82" s="7">
        <v>2</v>
      </c>
      <c r="K82" s="7" t="s">
        <v>18</v>
      </c>
      <c r="L82" s="8">
        <f>ROUND(H82*J82+10,-1)</f>
        <v>260</v>
      </c>
      <c r="M82" s="8" t="s">
        <v>18</v>
      </c>
      <c r="N82" s="219" t="s">
        <v>43</v>
      </c>
      <c r="O82" s="7" t="s">
        <v>18</v>
      </c>
      <c r="P82" s="32"/>
      <c r="Q82" s="9" t="s">
        <v>382</v>
      </c>
    </row>
    <row r="83" spans="1:23" x14ac:dyDescent="0.25">
      <c r="A83" s="33"/>
      <c r="B83" s="25"/>
      <c r="C83" s="28" t="s">
        <v>200</v>
      </c>
      <c r="D83" s="25" t="s">
        <v>199</v>
      </c>
      <c r="E83" s="18"/>
      <c r="F83" s="18"/>
      <c r="G83" s="23">
        <f>187.2-G84</f>
        <v>151.38</v>
      </c>
      <c r="H83" s="18">
        <f t="shared" ref="H83:H109" si="4">G83*3.42</f>
        <v>517.71960000000001</v>
      </c>
      <c r="I83" s="29"/>
      <c r="J83" s="7" t="s">
        <v>18</v>
      </c>
      <c r="K83" s="7" t="s">
        <v>18</v>
      </c>
      <c r="L83" s="7" t="s">
        <v>18</v>
      </c>
      <c r="M83" s="7" t="s">
        <v>18</v>
      </c>
      <c r="N83" s="229"/>
      <c r="O83" s="7" t="s">
        <v>18</v>
      </c>
      <c r="P83" s="32"/>
      <c r="Q83" s="9" t="s">
        <v>384</v>
      </c>
    </row>
    <row r="84" spans="1:23" x14ac:dyDescent="0.25">
      <c r="A84" s="33"/>
      <c r="B84" s="25"/>
      <c r="C84" s="28"/>
      <c r="D84" s="228" t="s">
        <v>380</v>
      </c>
      <c r="E84" s="18"/>
      <c r="F84" s="18"/>
      <c r="G84" s="23">
        <v>35.82</v>
      </c>
      <c r="H84" s="18">
        <f>G84*3.42</f>
        <v>122.5044</v>
      </c>
      <c r="I84" s="29"/>
      <c r="J84" s="7">
        <v>2</v>
      </c>
      <c r="K84" s="7" t="s">
        <v>18</v>
      </c>
      <c r="L84" s="8">
        <f>ROUND(H84*J84+10,-1)</f>
        <v>260</v>
      </c>
      <c r="M84" s="8" t="s">
        <v>18</v>
      </c>
      <c r="N84" s="219" t="s">
        <v>43</v>
      </c>
      <c r="O84" s="7" t="s">
        <v>18</v>
      </c>
      <c r="P84" s="32"/>
      <c r="Q84" s="9" t="s">
        <v>384</v>
      </c>
    </row>
    <row r="85" spans="1:23" x14ac:dyDescent="0.25">
      <c r="A85" s="33"/>
      <c r="B85" s="25"/>
      <c r="C85" s="28" t="s">
        <v>201</v>
      </c>
      <c r="D85" s="25" t="s">
        <v>189</v>
      </c>
      <c r="E85" s="18" t="s">
        <v>42</v>
      </c>
      <c r="F85" s="18"/>
      <c r="G85" s="23">
        <v>5.0999999999999996</v>
      </c>
      <c r="H85" s="18">
        <f t="shared" si="4"/>
        <v>17.442</v>
      </c>
      <c r="I85" s="29"/>
      <c r="J85" s="7">
        <v>2</v>
      </c>
      <c r="K85" s="7">
        <v>2</v>
      </c>
      <c r="L85" s="8">
        <f>ROUND(H85*J85,-1)</f>
        <v>30</v>
      </c>
      <c r="M85" s="8">
        <f>ROUND(H85*K85,-1)</f>
        <v>30</v>
      </c>
      <c r="N85" s="219" t="s">
        <v>43</v>
      </c>
      <c r="O85" s="107" t="s">
        <v>164</v>
      </c>
      <c r="P85" s="9" t="s">
        <v>31</v>
      </c>
      <c r="Q85" s="9" t="s">
        <v>382</v>
      </c>
    </row>
    <row r="86" spans="1:23" x14ac:dyDescent="0.25">
      <c r="A86" s="33"/>
      <c r="B86" s="25"/>
      <c r="C86" s="28" t="s">
        <v>202</v>
      </c>
      <c r="D86" s="25" t="s">
        <v>89</v>
      </c>
      <c r="E86" s="18"/>
      <c r="F86" s="18"/>
      <c r="G86" s="23">
        <v>27.4</v>
      </c>
      <c r="H86" s="18">
        <f t="shared" si="4"/>
        <v>93.707999999999998</v>
      </c>
      <c r="I86" s="29"/>
      <c r="J86" s="7" t="s">
        <v>18</v>
      </c>
      <c r="K86" s="7" t="s">
        <v>18</v>
      </c>
      <c r="L86" s="8" t="s">
        <v>18</v>
      </c>
      <c r="M86" s="8" t="s">
        <v>18</v>
      </c>
      <c r="N86" s="7" t="s">
        <v>18</v>
      </c>
      <c r="O86" s="7" t="s">
        <v>18</v>
      </c>
      <c r="P86" s="9"/>
      <c r="Q86" s="9" t="s">
        <v>382</v>
      </c>
    </row>
    <row r="87" spans="1:23" x14ac:dyDescent="0.25">
      <c r="A87" s="25"/>
      <c r="B87" s="25"/>
      <c r="C87" s="28" t="s">
        <v>203</v>
      </c>
      <c r="D87" s="25" t="s">
        <v>89</v>
      </c>
      <c r="E87" s="18"/>
      <c r="F87" s="18"/>
      <c r="G87" s="23">
        <v>27.6</v>
      </c>
      <c r="H87" s="18">
        <f t="shared" si="4"/>
        <v>94.391999999999996</v>
      </c>
      <c r="I87" s="29"/>
      <c r="J87" s="7" t="s">
        <v>18</v>
      </c>
      <c r="K87" s="7" t="s">
        <v>18</v>
      </c>
      <c r="L87" s="8" t="s">
        <v>18</v>
      </c>
      <c r="M87" s="8" t="s">
        <v>18</v>
      </c>
      <c r="N87" s="7" t="s">
        <v>18</v>
      </c>
      <c r="O87" s="7" t="s">
        <v>18</v>
      </c>
      <c r="P87" s="9"/>
      <c r="Q87" s="9" t="s">
        <v>384</v>
      </c>
    </row>
    <row r="88" spans="1:23" x14ac:dyDescent="0.25">
      <c r="A88" s="25"/>
      <c r="B88" s="25"/>
      <c r="C88" s="28" t="s">
        <v>204</v>
      </c>
      <c r="D88" s="25" t="s">
        <v>189</v>
      </c>
      <c r="E88" s="18" t="s">
        <v>42</v>
      </c>
      <c r="F88" s="18"/>
      <c r="G88" s="23">
        <v>6.7</v>
      </c>
      <c r="H88" s="18">
        <f t="shared" si="4"/>
        <v>22.914000000000001</v>
      </c>
      <c r="I88" s="29"/>
      <c r="J88" s="7">
        <v>2</v>
      </c>
      <c r="K88" s="7">
        <v>2</v>
      </c>
      <c r="L88" s="8">
        <f>ROUND(H88*J88,-1)</f>
        <v>50</v>
      </c>
      <c r="M88" s="8">
        <f>ROUND(H88*K88,-1)</f>
        <v>50</v>
      </c>
      <c r="N88" s="219" t="s">
        <v>43</v>
      </c>
      <c r="O88" s="110" t="s">
        <v>190</v>
      </c>
      <c r="P88" s="9" t="s">
        <v>31</v>
      </c>
      <c r="Q88" s="9" t="s">
        <v>384</v>
      </c>
    </row>
    <row r="89" spans="1:23" x14ac:dyDescent="0.25">
      <c r="A89" s="33"/>
      <c r="B89" s="25"/>
      <c r="C89" s="28" t="s">
        <v>205</v>
      </c>
      <c r="D89" s="25" t="s">
        <v>206</v>
      </c>
      <c r="E89" s="18" t="s">
        <v>42</v>
      </c>
      <c r="F89" s="18"/>
      <c r="G89" s="23">
        <v>6</v>
      </c>
      <c r="H89" s="18">
        <f t="shared" si="4"/>
        <v>20.52</v>
      </c>
      <c r="I89" s="29"/>
      <c r="J89" s="7" t="s">
        <v>18</v>
      </c>
      <c r="K89" s="8">
        <v>1</v>
      </c>
      <c r="L89" s="7" t="s">
        <v>18</v>
      </c>
      <c r="M89" s="8">
        <f>ROUND(H89*K89,-1)</f>
        <v>20</v>
      </c>
      <c r="N89" s="7" t="s">
        <v>18</v>
      </c>
      <c r="O89" s="70" t="s">
        <v>94</v>
      </c>
      <c r="P89" s="9"/>
      <c r="Q89" s="9" t="s">
        <v>382</v>
      </c>
    </row>
    <row r="90" spans="1:23" x14ac:dyDescent="0.25">
      <c r="A90" s="33"/>
      <c r="B90" s="25"/>
      <c r="C90" s="28" t="s">
        <v>207</v>
      </c>
      <c r="D90" s="25" t="s">
        <v>206</v>
      </c>
      <c r="E90" s="18" t="s">
        <v>42</v>
      </c>
      <c r="F90" s="18"/>
      <c r="G90" s="23">
        <v>2.8</v>
      </c>
      <c r="H90" s="18">
        <f t="shared" si="4"/>
        <v>9.5759999999999987</v>
      </c>
      <c r="I90" s="29"/>
      <c r="J90" s="7" t="s">
        <v>18</v>
      </c>
      <c r="K90" s="8">
        <v>1</v>
      </c>
      <c r="L90" s="7" t="s">
        <v>18</v>
      </c>
      <c r="M90" s="8">
        <f>ROUND(H90*K90,-1)</f>
        <v>10</v>
      </c>
      <c r="N90" s="7" t="s">
        <v>18</v>
      </c>
      <c r="O90" s="112" t="s">
        <v>208</v>
      </c>
      <c r="P90" s="9"/>
      <c r="Q90" s="9" t="s">
        <v>384</v>
      </c>
    </row>
    <row r="91" spans="1:23" ht="30" x14ac:dyDescent="0.25">
      <c r="A91" s="33"/>
      <c r="B91" s="25"/>
      <c r="C91" s="28" t="s">
        <v>209</v>
      </c>
      <c r="D91" s="25" t="s">
        <v>91</v>
      </c>
      <c r="E91" s="18"/>
      <c r="F91" s="18"/>
      <c r="G91" s="23">
        <v>3.1</v>
      </c>
      <c r="H91" s="18">
        <f t="shared" si="4"/>
        <v>10.602</v>
      </c>
      <c r="I91" s="29" t="s">
        <v>92</v>
      </c>
      <c r="J91" s="7" t="s">
        <v>18</v>
      </c>
      <c r="K91" s="8" t="s">
        <v>93</v>
      </c>
      <c r="L91" s="8" t="s">
        <v>18</v>
      </c>
      <c r="M91" s="7">
        <v>50</v>
      </c>
      <c r="N91" s="7" t="s">
        <v>18</v>
      </c>
      <c r="O91" s="103" t="s">
        <v>94</v>
      </c>
      <c r="P91" s="9"/>
      <c r="Q91" s="9" t="s">
        <v>382</v>
      </c>
    </row>
    <row r="92" spans="1:23" x14ac:dyDescent="0.25">
      <c r="A92" s="33"/>
      <c r="B92" s="25"/>
      <c r="C92" s="28" t="s">
        <v>210</v>
      </c>
      <c r="D92" s="25" t="s">
        <v>101</v>
      </c>
      <c r="E92" s="18" t="s">
        <v>42</v>
      </c>
      <c r="F92" s="18"/>
      <c r="G92" s="23">
        <v>2.2000000000000002</v>
      </c>
      <c r="H92" s="18">
        <f t="shared" si="4"/>
        <v>7.524</v>
      </c>
      <c r="I92" s="29"/>
      <c r="J92" s="18" t="s">
        <v>18</v>
      </c>
      <c r="K92" s="7">
        <v>5</v>
      </c>
      <c r="L92" s="8" t="s">
        <v>18</v>
      </c>
      <c r="M92" s="8">
        <f>ROUND(H92*K92,-1)</f>
        <v>40</v>
      </c>
      <c r="N92" s="7" t="s">
        <v>18</v>
      </c>
      <c r="O92" s="113" t="s">
        <v>211</v>
      </c>
      <c r="P92" s="9" t="s">
        <v>31</v>
      </c>
      <c r="Q92" s="9" t="s">
        <v>384</v>
      </c>
    </row>
    <row r="93" spans="1:23" ht="30" x14ac:dyDescent="0.25">
      <c r="A93" s="25"/>
      <c r="B93" s="25"/>
      <c r="C93" s="28" t="s">
        <v>212</v>
      </c>
      <c r="D93" s="25" t="s">
        <v>96</v>
      </c>
      <c r="E93" s="18"/>
      <c r="F93" s="18"/>
      <c r="G93" s="23">
        <v>19.100000000000001</v>
      </c>
      <c r="H93" s="18">
        <f t="shared" si="4"/>
        <v>65.322000000000003</v>
      </c>
      <c r="I93" s="29" t="s">
        <v>213</v>
      </c>
      <c r="J93" s="7" t="s">
        <v>18</v>
      </c>
      <c r="K93" s="8" t="s">
        <v>93</v>
      </c>
      <c r="L93" s="8" t="s">
        <v>18</v>
      </c>
      <c r="M93" s="7">
        <f>50*5</f>
        <v>250</v>
      </c>
      <c r="N93" s="7" t="s">
        <v>18</v>
      </c>
      <c r="O93" s="104" t="s">
        <v>98</v>
      </c>
      <c r="P93" s="35"/>
      <c r="Q93" s="9" t="s">
        <v>382</v>
      </c>
    </row>
    <row r="94" spans="1:23" ht="45" x14ac:dyDescent="0.25">
      <c r="A94" s="33"/>
      <c r="B94" s="25"/>
      <c r="C94" s="28" t="s">
        <v>214</v>
      </c>
      <c r="D94" s="25" t="s">
        <v>123</v>
      </c>
      <c r="E94" s="18"/>
      <c r="F94" s="18"/>
      <c r="G94" s="23">
        <v>18.8</v>
      </c>
      <c r="H94" s="18">
        <f t="shared" si="4"/>
        <v>64.296000000000006</v>
      </c>
      <c r="I94" s="29" t="s">
        <v>124</v>
      </c>
      <c r="J94" s="7" t="s">
        <v>18</v>
      </c>
      <c r="K94" s="8" t="s">
        <v>125</v>
      </c>
      <c r="L94" s="8" t="s">
        <v>18</v>
      </c>
      <c r="M94" s="7">
        <f>50*2+2*25</f>
        <v>150</v>
      </c>
      <c r="N94" s="7" t="s">
        <v>18</v>
      </c>
      <c r="O94" s="105" t="s">
        <v>116</v>
      </c>
      <c r="P94" s="9"/>
      <c r="Q94" s="9" t="s">
        <v>384</v>
      </c>
    </row>
    <row r="95" spans="1:23" ht="30" x14ac:dyDescent="0.25">
      <c r="A95" s="33"/>
      <c r="B95" s="25"/>
      <c r="C95" s="28" t="s">
        <v>215</v>
      </c>
      <c r="D95" s="25" t="s">
        <v>216</v>
      </c>
      <c r="E95" s="18"/>
      <c r="F95" s="18"/>
      <c r="G95" s="23">
        <v>18.100000000000001</v>
      </c>
      <c r="H95" s="18">
        <f t="shared" si="4"/>
        <v>61.902000000000001</v>
      </c>
      <c r="I95" s="29"/>
      <c r="J95" s="7">
        <v>2</v>
      </c>
      <c r="K95" s="7">
        <v>2</v>
      </c>
      <c r="L95" s="7">
        <f>ROUND(H95*J95,-1)</f>
        <v>120</v>
      </c>
      <c r="M95" s="8">
        <f>ROUND(H95*K95,-1)</f>
        <v>120</v>
      </c>
      <c r="N95" s="219" t="s">
        <v>43</v>
      </c>
      <c r="O95" s="94" t="s">
        <v>37</v>
      </c>
      <c r="P95" s="9"/>
      <c r="Q95" s="9" t="s">
        <v>382</v>
      </c>
    </row>
    <row r="96" spans="1:23" x14ac:dyDescent="0.25">
      <c r="A96" s="33"/>
      <c r="B96" s="25"/>
      <c r="C96" s="28" t="s">
        <v>217</v>
      </c>
      <c r="D96" s="25" t="s">
        <v>218</v>
      </c>
      <c r="E96" s="18"/>
      <c r="F96" s="18"/>
      <c r="G96" s="23">
        <v>16.899999999999999</v>
      </c>
      <c r="H96" s="18">
        <f t="shared" si="4"/>
        <v>57.797999999999995</v>
      </c>
      <c r="I96" s="29">
        <v>2</v>
      </c>
      <c r="J96" s="8" t="s">
        <v>64</v>
      </c>
      <c r="K96" s="8" t="s">
        <v>64</v>
      </c>
      <c r="L96" s="7">
        <f>60*I96</f>
        <v>120</v>
      </c>
      <c r="M96" s="7">
        <f>60*I96</f>
        <v>120</v>
      </c>
      <c r="N96" s="219" t="s">
        <v>43</v>
      </c>
      <c r="O96" s="111" t="s">
        <v>193</v>
      </c>
      <c r="P96" s="32"/>
      <c r="Q96" s="9" t="s">
        <v>384</v>
      </c>
    </row>
    <row r="97" spans="1:24" ht="30" x14ac:dyDescent="0.25">
      <c r="A97" s="33"/>
      <c r="B97" s="25"/>
      <c r="C97" s="28" t="s">
        <v>219</v>
      </c>
      <c r="D97" s="25" t="s">
        <v>220</v>
      </c>
      <c r="E97" s="18"/>
      <c r="F97" s="18"/>
      <c r="G97" s="23">
        <v>52.7</v>
      </c>
      <c r="H97" s="18">
        <f t="shared" si="4"/>
        <v>180.23400000000001</v>
      </c>
      <c r="I97" s="29">
        <v>21</v>
      </c>
      <c r="J97" s="8" t="s">
        <v>73</v>
      </c>
      <c r="K97" s="8" t="s">
        <v>73</v>
      </c>
      <c r="L97" s="7">
        <f t="shared" ref="L97:L105" si="5">MAX(20*I97,ROUND(H97*2,-1))</f>
        <v>420</v>
      </c>
      <c r="M97" s="7">
        <f t="shared" ref="M97:M105" si="6">MAX(20*I97,ROUND(H97*2,-1))</f>
        <v>420</v>
      </c>
      <c r="N97" s="100" t="s">
        <v>74</v>
      </c>
      <c r="O97" s="94" t="s">
        <v>37</v>
      </c>
      <c r="P97" s="32"/>
      <c r="Q97" s="9" t="s">
        <v>382</v>
      </c>
    </row>
    <row r="98" spans="1:24" ht="30" x14ac:dyDescent="0.25">
      <c r="A98" s="33"/>
      <c r="B98" s="25"/>
      <c r="C98" s="28" t="s">
        <v>221</v>
      </c>
      <c r="D98" s="25" t="s">
        <v>220</v>
      </c>
      <c r="E98" s="18"/>
      <c r="F98" s="18"/>
      <c r="G98" s="23">
        <v>45.6</v>
      </c>
      <c r="H98" s="18">
        <f t="shared" si="4"/>
        <v>155.952</v>
      </c>
      <c r="I98" s="29">
        <v>21</v>
      </c>
      <c r="J98" s="8" t="s">
        <v>73</v>
      </c>
      <c r="K98" s="8" t="s">
        <v>73</v>
      </c>
      <c r="L98" s="7">
        <f t="shared" si="5"/>
        <v>420</v>
      </c>
      <c r="M98" s="7">
        <f t="shared" si="6"/>
        <v>420</v>
      </c>
      <c r="N98" s="100" t="s">
        <v>74</v>
      </c>
      <c r="O98" s="94" t="s">
        <v>37</v>
      </c>
      <c r="P98" s="32"/>
      <c r="Q98" s="9" t="s">
        <v>382</v>
      </c>
    </row>
    <row r="99" spans="1:24" ht="30" x14ac:dyDescent="0.25">
      <c r="A99" s="33"/>
      <c r="B99" s="25"/>
      <c r="C99" s="28" t="s">
        <v>222</v>
      </c>
      <c r="D99" s="25" t="s">
        <v>220</v>
      </c>
      <c r="E99" s="18"/>
      <c r="F99" s="18"/>
      <c r="G99" s="23">
        <v>46.2</v>
      </c>
      <c r="H99" s="18">
        <f t="shared" si="4"/>
        <v>158.00400000000002</v>
      </c>
      <c r="I99" s="29">
        <v>21</v>
      </c>
      <c r="J99" s="8" t="s">
        <v>73</v>
      </c>
      <c r="K99" s="8" t="s">
        <v>73</v>
      </c>
      <c r="L99" s="7">
        <f t="shared" si="5"/>
        <v>420</v>
      </c>
      <c r="M99" s="7">
        <f t="shared" si="6"/>
        <v>420</v>
      </c>
      <c r="N99" s="100" t="s">
        <v>74</v>
      </c>
      <c r="O99" s="94" t="s">
        <v>37</v>
      </c>
      <c r="P99" s="32"/>
      <c r="Q99" s="9" t="s">
        <v>382</v>
      </c>
    </row>
    <row r="100" spans="1:24" ht="30" x14ac:dyDescent="0.25">
      <c r="A100" s="33"/>
      <c r="B100" s="25"/>
      <c r="C100" s="28" t="s">
        <v>223</v>
      </c>
      <c r="D100" s="25" t="s">
        <v>220</v>
      </c>
      <c r="E100" s="18"/>
      <c r="F100" s="18"/>
      <c r="G100" s="23">
        <v>46.4</v>
      </c>
      <c r="H100" s="18">
        <f t="shared" si="4"/>
        <v>158.68799999999999</v>
      </c>
      <c r="I100" s="29">
        <v>21</v>
      </c>
      <c r="J100" s="8" t="s">
        <v>73</v>
      </c>
      <c r="K100" s="8" t="s">
        <v>73</v>
      </c>
      <c r="L100" s="7">
        <f t="shared" si="5"/>
        <v>420</v>
      </c>
      <c r="M100" s="7">
        <f t="shared" si="6"/>
        <v>420</v>
      </c>
      <c r="N100" s="100" t="s">
        <v>74</v>
      </c>
      <c r="O100" s="94" t="s">
        <v>37</v>
      </c>
      <c r="P100" s="32"/>
      <c r="Q100" s="9" t="s">
        <v>382</v>
      </c>
    </row>
    <row r="101" spans="1:24" ht="30" x14ac:dyDescent="0.25">
      <c r="A101" s="33"/>
      <c r="B101" s="25"/>
      <c r="C101" s="28" t="s">
        <v>224</v>
      </c>
      <c r="D101" s="25" t="s">
        <v>220</v>
      </c>
      <c r="E101" s="18"/>
      <c r="F101" s="18"/>
      <c r="G101" s="23">
        <v>49.3</v>
      </c>
      <c r="H101" s="18">
        <f t="shared" si="4"/>
        <v>168.60599999999999</v>
      </c>
      <c r="I101" s="29">
        <v>21</v>
      </c>
      <c r="J101" s="8" t="s">
        <v>73</v>
      </c>
      <c r="K101" s="8" t="s">
        <v>73</v>
      </c>
      <c r="L101" s="7">
        <f t="shared" si="5"/>
        <v>420</v>
      </c>
      <c r="M101" s="7">
        <f t="shared" si="6"/>
        <v>420</v>
      </c>
      <c r="N101" s="100" t="s">
        <v>74</v>
      </c>
      <c r="O101" s="94" t="s">
        <v>37</v>
      </c>
      <c r="P101" s="32"/>
      <c r="Q101" s="9" t="s">
        <v>382</v>
      </c>
    </row>
    <row r="102" spans="1:24" ht="30" x14ac:dyDescent="0.25">
      <c r="A102" s="33"/>
      <c r="B102" s="25"/>
      <c r="C102" s="28" t="s">
        <v>225</v>
      </c>
      <c r="D102" s="25" t="s">
        <v>220</v>
      </c>
      <c r="E102" s="18"/>
      <c r="F102" s="18"/>
      <c r="G102" s="23">
        <v>48.9</v>
      </c>
      <c r="H102" s="18">
        <f t="shared" si="4"/>
        <v>167.238</v>
      </c>
      <c r="I102" s="29">
        <v>21</v>
      </c>
      <c r="J102" s="8" t="s">
        <v>73</v>
      </c>
      <c r="K102" s="8" t="s">
        <v>73</v>
      </c>
      <c r="L102" s="7">
        <f t="shared" si="5"/>
        <v>420</v>
      </c>
      <c r="M102" s="7">
        <f t="shared" si="6"/>
        <v>420</v>
      </c>
      <c r="N102" s="100" t="s">
        <v>74</v>
      </c>
      <c r="O102" s="94" t="s">
        <v>37</v>
      </c>
      <c r="P102" s="32"/>
      <c r="Q102" s="9" t="s">
        <v>382</v>
      </c>
    </row>
    <row r="103" spans="1:24" ht="30" x14ac:dyDescent="0.25">
      <c r="A103" s="33"/>
      <c r="B103" s="25"/>
      <c r="C103" s="28" t="s">
        <v>226</v>
      </c>
      <c r="D103" s="25" t="s">
        <v>220</v>
      </c>
      <c r="E103" s="18"/>
      <c r="F103" s="18"/>
      <c r="G103" s="23">
        <v>49.6</v>
      </c>
      <c r="H103" s="18">
        <f t="shared" si="4"/>
        <v>169.63200000000001</v>
      </c>
      <c r="I103" s="29">
        <v>21</v>
      </c>
      <c r="J103" s="8" t="s">
        <v>73</v>
      </c>
      <c r="K103" s="8" t="s">
        <v>73</v>
      </c>
      <c r="L103" s="7">
        <f t="shared" si="5"/>
        <v>420</v>
      </c>
      <c r="M103" s="7">
        <f t="shared" si="6"/>
        <v>420</v>
      </c>
      <c r="N103" s="106" t="s">
        <v>120</v>
      </c>
      <c r="O103" s="94" t="s">
        <v>37</v>
      </c>
      <c r="P103" s="32"/>
      <c r="Q103" s="9" t="s">
        <v>384</v>
      </c>
      <c r="W103" s="31"/>
    </row>
    <row r="104" spans="1:24" ht="30" x14ac:dyDescent="0.25">
      <c r="A104" s="33"/>
      <c r="B104" s="25"/>
      <c r="C104" s="28" t="s">
        <v>227</v>
      </c>
      <c r="D104" s="25" t="s">
        <v>220</v>
      </c>
      <c r="E104" s="18"/>
      <c r="F104" s="18"/>
      <c r="G104" s="23">
        <v>49.3</v>
      </c>
      <c r="H104" s="18">
        <f t="shared" si="4"/>
        <v>168.60599999999999</v>
      </c>
      <c r="I104" s="29">
        <v>21</v>
      </c>
      <c r="J104" s="8" t="s">
        <v>73</v>
      </c>
      <c r="K104" s="8" t="s">
        <v>73</v>
      </c>
      <c r="L104" s="7">
        <f t="shared" si="5"/>
        <v>420</v>
      </c>
      <c r="M104" s="7">
        <f t="shared" si="6"/>
        <v>420</v>
      </c>
      <c r="N104" s="106" t="s">
        <v>120</v>
      </c>
      <c r="O104" s="94" t="s">
        <v>37</v>
      </c>
      <c r="P104" s="32"/>
      <c r="Q104" s="9" t="s">
        <v>384</v>
      </c>
      <c r="X104" s="221"/>
    </row>
    <row r="105" spans="1:24" ht="30" x14ac:dyDescent="0.25">
      <c r="A105" s="33"/>
      <c r="B105" s="25"/>
      <c r="C105" s="28" t="s">
        <v>228</v>
      </c>
      <c r="D105" s="25" t="s">
        <v>220</v>
      </c>
      <c r="E105" s="18"/>
      <c r="F105" s="18"/>
      <c r="G105" s="23">
        <v>47.9</v>
      </c>
      <c r="H105" s="18">
        <f t="shared" si="4"/>
        <v>163.81799999999998</v>
      </c>
      <c r="I105" s="29">
        <v>21</v>
      </c>
      <c r="J105" s="8" t="s">
        <v>73</v>
      </c>
      <c r="K105" s="8" t="s">
        <v>73</v>
      </c>
      <c r="L105" s="7">
        <f t="shared" si="5"/>
        <v>420</v>
      </c>
      <c r="M105" s="7">
        <f t="shared" si="6"/>
        <v>420</v>
      </c>
      <c r="N105" s="106" t="s">
        <v>120</v>
      </c>
      <c r="O105" s="94" t="s">
        <v>37</v>
      </c>
      <c r="P105" s="32"/>
      <c r="Q105" s="9" t="s">
        <v>384</v>
      </c>
    </row>
    <row r="106" spans="1:24" ht="30" x14ac:dyDescent="0.25">
      <c r="A106" s="33"/>
      <c r="B106" s="25"/>
      <c r="C106" s="28" t="s">
        <v>229</v>
      </c>
      <c r="D106" s="25" t="s">
        <v>230</v>
      </c>
      <c r="E106" s="18"/>
      <c r="F106" s="18"/>
      <c r="G106" s="23">
        <v>72.599999999999994</v>
      </c>
      <c r="H106" s="18">
        <f t="shared" si="4"/>
        <v>248.29199999999997</v>
      </c>
      <c r="I106" s="29">
        <v>15</v>
      </c>
      <c r="J106" s="8" t="s">
        <v>24</v>
      </c>
      <c r="K106" s="8" t="s">
        <v>25</v>
      </c>
      <c r="L106" s="7">
        <f>SUM(M106:M108)</f>
        <v>1320</v>
      </c>
      <c r="M106" s="7">
        <f>80*I106</f>
        <v>1200</v>
      </c>
      <c r="N106" s="114" t="s">
        <v>231</v>
      </c>
      <c r="O106" s="115" t="s">
        <v>232</v>
      </c>
      <c r="P106" s="32"/>
      <c r="Q106" s="9" t="s">
        <v>384</v>
      </c>
    </row>
    <row r="107" spans="1:24" x14ac:dyDescent="0.25">
      <c r="A107" s="33"/>
      <c r="B107" s="25"/>
      <c r="C107" s="28" t="s">
        <v>233</v>
      </c>
      <c r="D107" s="25" t="s">
        <v>234</v>
      </c>
      <c r="E107" s="18"/>
      <c r="F107" s="18"/>
      <c r="G107" s="23">
        <v>9.5</v>
      </c>
      <c r="H107" s="18">
        <f t="shared" si="4"/>
        <v>32.49</v>
      </c>
      <c r="I107" s="29"/>
      <c r="J107" s="7" t="s">
        <v>18</v>
      </c>
      <c r="K107" s="8">
        <v>2</v>
      </c>
      <c r="L107" s="8" t="s">
        <v>18</v>
      </c>
      <c r="M107" s="8">
        <f>ROUND(H107*K107,-1)</f>
        <v>60</v>
      </c>
      <c r="N107" s="7" t="s">
        <v>18</v>
      </c>
      <c r="O107" s="115" t="s">
        <v>232</v>
      </c>
      <c r="P107" s="9"/>
      <c r="Q107" s="9" t="s">
        <v>384</v>
      </c>
    </row>
    <row r="108" spans="1:24" x14ac:dyDescent="0.25">
      <c r="A108" s="33"/>
      <c r="B108" s="25"/>
      <c r="C108" s="28" t="s">
        <v>235</v>
      </c>
      <c r="D108" s="25" t="s">
        <v>234</v>
      </c>
      <c r="E108" s="18"/>
      <c r="F108" s="18"/>
      <c r="G108" s="23">
        <v>8.9</v>
      </c>
      <c r="H108" s="18">
        <f t="shared" si="4"/>
        <v>30.437999999999999</v>
      </c>
      <c r="I108" s="29"/>
      <c r="J108" s="7" t="s">
        <v>18</v>
      </c>
      <c r="K108" s="8">
        <v>2</v>
      </c>
      <c r="L108" s="8" t="s">
        <v>18</v>
      </c>
      <c r="M108" s="8">
        <f>ROUND(H108*K108,-1)</f>
        <v>60</v>
      </c>
      <c r="N108" s="7" t="s">
        <v>18</v>
      </c>
      <c r="O108" s="115" t="s">
        <v>232</v>
      </c>
      <c r="P108" s="9"/>
      <c r="Q108" s="9" t="s">
        <v>384</v>
      </c>
    </row>
    <row r="109" spans="1:24" ht="30" x14ac:dyDescent="0.25">
      <c r="A109" s="33"/>
      <c r="B109" s="25"/>
      <c r="C109" s="28" t="s">
        <v>236</v>
      </c>
      <c r="D109" s="25" t="s">
        <v>220</v>
      </c>
      <c r="E109" s="18"/>
      <c r="F109" s="18"/>
      <c r="G109" s="23">
        <v>51.7</v>
      </c>
      <c r="H109" s="18">
        <f t="shared" si="4"/>
        <v>176.81399999999999</v>
      </c>
      <c r="I109" s="29">
        <v>21</v>
      </c>
      <c r="J109" s="8" t="s">
        <v>73</v>
      </c>
      <c r="K109" s="8" t="s">
        <v>73</v>
      </c>
      <c r="L109" s="7">
        <f>MAX(20*I109,ROUND(H109*2,-1))</f>
        <v>420</v>
      </c>
      <c r="M109" s="7">
        <f>MAX(20*I109,ROUND(H109*2,-1))</f>
        <v>420</v>
      </c>
      <c r="N109" s="106" t="s">
        <v>120</v>
      </c>
      <c r="O109" s="94" t="s">
        <v>37</v>
      </c>
      <c r="P109" s="32"/>
      <c r="Q109" s="9" t="s">
        <v>384</v>
      </c>
    </row>
    <row r="110" spans="1:24" x14ac:dyDescent="0.25">
      <c r="A110" s="33"/>
      <c r="B110" s="25"/>
      <c r="C110" s="28"/>
      <c r="D110" s="30" t="s">
        <v>237</v>
      </c>
      <c r="E110" s="18"/>
      <c r="F110" s="18"/>
      <c r="G110" s="23"/>
      <c r="H110" s="18"/>
      <c r="I110" s="29"/>
      <c r="J110" s="7"/>
      <c r="K110" s="7"/>
      <c r="L110" s="230">
        <f>SUM(L81:L109)</f>
        <v>6360</v>
      </c>
      <c r="M110" s="230">
        <f>SUM(M81:M109)</f>
        <v>6360</v>
      </c>
      <c r="O110" s="8"/>
      <c r="P110" s="9"/>
      <c r="Q110" s="9"/>
    </row>
    <row r="111" spans="1:24" ht="23.25" x14ac:dyDescent="0.25">
      <c r="A111" s="25"/>
      <c r="B111" s="43" t="s">
        <v>238</v>
      </c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5"/>
      <c r="Q111" s="45"/>
    </row>
    <row r="112" spans="1:24" ht="23.25" customHeight="1" x14ac:dyDescent="0.25">
      <c r="A112" s="33"/>
      <c r="B112" s="25"/>
      <c r="C112" s="28" t="s">
        <v>239</v>
      </c>
      <c r="D112" s="25" t="s">
        <v>199</v>
      </c>
      <c r="E112" s="18"/>
      <c r="F112" s="18"/>
      <c r="G112" s="23">
        <v>179.8</v>
      </c>
      <c r="H112" s="18">
        <f t="shared" ref="H112:H136" si="7">G112*3.42</f>
        <v>614.91600000000005</v>
      </c>
      <c r="I112" s="29"/>
      <c r="J112" s="7" t="s">
        <v>18</v>
      </c>
      <c r="K112" s="7" t="s">
        <v>18</v>
      </c>
      <c r="L112" s="7" t="s">
        <v>18</v>
      </c>
      <c r="M112" s="8" t="s">
        <v>18</v>
      </c>
      <c r="N112" s="7" t="s">
        <v>18</v>
      </c>
      <c r="O112" s="7" t="s">
        <v>18</v>
      </c>
      <c r="P112" s="32"/>
      <c r="Q112" s="9" t="s">
        <v>382</v>
      </c>
    </row>
    <row r="113" spans="1:17" x14ac:dyDescent="0.25">
      <c r="A113" s="33"/>
      <c r="B113" s="25"/>
      <c r="C113" s="28"/>
      <c r="D113" s="228" t="s">
        <v>380</v>
      </c>
      <c r="E113" s="18"/>
      <c r="F113" s="18"/>
      <c r="G113" s="23">
        <v>37.270000000000003</v>
      </c>
      <c r="H113" s="18">
        <f>G113*3.42</f>
        <v>127.46340000000001</v>
      </c>
      <c r="I113" s="29"/>
      <c r="J113" s="7">
        <v>2</v>
      </c>
      <c r="K113" s="7" t="s">
        <v>18</v>
      </c>
      <c r="L113" s="8">
        <f>ROUND(H113*J113+10,-1)</f>
        <v>260</v>
      </c>
      <c r="M113" s="8" t="s">
        <v>18</v>
      </c>
      <c r="N113" s="219" t="s">
        <v>43</v>
      </c>
      <c r="O113" s="7" t="s">
        <v>18</v>
      </c>
      <c r="P113" s="32"/>
      <c r="Q113" s="9" t="s">
        <v>382</v>
      </c>
    </row>
    <row r="114" spans="1:17" x14ac:dyDescent="0.25">
      <c r="A114" s="33"/>
      <c r="B114" s="25"/>
      <c r="C114" s="28" t="s">
        <v>240</v>
      </c>
      <c r="D114" s="25" t="s">
        <v>89</v>
      </c>
      <c r="E114" s="18"/>
      <c r="F114" s="18"/>
      <c r="G114" s="23">
        <v>27.3</v>
      </c>
      <c r="H114" s="18">
        <f t="shared" si="7"/>
        <v>93.366</v>
      </c>
      <c r="I114" s="29"/>
      <c r="J114" s="7" t="s">
        <v>18</v>
      </c>
      <c r="K114" s="7" t="s">
        <v>18</v>
      </c>
      <c r="L114" s="8" t="s">
        <v>18</v>
      </c>
      <c r="M114" s="8" t="s">
        <v>18</v>
      </c>
      <c r="N114" s="7" t="s">
        <v>18</v>
      </c>
      <c r="O114" s="7" t="s">
        <v>18</v>
      </c>
      <c r="P114" s="9"/>
      <c r="Q114" s="9" t="s">
        <v>382</v>
      </c>
    </row>
    <row r="115" spans="1:17" x14ac:dyDescent="0.25">
      <c r="A115" s="25"/>
      <c r="B115" s="25"/>
      <c r="C115" s="28" t="s">
        <v>241</v>
      </c>
      <c r="D115" s="25" t="s">
        <v>89</v>
      </c>
      <c r="E115" s="18"/>
      <c r="F115" s="18"/>
      <c r="G115" s="23">
        <v>27.7</v>
      </c>
      <c r="H115" s="18">
        <f t="shared" si="7"/>
        <v>94.733999999999995</v>
      </c>
      <c r="I115" s="29"/>
      <c r="J115" s="7" t="s">
        <v>18</v>
      </c>
      <c r="K115" s="7" t="s">
        <v>18</v>
      </c>
      <c r="L115" s="8" t="s">
        <v>18</v>
      </c>
      <c r="M115" s="8" t="s">
        <v>18</v>
      </c>
      <c r="N115" s="7" t="s">
        <v>18</v>
      </c>
      <c r="O115" s="7" t="s">
        <v>18</v>
      </c>
      <c r="P115" s="9"/>
      <c r="Q115" s="9" t="s">
        <v>384</v>
      </c>
    </row>
    <row r="116" spans="1:17" x14ac:dyDescent="0.25">
      <c r="A116" s="25"/>
      <c r="B116" s="25"/>
      <c r="C116" s="28" t="s">
        <v>242</v>
      </c>
      <c r="D116" s="25" t="s">
        <v>199</v>
      </c>
      <c r="E116" s="18"/>
      <c r="F116" s="18"/>
      <c r="G116" s="23">
        <v>155.80000000000001</v>
      </c>
      <c r="H116" s="18">
        <f t="shared" si="7"/>
        <v>532.83600000000001</v>
      </c>
      <c r="I116" s="29"/>
      <c r="J116" s="7" t="s">
        <v>18</v>
      </c>
      <c r="K116" s="7" t="s">
        <v>18</v>
      </c>
      <c r="L116" s="7" t="s">
        <v>18</v>
      </c>
      <c r="M116" s="8" t="s">
        <v>18</v>
      </c>
      <c r="N116" s="7" t="s">
        <v>18</v>
      </c>
      <c r="O116" s="7" t="s">
        <v>18</v>
      </c>
      <c r="P116" s="32"/>
      <c r="Q116" s="9" t="s">
        <v>384</v>
      </c>
    </row>
    <row r="117" spans="1:17" x14ac:dyDescent="0.25">
      <c r="A117" s="33"/>
      <c r="B117" s="25"/>
      <c r="C117" s="28"/>
      <c r="D117" s="228" t="s">
        <v>380</v>
      </c>
      <c r="E117" s="18"/>
      <c r="F117" s="18"/>
      <c r="G117" s="23">
        <v>35.82</v>
      </c>
      <c r="H117" s="18">
        <f>G117*3.42</f>
        <v>122.5044</v>
      </c>
      <c r="I117" s="29"/>
      <c r="J117" s="7">
        <v>2</v>
      </c>
      <c r="K117" s="7" t="s">
        <v>18</v>
      </c>
      <c r="L117" s="8">
        <f>ROUND(H117*J117+10,-1)</f>
        <v>260</v>
      </c>
      <c r="M117" s="8" t="s">
        <v>18</v>
      </c>
      <c r="N117" s="219" t="s">
        <v>43</v>
      </c>
      <c r="O117" s="7" t="s">
        <v>18</v>
      </c>
      <c r="P117" s="32"/>
      <c r="Q117" s="9" t="s">
        <v>384</v>
      </c>
    </row>
    <row r="118" spans="1:17" x14ac:dyDescent="0.25">
      <c r="A118" s="33"/>
      <c r="B118" s="25"/>
      <c r="C118" s="28" t="s">
        <v>243</v>
      </c>
      <c r="D118" s="25" t="s">
        <v>189</v>
      </c>
      <c r="E118" s="18" t="s">
        <v>42</v>
      </c>
      <c r="F118" s="18"/>
      <c r="G118" s="23">
        <v>5.0999999999999996</v>
      </c>
      <c r="H118" s="18">
        <f t="shared" si="7"/>
        <v>17.442</v>
      </c>
      <c r="I118" s="29"/>
      <c r="J118" s="7">
        <v>2</v>
      </c>
      <c r="K118" s="7">
        <v>2</v>
      </c>
      <c r="L118" s="8">
        <f>ROUND(H118*J118,-1)</f>
        <v>30</v>
      </c>
      <c r="M118" s="8">
        <f>ROUND(H118*K118,-1)</f>
        <v>30</v>
      </c>
      <c r="N118" s="219" t="s">
        <v>43</v>
      </c>
      <c r="O118" s="107" t="s">
        <v>164</v>
      </c>
      <c r="P118" s="9" t="s">
        <v>31</v>
      </c>
      <c r="Q118" s="9" t="s">
        <v>382</v>
      </c>
    </row>
    <row r="119" spans="1:17" x14ac:dyDescent="0.25">
      <c r="A119" s="33"/>
      <c r="B119" s="25"/>
      <c r="C119" s="28" t="s">
        <v>244</v>
      </c>
      <c r="D119" s="25" t="s">
        <v>189</v>
      </c>
      <c r="E119" s="18" t="s">
        <v>42</v>
      </c>
      <c r="F119" s="18"/>
      <c r="G119" s="23">
        <v>6.8</v>
      </c>
      <c r="H119" s="18">
        <f t="shared" si="7"/>
        <v>23.256</v>
      </c>
      <c r="I119" s="29"/>
      <c r="J119" s="7">
        <v>2</v>
      </c>
      <c r="K119" s="7">
        <v>2</v>
      </c>
      <c r="L119" s="8">
        <f>ROUND(H119*J119,-1)</f>
        <v>50</v>
      </c>
      <c r="M119" s="8">
        <f>ROUND(H119*K119,-1)</f>
        <v>50</v>
      </c>
      <c r="N119" s="219" t="s">
        <v>43</v>
      </c>
      <c r="O119" s="110" t="s">
        <v>190</v>
      </c>
      <c r="P119" s="9" t="s">
        <v>31</v>
      </c>
      <c r="Q119" s="9" t="s">
        <v>384</v>
      </c>
    </row>
    <row r="120" spans="1:17" x14ac:dyDescent="0.25">
      <c r="A120" s="33"/>
      <c r="B120" s="25"/>
      <c r="C120" s="28" t="s">
        <v>245</v>
      </c>
      <c r="D120" s="25" t="s">
        <v>206</v>
      </c>
      <c r="E120" s="18" t="s">
        <v>42</v>
      </c>
      <c r="F120" s="18"/>
      <c r="G120" s="23">
        <v>5.8</v>
      </c>
      <c r="H120" s="18">
        <f t="shared" si="7"/>
        <v>19.835999999999999</v>
      </c>
      <c r="I120" s="29"/>
      <c r="J120" s="7" t="s">
        <v>18</v>
      </c>
      <c r="K120" s="8">
        <v>1</v>
      </c>
      <c r="L120" s="7" t="s">
        <v>18</v>
      </c>
      <c r="M120" s="8">
        <f>ROUND(H120*K120,-1)</f>
        <v>20</v>
      </c>
      <c r="N120" s="7" t="s">
        <v>18</v>
      </c>
      <c r="O120" s="70" t="s">
        <v>94</v>
      </c>
      <c r="P120" s="9"/>
      <c r="Q120" s="9" t="s">
        <v>382</v>
      </c>
    </row>
    <row r="121" spans="1:17" x14ac:dyDescent="0.25">
      <c r="A121" s="33"/>
      <c r="B121" s="25"/>
      <c r="C121" s="28" t="s">
        <v>246</v>
      </c>
      <c r="D121" s="25" t="s">
        <v>206</v>
      </c>
      <c r="E121" s="18" t="s">
        <v>42</v>
      </c>
      <c r="F121" s="18"/>
      <c r="G121" s="23">
        <v>2.8</v>
      </c>
      <c r="H121" s="18">
        <f t="shared" si="7"/>
        <v>9.5759999999999987</v>
      </c>
      <c r="I121" s="29"/>
      <c r="J121" s="7" t="s">
        <v>18</v>
      </c>
      <c r="K121" s="8">
        <v>1</v>
      </c>
      <c r="L121" s="7" t="s">
        <v>18</v>
      </c>
      <c r="M121" s="7">
        <f>ROUND(H121*K121,-1)</f>
        <v>10</v>
      </c>
      <c r="N121" s="7" t="s">
        <v>18</v>
      </c>
      <c r="O121" s="112" t="s">
        <v>208</v>
      </c>
      <c r="P121" s="9"/>
      <c r="Q121" s="9" t="s">
        <v>384</v>
      </c>
    </row>
    <row r="122" spans="1:17" ht="30" x14ac:dyDescent="0.25">
      <c r="A122" s="33"/>
      <c r="B122" s="25"/>
      <c r="C122" s="28" t="s">
        <v>247</v>
      </c>
      <c r="D122" s="25" t="s">
        <v>91</v>
      </c>
      <c r="E122" s="18"/>
      <c r="F122" s="18"/>
      <c r="G122" s="23">
        <v>3.1</v>
      </c>
      <c r="H122" s="18">
        <f t="shared" si="7"/>
        <v>10.602</v>
      </c>
      <c r="I122" s="29" t="s">
        <v>92</v>
      </c>
      <c r="J122" s="7" t="s">
        <v>18</v>
      </c>
      <c r="K122" s="8" t="s">
        <v>93</v>
      </c>
      <c r="L122" s="8" t="s">
        <v>18</v>
      </c>
      <c r="M122" s="7">
        <v>50</v>
      </c>
      <c r="N122" s="7" t="s">
        <v>18</v>
      </c>
      <c r="O122" s="103" t="s">
        <v>94</v>
      </c>
      <c r="P122" s="32"/>
      <c r="Q122" s="9" t="s">
        <v>382</v>
      </c>
    </row>
    <row r="123" spans="1:17" x14ac:dyDescent="0.25">
      <c r="A123" s="33"/>
      <c r="B123" s="25"/>
      <c r="C123" s="28" t="s">
        <v>248</v>
      </c>
      <c r="D123" s="25" t="s">
        <v>101</v>
      </c>
      <c r="E123" s="18" t="s">
        <v>42</v>
      </c>
      <c r="F123" s="18"/>
      <c r="G123" s="23">
        <v>2.2999999999999998</v>
      </c>
      <c r="H123" s="18">
        <f t="shared" si="7"/>
        <v>7.8659999999999997</v>
      </c>
      <c r="I123" s="29"/>
      <c r="J123" s="18" t="s">
        <v>18</v>
      </c>
      <c r="K123" s="7">
        <v>5</v>
      </c>
      <c r="L123" s="8" t="s">
        <v>18</v>
      </c>
      <c r="M123" s="8">
        <f>ROUND(H123*K123,-1)</f>
        <v>40</v>
      </c>
      <c r="N123" s="7" t="s">
        <v>18</v>
      </c>
      <c r="O123" s="113" t="s">
        <v>211</v>
      </c>
      <c r="P123" s="9" t="s">
        <v>31</v>
      </c>
      <c r="Q123" s="9" t="s">
        <v>384</v>
      </c>
    </row>
    <row r="124" spans="1:17" ht="30" x14ac:dyDescent="0.25">
      <c r="A124" s="25"/>
      <c r="B124" s="25"/>
      <c r="C124" s="28" t="s">
        <v>249</v>
      </c>
      <c r="D124" s="25" t="s">
        <v>96</v>
      </c>
      <c r="E124" s="18"/>
      <c r="F124" s="18"/>
      <c r="G124" s="23">
        <v>19</v>
      </c>
      <c r="H124" s="18">
        <f t="shared" si="7"/>
        <v>64.98</v>
      </c>
      <c r="I124" s="29" t="s">
        <v>213</v>
      </c>
      <c r="J124" s="7" t="s">
        <v>18</v>
      </c>
      <c r="K124" s="8" t="s">
        <v>93</v>
      </c>
      <c r="L124" s="8" t="s">
        <v>18</v>
      </c>
      <c r="M124" s="7">
        <f>50*5</f>
        <v>250</v>
      </c>
      <c r="N124" s="7" t="s">
        <v>18</v>
      </c>
      <c r="O124" s="104" t="s">
        <v>98</v>
      </c>
      <c r="P124" s="35"/>
      <c r="Q124" s="9" t="s">
        <v>382</v>
      </c>
    </row>
    <row r="125" spans="1:17" ht="45" x14ac:dyDescent="0.25">
      <c r="A125" s="33"/>
      <c r="B125" s="25"/>
      <c r="C125" s="28" t="s">
        <v>250</v>
      </c>
      <c r="D125" s="25" t="s">
        <v>123</v>
      </c>
      <c r="E125" s="18"/>
      <c r="F125" s="18"/>
      <c r="G125" s="23">
        <v>18.899999999999999</v>
      </c>
      <c r="H125" s="18">
        <f t="shared" si="7"/>
        <v>64.637999999999991</v>
      </c>
      <c r="I125" s="29" t="s">
        <v>124</v>
      </c>
      <c r="J125" s="7" t="s">
        <v>18</v>
      </c>
      <c r="K125" s="8" t="s">
        <v>125</v>
      </c>
      <c r="L125" s="8" t="s">
        <v>18</v>
      </c>
      <c r="M125" s="7">
        <f>(50*2)+(2*25)</f>
        <v>150</v>
      </c>
      <c r="N125" s="7" t="s">
        <v>18</v>
      </c>
      <c r="O125" s="105" t="s">
        <v>116</v>
      </c>
      <c r="P125" s="9"/>
      <c r="Q125" s="9" t="s">
        <v>384</v>
      </c>
    </row>
    <row r="126" spans="1:17" ht="45" x14ac:dyDescent="0.25">
      <c r="A126" s="33"/>
      <c r="B126" s="25"/>
      <c r="C126" s="28" t="s">
        <v>251</v>
      </c>
      <c r="D126" s="25" t="s">
        <v>252</v>
      </c>
      <c r="E126" s="18"/>
      <c r="F126" s="18"/>
      <c r="G126" s="23">
        <v>16</v>
      </c>
      <c r="H126" s="18">
        <f t="shared" si="7"/>
        <v>54.72</v>
      </c>
      <c r="I126" s="29"/>
      <c r="J126" s="7">
        <v>2</v>
      </c>
      <c r="K126" s="7">
        <v>2</v>
      </c>
      <c r="L126" s="7">
        <f>ROUND(H126*J126,-1)</f>
        <v>110</v>
      </c>
      <c r="M126" s="8">
        <f>ROUND(H126*K126,-1)</f>
        <v>110</v>
      </c>
      <c r="N126" s="219" t="s">
        <v>43</v>
      </c>
      <c r="O126" s="94" t="s">
        <v>37</v>
      </c>
      <c r="P126" s="9"/>
      <c r="Q126" s="9" t="s">
        <v>384</v>
      </c>
    </row>
    <row r="127" spans="1:17" ht="30" x14ac:dyDescent="0.25">
      <c r="A127" s="33"/>
      <c r="B127" s="25"/>
      <c r="C127" s="28" t="s">
        <v>253</v>
      </c>
      <c r="D127" s="25" t="s">
        <v>220</v>
      </c>
      <c r="E127" s="18"/>
      <c r="F127" s="18"/>
      <c r="G127" s="23">
        <v>51.9</v>
      </c>
      <c r="H127" s="18">
        <f t="shared" si="7"/>
        <v>177.49799999999999</v>
      </c>
      <c r="I127" s="29">
        <v>21</v>
      </c>
      <c r="J127" s="8" t="s">
        <v>73</v>
      </c>
      <c r="K127" s="8" t="s">
        <v>73</v>
      </c>
      <c r="L127" s="7">
        <f t="shared" ref="L127:L134" si="8">MAX(20*I127,ROUND(H127*2,-1))</f>
        <v>420</v>
      </c>
      <c r="M127" s="7">
        <f t="shared" ref="M127:M135" si="9">MAX(20*I127,ROUND(H127*2,-1))</f>
        <v>420</v>
      </c>
      <c r="N127" s="100" t="s">
        <v>74</v>
      </c>
      <c r="O127" s="94" t="s">
        <v>37</v>
      </c>
      <c r="P127" s="32"/>
      <c r="Q127" s="9" t="s">
        <v>382</v>
      </c>
    </row>
    <row r="128" spans="1:17" ht="30" x14ac:dyDescent="0.25">
      <c r="A128" s="33"/>
      <c r="B128" s="25"/>
      <c r="C128" s="28" t="s">
        <v>254</v>
      </c>
      <c r="D128" s="25" t="s">
        <v>220</v>
      </c>
      <c r="E128" s="18"/>
      <c r="F128" s="18"/>
      <c r="G128" s="23">
        <v>44.6</v>
      </c>
      <c r="H128" s="18">
        <f t="shared" si="7"/>
        <v>152.53200000000001</v>
      </c>
      <c r="I128" s="29">
        <v>21</v>
      </c>
      <c r="J128" s="8" t="s">
        <v>73</v>
      </c>
      <c r="K128" s="8" t="s">
        <v>73</v>
      </c>
      <c r="L128" s="7">
        <f t="shared" si="8"/>
        <v>420</v>
      </c>
      <c r="M128" s="7">
        <f t="shared" si="9"/>
        <v>420</v>
      </c>
      <c r="N128" s="100" t="s">
        <v>74</v>
      </c>
      <c r="O128" s="94" t="s">
        <v>37</v>
      </c>
      <c r="P128" s="32"/>
      <c r="Q128" s="9" t="s">
        <v>382</v>
      </c>
    </row>
    <row r="129" spans="1:17" ht="30" x14ac:dyDescent="0.25">
      <c r="A129" s="33"/>
      <c r="B129" s="25"/>
      <c r="C129" s="28" t="s">
        <v>255</v>
      </c>
      <c r="D129" s="25" t="s">
        <v>220</v>
      </c>
      <c r="E129" s="18"/>
      <c r="F129" s="18"/>
      <c r="G129" s="23">
        <v>47.9</v>
      </c>
      <c r="H129" s="18">
        <f t="shared" si="7"/>
        <v>163.81799999999998</v>
      </c>
      <c r="I129" s="29">
        <v>21</v>
      </c>
      <c r="J129" s="8" t="s">
        <v>73</v>
      </c>
      <c r="K129" s="8" t="s">
        <v>73</v>
      </c>
      <c r="L129" s="7">
        <f t="shared" si="8"/>
        <v>420</v>
      </c>
      <c r="M129" s="7">
        <f t="shared" si="9"/>
        <v>420</v>
      </c>
      <c r="N129" s="100" t="s">
        <v>74</v>
      </c>
      <c r="O129" s="94" t="s">
        <v>37</v>
      </c>
      <c r="P129" s="32"/>
      <c r="Q129" s="9" t="s">
        <v>382</v>
      </c>
    </row>
    <row r="130" spans="1:17" ht="60" x14ac:dyDescent="0.25">
      <c r="A130" s="33"/>
      <c r="B130" s="25"/>
      <c r="C130" s="28" t="s">
        <v>256</v>
      </c>
      <c r="D130" s="25" t="s">
        <v>257</v>
      </c>
      <c r="E130" s="18"/>
      <c r="F130" s="18"/>
      <c r="G130" s="23">
        <v>66.5</v>
      </c>
      <c r="H130" s="18">
        <f t="shared" si="7"/>
        <v>227.43</v>
      </c>
      <c r="I130" s="29">
        <v>26</v>
      </c>
      <c r="J130" s="8" t="s">
        <v>73</v>
      </c>
      <c r="K130" s="8" t="s">
        <v>73</v>
      </c>
      <c r="L130" s="7">
        <f>MAX(20*I130,ROUND(H130*2,-1))</f>
        <v>520</v>
      </c>
      <c r="M130" s="7">
        <f t="shared" si="9"/>
        <v>520</v>
      </c>
      <c r="N130" s="100" t="s">
        <v>74</v>
      </c>
      <c r="O130" s="94" t="s">
        <v>37</v>
      </c>
      <c r="P130" s="32"/>
      <c r="Q130" s="9" t="s">
        <v>382</v>
      </c>
    </row>
    <row r="131" spans="1:17" ht="45" x14ac:dyDescent="0.25">
      <c r="A131" s="33"/>
      <c r="B131" s="25"/>
      <c r="C131" s="28" t="s">
        <v>258</v>
      </c>
      <c r="D131" s="25" t="s">
        <v>259</v>
      </c>
      <c r="E131" s="18"/>
      <c r="F131" s="18"/>
      <c r="G131" s="23">
        <v>94.7</v>
      </c>
      <c r="H131" s="18">
        <f t="shared" si="7"/>
        <v>323.87400000000002</v>
      </c>
      <c r="I131" s="29">
        <v>25</v>
      </c>
      <c r="J131" s="8" t="s">
        <v>73</v>
      </c>
      <c r="K131" s="8" t="s">
        <v>73</v>
      </c>
      <c r="L131" s="7">
        <f>MAX(20*I131,ROUND(H131*2,-1))</f>
        <v>650</v>
      </c>
      <c r="M131" s="7">
        <f t="shared" si="9"/>
        <v>650</v>
      </c>
      <c r="N131" s="100" t="s">
        <v>74</v>
      </c>
      <c r="O131" s="94" t="s">
        <v>37</v>
      </c>
      <c r="P131" s="32"/>
      <c r="Q131" s="9" t="s">
        <v>382</v>
      </c>
    </row>
    <row r="132" spans="1:17" ht="30" x14ac:dyDescent="0.25">
      <c r="A132" s="33"/>
      <c r="B132" s="25"/>
      <c r="C132" s="28" t="s">
        <v>260</v>
      </c>
      <c r="D132" s="25" t="s">
        <v>220</v>
      </c>
      <c r="E132" s="18"/>
      <c r="F132" s="18"/>
      <c r="G132" s="23">
        <v>51.4</v>
      </c>
      <c r="H132" s="18">
        <f t="shared" si="7"/>
        <v>175.78799999999998</v>
      </c>
      <c r="I132" s="29">
        <v>21</v>
      </c>
      <c r="J132" s="8" t="s">
        <v>73</v>
      </c>
      <c r="K132" s="8" t="s">
        <v>73</v>
      </c>
      <c r="L132" s="7">
        <f t="shared" si="8"/>
        <v>420</v>
      </c>
      <c r="M132" s="7">
        <f t="shared" si="9"/>
        <v>420</v>
      </c>
      <c r="N132" s="100" t="s">
        <v>74</v>
      </c>
      <c r="O132" s="94" t="s">
        <v>37</v>
      </c>
      <c r="P132" s="32"/>
      <c r="Q132" s="9" t="s">
        <v>382</v>
      </c>
    </row>
    <row r="133" spans="1:17" ht="30" x14ac:dyDescent="0.25">
      <c r="A133" s="33"/>
      <c r="B133" s="25"/>
      <c r="C133" s="28" t="s">
        <v>261</v>
      </c>
      <c r="D133" s="25" t="s">
        <v>220</v>
      </c>
      <c r="E133" s="18"/>
      <c r="F133" s="18"/>
      <c r="G133" s="23">
        <v>48.7</v>
      </c>
      <c r="H133" s="18">
        <f t="shared" si="7"/>
        <v>166.554</v>
      </c>
      <c r="I133" s="29">
        <v>21</v>
      </c>
      <c r="J133" s="8" t="s">
        <v>73</v>
      </c>
      <c r="K133" s="8" t="s">
        <v>73</v>
      </c>
      <c r="L133" s="7">
        <f t="shared" si="8"/>
        <v>420</v>
      </c>
      <c r="M133" s="7">
        <f t="shared" si="9"/>
        <v>420</v>
      </c>
      <c r="N133" s="106" t="s">
        <v>120</v>
      </c>
      <c r="O133" s="94" t="s">
        <v>37</v>
      </c>
      <c r="P133" s="32"/>
      <c r="Q133" s="9" t="s">
        <v>384</v>
      </c>
    </row>
    <row r="134" spans="1:17" ht="30" x14ac:dyDescent="0.25">
      <c r="A134" s="33"/>
      <c r="B134" s="25"/>
      <c r="C134" s="28" t="s">
        <v>262</v>
      </c>
      <c r="D134" s="25" t="s">
        <v>220</v>
      </c>
      <c r="E134" s="18"/>
      <c r="F134" s="18"/>
      <c r="G134" s="23">
        <v>47.9</v>
      </c>
      <c r="H134" s="18">
        <f t="shared" si="7"/>
        <v>163.81799999999998</v>
      </c>
      <c r="I134" s="29">
        <v>21</v>
      </c>
      <c r="J134" s="8" t="s">
        <v>73</v>
      </c>
      <c r="K134" s="8" t="s">
        <v>73</v>
      </c>
      <c r="L134" s="7">
        <f t="shared" si="8"/>
        <v>420</v>
      </c>
      <c r="M134" s="7">
        <f t="shared" si="9"/>
        <v>420</v>
      </c>
      <c r="N134" s="106" t="s">
        <v>120</v>
      </c>
      <c r="O134" s="94" t="s">
        <v>37</v>
      </c>
      <c r="P134" s="32"/>
      <c r="Q134" s="9" t="s">
        <v>384</v>
      </c>
    </row>
    <row r="135" spans="1:17" ht="90" x14ac:dyDescent="0.25">
      <c r="A135" s="33"/>
      <c r="B135" s="25"/>
      <c r="C135" s="28" t="s">
        <v>263</v>
      </c>
      <c r="D135" s="25" t="s">
        <v>264</v>
      </c>
      <c r="E135" s="18"/>
      <c r="F135" s="18"/>
      <c r="G135" s="23">
        <v>163.4</v>
      </c>
      <c r="H135" s="18">
        <f t="shared" si="7"/>
        <v>558.82799999999997</v>
      </c>
      <c r="I135" s="29">
        <v>60</v>
      </c>
      <c r="J135" s="8" t="s">
        <v>265</v>
      </c>
      <c r="K135" s="8" t="s">
        <v>73</v>
      </c>
      <c r="L135" s="7">
        <f>MAX(20*I135,ROUND(H135*2,-1))+70</f>
        <v>1270</v>
      </c>
      <c r="M135" s="7">
        <f t="shared" si="9"/>
        <v>1200</v>
      </c>
      <c r="N135" s="106" t="s">
        <v>120</v>
      </c>
      <c r="O135" s="243" t="s">
        <v>80</v>
      </c>
      <c r="P135" s="32"/>
      <c r="Q135" s="9" t="s">
        <v>384</v>
      </c>
    </row>
    <row r="136" spans="1:17" ht="60" x14ac:dyDescent="0.25">
      <c r="A136" s="33"/>
      <c r="B136" s="25"/>
      <c r="C136" s="28" t="s">
        <v>267</v>
      </c>
      <c r="D136" s="25" t="s">
        <v>268</v>
      </c>
      <c r="E136" s="18" t="s">
        <v>30</v>
      </c>
      <c r="F136" s="18"/>
      <c r="G136" s="23">
        <v>19.8</v>
      </c>
      <c r="H136" s="18">
        <f t="shared" si="7"/>
        <v>67.715999999999994</v>
      </c>
      <c r="I136" s="29"/>
      <c r="J136" s="8" t="s">
        <v>18</v>
      </c>
      <c r="K136" s="8">
        <v>1</v>
      </c>
      <c r="L136" s="8" t="s">
        <v>18</v>
      </c>
      <c r="M136" s="8">
        <f>ROUND(H136*K136,-1)</f>
        <v>70</v>
      </c>
      <c r="N136" s="7" t="s">
        <v>18</v>
      </c>
      <c r="O136" s="243" t="s">
        <v>80</v>
      </c>
      <c r="P136" s="9" t="s">
        <v>31</v>
      </c>
      <c r="Q136" s="9" t="s">
        <v>384</v>
      </c>
    </row>
    <row r="137" spans="1:17" x14ac:dyDescent="0.25">
      <c r="A137" s="33"/>
      <c r="B137" s="25"/>
      <c r="C137" s="28"/>
      <c r="D137" s="30" t="s">
        <v>269</v>
      </c>
      <c r="E137" s="18"/>
      <c r="F137" s="18"/>
      <c r="G137" s="23"/>
      <c r="H137" s="18"/>
      <c r="I137" s="29"/>
      <c r="J137" s="7"/>
      <c r="K137" s="7"/>
      <c r="L137" s="230">
        <f>SUM(L112:L136)</f>
        <v>5670</v>
      </c>
      <c r="M137" s="230">
        <f>SUM(M112:M136)</f>
        <v>5670</v>
      </c>
      <c r="O137" s="8"/>
      <c r="P137" s="9"/>
      <c r="Q137" s="9"/>
    </row>
    <row r="138" spans="1:17" ht="23.25" x14ac:dyDescent="0.25">
      <c r="A138" s="25"/>
      <c r="B138" s="43" t="s">
        <v>270</v>
      </c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5"/>
      <c r="Q138" s="45"/>
    </row>
    <row r="139" spans="1:17" ht="23.25" customHeight="1" x14ac:dyDescent="0.25">
      <c r="A139" s="33"/>
      <c r="B139" s="25"/>
      <c r="C139" s="28" t="s">
        <v>271</v>
      </c>
      <c r="D139" s="25" t="s">
        <v>199</v>
      </c>
      <c r="E139" s="18"/>
      <c r="F139" s="18"/>
      <c r="G139" s="23">
        <v>173.6</v>
      </c>
      <c r="H139" s="18">
        <f>G139*3.35</f>
        <v>581.55999999999995</v>
      </c>
      <c r="I139" s="29"/>
      <c r="J139" s="226"/>
      <c r="K139" s="7" t="s">
        <v>18</v>
      </c>
      <c r="L139" s="7"/>
      <c r="M139" s="8" t="s">
        <v>18</v>
      </c>
      <c r="N139" s="7" t="s">
        <v>18</v>
      </c>
      <c r="O139" s="7" t="s">
        <v>18</v>
      </c>
      <c r="P139" s="32"/>
      <c r="Q139" s="9" t="s">
        <v>382</v>
      </c>
    </row>
    <row r="140" spans="1:17" x14ac:dyDescent="0.25">
      <c r="A140" s="33"/>
      <c r="B140" s="25"/>
      <c r="C140" s="28"/>
      <c r="D140" s="228" t="s">
        <v>380</v>
      </c>
      <c r="E140" s="18"/>
      <c r="F140" s="18"/>
      <c r="G140" s="23">
        <v>37.270000000000003</v>
      </c>
      <c r="H140" s="18">
        <f>G140*3.35</f>
        <v>124.85450000000002</v>
      </c>
      <c r="I140" s="29"/>
      <c r="J140" s="7">
        <v>2</v>
      </c>
      <c r="K140" s="7" t="s">
        <v>18</v>
      </c>
      <c r="L140" s="8">
        <f>ROUND(H140*J140,-1)</f>
        <v>250</v>
      </c>
      <c r="M140" s="8" t="s">
        <v>18</v>
      </c>
      <c r="N140" s="219" t="s">
        <v>43</v>
      </c>
      <c r="O140" s="7" t="s">
        <v>18</v>
      </c>
      <c r="P140" s="32"/>
      <c r="Q140" s="9" t="s">
        <v>382</v>
      </c>
    </row>
    <row r="141" spans="1:17" x14ac:dyDescent="0.25">
      <c r="A141" s="33"/>
      <c r="B141" s="25"/>
      <c r="C141" s="28" t="s">
        <v>272</v>
      </c>
      <c r="D141" s="25" t="s">
        <v>199</v>
      </c>
      <c r="E141" s="18"/>
      <c r="F141" s="18"/>
      <c r="G141" s="23">
        <v>166.2</v>
      </c>
      <c r="H141" s="18">
        <f t="shared" ref="H141:H166" si="10">G141*3.35</f>
        <v>556.77</v>
      </c>
      <c r="I141" s="29"/>
      <c r="J141" s="226"/>
      <c r="K141" s="7" t="s">
        <v>18</v>
      </c>
      <c r="L141" s="7"/>
      <c r="M141" s="8" t="s">
        <v>18</v>
      </c>
      <c r="N141" s="7" t="s">
        <v>18</v>
      </c>
      <c r="O141" s="7" t="s">
        <v>18</v>
      </c>
      <c r="P141" s="32"/>
      <c r="Q141" s="9" t="s">
        <v>384</v>
      </c>
    </row>
    <row r="142" spans="1:17" x14ac:dyDescent="0.25">
      <c r="A142" s="33"/>
      <c r="B142" s="25"/>
      <c r="C142" s="28"/>
      <c r="D142" s="228" t="s">
        <v>380</v>
      </c>
      <c r="E142" s="18"/>
      <c r="F142" s="18"/>
      <c r="G142" s="23">
        <v>35.82</v>
      </c>
      <c r="H142" s="18">
        <f>G142*3.35</f>
        <v>119.997</v>
      </c>
      <c r="I142" s="29"/>
      <c r="J142" s="7">
        <v>2</v>
      </c>
      <c r="K142" s="7" t="s">
        <v>18</v>
      </c>
      <c r="L142" s="8">
        <f>ROUND(H142*J142,-1)</f>
        <v>240</v>
      </c>
      <c r="M142" s="8" t="s">
        <v>18</v>
      </c>
      <c r="N142" s="219" t="s">
        <v>43</v>
      </c>
      <c r="O142" s="7" t="s">
        <v>18</v>
      </c>
      <c r="P142" s="32"/>
      <c r="Q142" s="9" t="s">
        <v>384</v>
      </c>
    </row>
    <row r="143" spans="1:17" x14ac:dyDescent="0.25">
      <c r="A143" s="33"/>
      <c r="B143" s="25"/>
      <c r="C143" s="28" t="s">
        <v>273</v>
      </c>
      <c r="D143" s="25" t="s">
        <v>60</v>
      </c>
      <c r="E143" s="18"/>
      <c r="F143" s="18"/>
      <c r="G143" s="23">
        <v>4.0999999999999996</v>
      </c>
      <c r="H143" s="18">
        <f t="shared" si="10"/>
        <v>13.734999999999999</v>
      </c>
      <c r="I143" s="29"/>
      <c r="J143" s="7" t="s">
        <v>18</v>
      </c>
      <c r="K143" s="7" t="s">
        <v>18</v>
      </c>
      <c r="L143" s="8" t="s">
        <v>18</v>
      </c>
      <c r="M143" s="8" t="s">
        <v>18</v>
      </c>
      <c r="N143" s="7" t="s">
        <v>18</v>
      </c>
      <c r="O143" s="7" t="s">
        <v>18</v>
      </c>
      <c r="P143" s="9"/>
      <c r="Q143" s="9" t="s">
        <v>384</v>
      </c>
    </row>
    <row r="144" spans="1:17" x14ac:dyDescent="0.25">
      <c r="A144" s="25"/>
      <c r="B144" s="25"/>
      <c r="C144" s="28" t="s">
        <v>274</v>
      </c>
      <c r="D144" s="25" t="s">
        <v>89</v>
      </c>
      <c r="E144" s="18"/>
      <c r="F144" s="18"/>
      <c r="G144" s="23">
        <v>26.9</v>
      </c>
      <c r="H144" s="18">
        <f t="shared" si="10"/>
        <v>90.114999999999995</v>
      </c>
      <c r="I144" s="29"/>
      <c r="J144" s="7" t="s">
        <v>18</v>
      </c>
      <c r="K144" s="7" t="s">
        <v>18</v>
      </c>
      <c r="L144" s="8" t="s">
        <v>18</v>
      </c>
      <c r="M144" s="8" t="s">
        <v>18</v>
      </c>
      <c r="N144" s="7" t="s">
        <v>18</v>
      </c>
      <c r="O144" s="7" t="s">
        <v>18</v>
      </c>
      <c r="P144" s="9"/>
      <c r="Q144" s="9" t="s">
        <v>382</v>
      </c>
    </row>
    <row r="145" spans="1:17" x14ac:dyDescent="0.25">
      <c r="A145" s="25"/>
      <c r="B145" s="25"/>
      <c r="C145" s="28" t="s">
        <v>275</v>
      </c>
      <c r="D145" s="25" t="s">
        <v>89</v>
      </c>
      <c r="E145" s="18"/>
      <c r="F145" s="18"/>
      <c r="G145" s="23">
        <v>26.8</v>
      </c>
      <c r="H145" s="18">
        <f t="shared" si="10"/>
        <v>89.78</v>
      </c>
      <c r="I145" s="29"/>
      <c r="J145" s="7" t="s">
        <v>18</v>
      </c>
      <c r="K145" s="7" t="s">
        <v>18</v>
      </c>
      <c r="L145" s="8" t="s">
        <v>18</v>
      </c>
      <c r="M145" s="8" t="s">
        <v>18</v>
      </c>
      <c r="N145" s="7" t="s">
        <v>18</v>
      </c>
      <c r="O145" s="7" t="s">
        <v>18</v>
      </c>
      <c r="P145" s="9"/>
      <c r="Q145" s="9" t="s">
        <v>384</v>
      </c>
    </row>
    <row r="146" spans="1:17" x14ac:dyDescent="0.25">
      <c r="A146" s="25"/>
      <c r="B146" s="25"/>
      <c r="C146" s="28" t="s">
        <v>276</v>
      </c>
      <c r="D146" s="25" t="s">
        <v>189</v>
      </c>
      <c r="E146" s="18" t="s">
        <v>42</v>
      </c>
      <c r="F146" s="18"/>
      <c r="G146" s="23">
        <v>5</v>
      </c>
      <c r="H146" s="18">
        <f t="shared" si="10"/>
        <v>16.75</v>
      </c>
      <c r="I146" s="29"/>
      <c r="J146" s="7">
        <v>2</v>
      </c>
      <c r="K146" s="7">
        <v>2</v>
      </c>
      <c r="L146" s="8">
        <f>ROUND(H146*J146,-1)</f>
        <v>30</v>
      </c>
      <c r="M146" s="8">
        <f>ROUND(H146*K146,-1)</f>
        <v>30</v>
      </c>
      <c r="N146" s="219" t="s">
        <v>43</v>
      </c>
      <c r="O146" s="107" t="s">
        <v>164</v>
      </c>
      <c r="P146" s="9" t="s">
        <v>31</v>
      </c>
      <c r="Q146" s="9" t="s">
        <v>382</v>
      </c>
    </row>
    <row r="147" spans="1:17" x14ac:dyDescent="0.25">
      <c r="A147" s="33"/>
      <c r="B147" s="25"/>
      <c r="C147" s="28" t="s">
        <v>277</v>
      </c>
      <c r="D147" s="25" t="s">
        <v>189</v>
      </c>
      <c r="E147" s="18" t="s">
        <v>42</v>
      </c>
      <c r="F147" s="18"/>
      <c r="G147" s="23">
        <v>6.8</v>
      </c>
      <c r="H147" s="18">
        <f t="shared" si="10"/>
        <v>22.78</v>
      </c>
      <c r="I147" s="29"/>
      <c r="J147" s="7">
        <v>2</v>
      </c>
      <c r="K147" s="7">
        <v>2</v>
      </c>
      <c r="L147" s="8">
        <f>ROUND(H147*J147,-1)</f>
        <v>50</v>
      </c>
      <c r="M147" s="8">
        <f>ROUND(H147*K147,-1)</f>
        <v>50</v>
      </c>
      <c r="N147" s="219" t="s">
        <v>43</v>
      </c>
      <c r="O147" s="110" t="s">
        <v>190</v>
      </c>
      <c r="P147" s="9" t="s">
        <v>31</v>
      </c>
      <c r="Q147" s="9" t="s">
        <v>384</v>
      </c>
    </row>
    <row r="148" spans="1:17" x14ac:dyDescent="0.25">
      <c r="A148" s="33"/>
      <c r="B148" s="25"/>
      <c r="C148" s="28" t="s">
        <v>278</v>
      </c>
      <c r="D148" s="25" t="s">
        <v>206</v>
      </c>
      <c r="E148" s="18" t="s">
        <v>42</v>
      </c>
      <c r="F148" s="18"/>
      <c r="G148" s="23">
        <v>5.7</v>
      </c>
      <c r="H148" s="18">
        <f t="shared" si="10"/>
        <v>19.095000000000002</v>
      </c>
      <c r="I148" s="29"/>
      <c r="J148" s="7" t="s">
        <v>18</v>
      </c>
      <c r="K148" s="8">
        <v>1</v>
      </c>
      <c r="L148" s="7" t="s">
        <v>18</v>
      </c>
      <c r="M148" s="8">
        <f>ROUND(H148*K148,-1)</f>
        <v>20</v>
      </c>
      <c r="N148" s="7" t="s">
        <v>18</v>
      </c>
      <c r="O148" s="70" t="s">
        <v>94</v>
      </c>
      <c r="P148" s="9"/>
      <c r="Q148" s="9" t="s">
        <v>382</v>
      </c>
    </row>
    <row r="149" spans="1:17" x14ac:dyDescent="0.25">
      <c r="A149" s="33"/>
      <c r="B149" s="25"/>
      <c r="C149" s="28" t="s">
        <v>279</v>
      </c>
      <c r="D149" s="25" t="s">
        <v>206</v>
      </c>
      <c r="E149" s="18" t="s">
        <v>42</v>
      </c>
      <c r="F149" s="18"/>
      <c r="G149" s="23">
        <v>2.8</v>
      </c>
      <c r="H149" s="18">
        <f t="shared" si="10"/>
        <v>9.379999999999999</v>
      </c>
      <c r="I149" s="29"/>
      <c r="J149" s="7" t="s">
        <v>18</v>
      </c>
      <c r="K149" s="8">
        <v>1</v>
      </c>
      <c r="L149" s="7" t="s">
        <v>18</v>
      </c>
      <c r="M149" s="7">
        <f>ROUND(H149*K149,-1)</f>
        <v>10</v>
      </c>
      <c r="N149" s="7" t="s">
        <v>18</v>
      </c>
      <c r="O149" s="112" t="s">
        <v>208</v>
      </c>
      <c r="P149" s="9"/>
      <c r="Q149" s="9" t="s">
        <v>384</v>
      </c>
    </row>
    <row r="150" spans="1:17" ht="30" x14ac:dyDescent="0.25">
      <c r="A150" s="33"/>
      <c r="B150" s="25"/>
      <c r="C150" s="28" t="s">
        <v>280</v>
      </c>
      <c r="D150" s="25" t="s">
        <v>91</v>
      </c>
      <c r="E150" s="18"/>
      <c r="F150" s="18"/>
      <c r="G150" s="23">
        <v>2.9</v>
      </c>
      <c r="H150" s="18">
        <f t="shared" si="10"/>
        <v>9.7149999999999999</v>
      </c>
      <c r="I150" s="29" t="s">
        <v>92</v>
      </c>
      <c r="J150" s="7" t="s">
        <v>18</v>
      </c>
      <c r="K150" s="8" t="s">
        <v>93</v>
      </c>
      <c r="L150" s="8" t="s">
        <v>18</v>
      </c>
      <c r="M150" s="7">
        <v>50</v>
      </c>
      <c r="N150" s="7" t="s">
        <v>18</v>
      </c>
      <c r="O150" s="103" t="s">
        <v>94</v>
      </c>
      <c r="P150" s="32"/>
      <c r="Q150" s="9" t="s">
        <v>382</v>
      </c>
    </row>
    <row r="151" spans="1:17" x14ac:dyDescent="0.25">
      <c r="A151" s="33"/>
      <c r="B151" s="25"/>
      <c r="C151" s="28" t="s">
        <v>281</v>
      </c>
      <c r="D151" s="25" t="s">
        <v>101</v>
      </c>
      <c r="E151" s="18" t="s">
        <v>42</v>
      </c>
      <c r="F151" s="18"/>
      <c r="G151" s="23">
        <v>2.1</v>
      </c>
      <c r="H151" s="18">
        <f t="shared" si="10"/>
        <v>7.0350000000000001</v>
      </c>
      <c r="I151" s="29"/>
      <c r="J151" s="18" t="s">
        <v>18</v>
      </c>
      <c r="K151" s="7">
        <v>5</v>
      </c>
      <c r="L151" s="8" t="s">
        <v>18</v>
      </c>
      <c r="M151" s="8">
        <f>ROUND(H151*K151,-1)</f>
        <v>40</v>
      </c>
      <c r="N151" s="7" t="s">
        <v>18</v>
      </c>
      <c r="O151" s="113" t="s">
        <v>211</v>
      </c>
      <c r="P151" s="9" t="s">
        <v>31</v>
      </c>
      <c r="Q151" s="9" t="s">
        <v>384</v>
      </c>
    </row>
    <row r="152" spans="1:17" ht="30" x14ac:dyDescent="0.25">
      <c r="A152" s="25"/>
      <c r="B152" s="25"/>
      <c r="C152" s="28" t="s">
        <v>282</v>
      </c>
      <c r="D152" s="25" t="s">
        <v>96</v>
      </c>
      <c r="E152" s="18"/>
      <c r="F152" s="18"/>
      <c r="G152" s="23">
        <v>19</v>
      </c>
      <c r="H152" s="18">
        <f t="shared" si="10"/>
        <v>63.65</v>
      </c>
      <c r="I152" s="29" t="s">
        <v>283</v>
      </c>
      <c r="J152" s="7" t="s">
        <v>18</v>
      </c>
      <c r="K152" s="8" t="s">
        <v>93</v>
      </c>
      <c r="L152" s="8" t="s">
        <v>18</v>
      </c>
      <c r="M152" s="7">
        <f>50*4</f>
        <v>200</v>
      </c>
      <c r="N152" s="7" t="s">
        <v>18</v>
      </c>
      <c r="O152" s="104" t="s">
        <v>98</v>
      </c>
      <c r="P152" s="35"/>
      <c r="Q152" s="9" t="s">
        <v>382</v>
      </c>
    </row>
    <row r="153" spans="1:17" ht="45" x14ac:dyDescent="0.25">
      <c r="A153" s="33"/>
      <c r="B153" s="25"/>
      <c r="C153" s="28" t="s">
        <v>284</v>
      </c>
      <c r="D153" s="25" t="s">
        <v>123</v>
      </c>
      <c r="E153" s="18"/>
      <c r="F153" s="18"/>
      <c r="G153" s="23">
        <v>19.100000000000001</v>
      </c>
      <c r="H153" s="18">
        <f t="shared" si="10"/>
        <v>63.985000000000007</v>
      </c>
      <c r="I153" s="29" t="s">
        <v>285</v>
      </c>
      <c r="J153" s="7" t="s">
        <v>18</v>
      </c>
      <c r="K153" s="8" t="s">
        <v>125</v>
      </c>
      <c r="L153" s="8" t="s">
        <v>18</v>
      </c>
      <c r="M153" s="7">
        <f>(50*2)+(25*2)</f>
        <v>150</v>
      </c>
      <c r="N153" s="7" t="s">
        <v>18</v>
      </c>
      <c r="O153" s="105" t="s">
        <v>116</v>
      </c>
      <c r="P153" s="9"/>
      <c r="Q153" s="9" t="s">
        <v>384</v>
      </c>
    </row>
    <row r="154" spans="1:17" ht="45" x14ac:dyDescent="0.25">
      <c r="A154" s="33"/>
      <c r="B154" s="25"/>
      <c r="C154" s="28" t="s">
        <v>286</v>
      </c>
      <c r="D154" s="25" t="s">
        <v>287</v>
      </c>
      <c r="E154" s="18"/>
      <c r="F154" s="18"/>
      <c r="G154" s="23">
        <v>16.2</v>
      </c>
      <c r="H154" s="18">
        <f t="shared" si="10"/>
        <v>54.269999999999996</v>
      </c>
      <c r="I154" s="29"/>
      <c r="J154" s="7">
        <v>2</v>
      </c>
      <c r="K154" s="7">
        <v>2</v>
      </c>
      <c r="L154" s="7">
        <f>ROUND(H154*J154,-1)</f>
        <v>110</v>
      </c>
      <c r="M154" s="8">
        <f>ROUND(H154*K154,-1)</f>
        <v>110</v>
      </c>
      <c r="N154" s="219" t="s">
        <v>43</v>
      </c>
      <c r="O154" s="94" t="s">
        <v>37</v>
      </c>
      <c r="P154" s="9"/>
      <c r="Q154" s="9" t="s">
        <v>384</v>
      </c>
    </row>
    <row r="155" spans="1:17" ht="30" x14ac:dyDescent="0.25">
      <c r="A155" s="33"/>
      <c r="B155" s="25"/>
      <c r="C155" s="28" t="s">
        <v>288</v>
      </c>
      <c r="D155" s="25" t="s">
        <v>289</v>
      </c>
      <c r="E155" s="18"/>
      <c r="F155" s="18"/>
      <c r="G155" s="23">
        <v>131.1</v>
      </c>
      <c r="H155" s="18">
        <f t="shared" si="10"/>
        <v>439.185</v>
      </c>
      <c r="I155" s="29">
        <v>156</v>
      </c>
      <c r="J155" s="8" t="s">
        <v>135</v>
      </c>
      <c r="K155" s="8" t="s">
        <v>135</v>
      </c>
      <c r="L155" s="7">
        <f>20*I155</f>
        <v>3120</v>
      </c>
      <c r="M155" s="7">
        <f>L155</f>
        <v>3120</v>
      </c>
      <c r="N155" s="116" t="s">
        <v>290</v>
      </c>
      <c r="O155" s="117" t="s">
        <v>291</v>
      </c>
      <c r="P155" s="9"/>
      <c r="Q155" s="9"/>
    </row>
    <row r="156" spans="1:17" ht="30" x14ac:dyDescent="0.25">
      <c r="A156" s="33"/>
      <c r="B156" s="25"/>
      <c r="C156" s="28" t="s">
        <v>292</v>
      </c>
      <c r="D156" s="25" t="s">
        <v>293</v>
      </c>
      <c r="E156" s="18" t="s">
        <v>30</v>
      </c>
      <c r="F156" s="18"/>
      <c r="G156" s="23">
        <v>6.9</v>
      </c>
      <c r="H156" s="18">
        <f t="shared" si="10"/>
        <v>23.115000000000002</v>
      </c>
      <c r="I156" s="29">
        <v>2</v>
      </c>
      <c r="J156" s="8" t="s">
        <v>294</v>
      </c>
      <c r="K156" s="8" t="s">
        <v>294</v>
      </c>
      <c r="L156" s="7">
        <f>MAX(60*I156,ROUND(H156*2,-1))</f>
        <v>120</v>
      </c>
      <c r="M156" s="7">
        <f>MAX(60*I156,ROUND(H156*2,-1))</f>
        <v>120</v>
      </c>
      <c r="N156" s="116" t="s">
        <v>290</v>
      </c>
      <c r="O156" s="117" t="s">
        <v>291</v>
      </c>
      <c r="P156" s="9"/>
      <c r="Q156" s="9" t="s">
        <v>384</v>
      </c>
    </row>
    <row r="157" spans="1:17" x14ac:dyDescent="0.25">
      <c r="A157" s="33"/>
      <c r="B157" s="25"/>
      <c r="C157" s="28" t="s">
        <v>295</v>
      </c>
      <c r="D157" s="25" t="s">
        <v>296</v>
      </c>
      <c r="E157" s="18"/>
      <c r="F157" s="18"/>
      <c r="G157" s="23">
        <v>12.4</v>
      </c>
      <c r="H157" s="18">
        <f t="shared" si="10"/>
        <v>41.54</v>
      </c>
      <c r="I157" s="29"/>
      <c r="J157" s="7">
        <v>2</v>
      </c>
      <c r="K157" s="7">
        <v>2</v>
      </c>
      <c r="L157" s="7">
        <f>ROUND(H157*J157,-1)</f>
        <v>80</v>
      </c>
      <c r="M157" s="8">
        <f>ROUND(H157*K157,-1)</f>
        <v>80</v>
      </c>
      <c r="N157" s="116" t="s">
        <v>290</v>
      </c>
      <c r="O157" s="117" t="s">
        <v>291</v>
      </c>
      <c r="P157" s="9"/>
      <c r="Q157" s="9" t="s">
        <v>384</v>
      </c>
    </row>
    <row r="158" spans="1:17" x14ac:dyDescent="0.25">
      <c r="A158" s="33"/>
      <c r="B158" s="25"/>
      <c r="C158" s="28" t="s">
        <v>297</v>
      </c>
      <c r="D158" s="25" t="s">
        <v>298</v>
      </c>
      <c r="E158" s="18" t="s">
        <v>42</v>
      </c>
      <c r="F158" s="18"/>
      <c r="G158" s="23">
        <v>6.1</v>
      </c>
      <c r="H158" s="18">
        <f t="shared" si="10"/>
        <v>20.434999999999999</v>
      </c>
      <c r="I158" s="29"/>
      <c r="J158" s="18" t="s">
        <v>18</v>
      </c>
      <c r="K158" s="7">
        <v>1</v>
      </c>
      <c r="L158" s="8" t="s">
        <v>18</v>
      </c>
      <c r="M158" s="8">
        <f>ROUND(H158*K158,-1)</f>
        <v>20</v>
      </c>
      <c r="N158" s="7" t="s">
        <v>18</v>
      </c>
      <c r="O158" s="99" t="s">
        <v>68</v>
      </c>
      <c r="P158" s="9" t="s">
        <v>31</v>
      </c>
      <c r="Q158" s="9" t="s">
        <v>384</v>
      </c>
    </row>
    <row r="159" spans="1:17" ht="30" x14ac:dyDescent="0.25">
      <c r="A159" s="33"/>
      <c r="B159" s="25"/>
      <c r="C159" s="28" t="s">
        <v>299</v>
      </c>
      <c r="D159" s="25" t="s">
        <v>300</v>
      </c>
      <c r="E159" s="18"/>
      <c r="F159" s="18"/>
      <c r="G159" s="23">
        <v>50.8</v>
      </c>
      <c r="H159" s="18">
        <f t="shared" si="10"/>
        <v>170.18</v>
      </c>
      <c r="I159" s="29">
        <v>21</v>
      </c>
      <c r="J159" s="8" t="s">
        <v>73</v>
      </c>
      <c r="K159" s="8" t="s">
        <v>73</v>
      </c>
      <c r="L159" s="7">
        <f>MAX(20*I159,ROUND(H159*2,-1))</f>
        <v>420</v>
      </c>
      <c r="M159" s="7">
        <f>MAX(20*I159,ROUND(H159*2,-1))</f>
        <v>420</v>
      </c>
      <c r="N159" s="100" t="s">
        <v>74</v>
      </c>
      <c r="O159" s="94" t="s">
        <v>37</v>
      </c>
      <c r="P159" s="32"/>
      <c r="Q159" s="9" t="s">
        <v>382</v>
      </c>
    </row>
    <row r="160" spans="1:17" ht="45" x14ac:dyDescent="0.25">
      <c r="A160" s="33"/>
      <c r="B160" s="25"/>
      <c r="C160" s="28" t="s">
        <v>301</v>
      </c>
      <c r="D160" s="25" t="s">
        <v>302</v>
      </c>
      <c r="E160" s="18"/>
      <c r="F160" s="18"/>
      <c r="G160" s="23">
        <v>92.4</v>
      </c>
      <c r="H160" s="18">
        <f t="shared" si="10"/>
        <v>309.54000000000002</v>
      </c>
      <c r="I160" s="29">
        <v>21</v>
      </c>
      <c r="J160" s="8" t="s">
        <v>73</v>
      </c>
      <c r="K160" s="8" t="s">
        <v>73</v>
      </c>
      <c r="L160" s="7">
        <f>MAX(20*I160,ROUND(H160*2,-1))</f>
        <v>620</v>
      </c>
      <c r="M160" s="7">
        <f>MAX(20*I160,ROUND(H160*2,-1))</f>
        <v>620</v>
      </c>
      <c r="N160" s="100" t="s">
        <v>74</v>
      </c>
      <c r="O160" s="94" t="s">
        <v>37</v>
      </c>
      <c r="P160" s="32"/>
      <c r="Q160" s="9" t="s">
        <v>382</v>
      </c>
    </row>
    <row r="161" spans="1:17" x14ac:dyDescent="0.25">
      <c r="A161" s="33"/>
      <c r="B161" s="25"/>
      <c r="C161" s="28" t="s">
        <v>303</v>
      </c>
      <c r="D161" s="25" t="s">
        <v>304</v>
      </c>
      <c r="E161" s="18" t="s">
        <v>30</v>
      </c>
      <c r="F161" s="18"/>
      <c r="G161" s="23">
        <v>18.3</v>
      </c>
      <c r="H161" s="18">
        <f t="shared" si="10"/>
        <v>61.305000000000007</v>
      </c>
      <c r="I161" s="29"/>
      <c r="J161" s="7">
        <v>2</v>
      </c>
      <c r="K161" s="7">
        <v>2</v>
      </c>
      <c r="L161" s="7">
        <f>ROUND(H161*J161,-1)</f>
        <v>120</v>
      </c>
      <c r="M161" s="8">
        <f>ROUND(H161*K161,-1)</f>
        <v>120</v>
      </c>
      <c r="N161" s="100" t="s">
        <v>74</v>
      </c>
      <c r="O161" s="245" t="s">
        <v>266</v>
      </c>
      <c r="P161" s="9"/>
      <c r="Q161" s="9" t="s">
        <v>382</v>
      </c>
    </row>
    <row r="162" spans="1:17" ht="30" x14ac:dyDescent="0.25">
      <c r="A162" s="33"/>
      <c r="B162" s="25"/>
      <c r="C162" s="28" t="s">
        <v>306</v>
      </c>
      <c r="D162" s="25" t="s">
        <v>220</v>
      </c>
      <c r="E162" s="18"/>
      <c r="F162" s="18"/>
      <c r="G162" s="23">
        <v>45</v>
      </c>
      <c r="H162" s="18">
        <f t="shared" si="10"/>
        <v>150.75</v>
      </c>
      <c r="I162" s="29">
        <v>21</v>
      </c>
      <c r="J162" s="8" t="s">
        <v>73</v>
      </c>
      <c r="K162" s="8" t="s">
        <v>73</v>
      </c>
      <c r="L162" s="7">
        <f>MAX(20*I162,ROUND(H162*2,-1))</f>
        <v>420</v>
      </c>
      <c r="M162" s="7">
        <f>MAX(20*I162,ROUND(H162*2,-1))</f>
        <v>420</v>
      </c>
      <c r="N162" s="100" t="s">
        <v>74</v>
      </c>
      <c r="O162" s="94" t="s">
        <v>37</v>
      </c>
      <c r="P162" s="32"/>
      <c r="Q162" s="9" t="s">
        <v>382</v>
      </c>
    </row>
    <row r="163" spans="1:17" ht="60" x14ac:dyDescent="0.25">
      <c r="A163" s="33"/>
      <c r="B163" s="25"/>
      <c r="C163" s="28" t="s">
        <v>307</v>
      </c>
      <c r="D163" s="25" t="s">
        <v>257</v>
      </c>
      <c r="E163" s="18"/>
      <c r="F163" s="18"/>
      <c r="G163" s="23">
        <v>65.900000000000006</v>
      </c>
      <c r="H163" s="18">
        <f t="shared" si="10"/>
        <v>220.76500000000001</v>
      </c>
      <c r="I163" s="29">
        <v>24</v>
      </c>
      <c r="J163" s="8" t="s">
        <v>73</v>
      </c>
      <c r="K163" s="8" t="s">
        <v>73</v>
      </c>
      <c r="L163" s="7">
        <f>MAX(20*I163,ROUND(H163*2,-1))</f>
        <v>480</v>
      </c>
      <c r="M163" s="7">
        <f>MAX(20*I163,ROUND(H163*2,-1))</f>
        <v>480</v>
      </c>
      <c r="N163" s="106" t="s">
        <v>120</v>
      </c>
      <c r="O163" s="94" t="s">
        <v>37</v>
      </c>
      <c r="P163" s="32"/>
      <c r="Q163" s="9" t="s">
        <v>384</v>
      </c>
    </row>
    <row r="164" spans="1:17" ht="60" x14ac:dyDescent="0.25">
      <c r="A164" s="33"/>
      <c r="B164" s="25"/>
      <c r="C164" s="28" t="s">
        <v>308</v>
      </c>
      <c r="D164" s="25" t="s">
        <v>309</v>
      </c>
      <c r="E164" s="18"/>
      <c r="F164" s="18"/>
      <c r="G164" s="23">
        <v>90.5</v>
      </c>
      <c r="H164" s="18">
        <f t="shared" si="10"/>
        <v>303.17500000000001</v>
      </c>
      <c r="I164" s="29">
        <v>29</v>
      </c>
      <c r="J164" s="8" t="s">
        <v>73</v>
      </c>
      <c r="K164" s="8" t="s">
        <v>73</v>
      </c>
      <c r="L164" s="7">
        <f>MAX(20*I164,ROUND(H164*2,-1))</f>
        <v>610</v>
      </c>
      <c r="M164" s="7">
        <f>MAX(20*I164,ROUND(H164*2,-1))</f>
        <v>610</v>
      </c>
      <c r="N164" s="106" t="s">
        <v>120</v>
      </c>
      <c r="O164" s="94" t="s">
        <v>37</v>
      </c>
      <c r="P164" s="32"/>
      <c r="Q164" s="9" t="s">
        <v>384</v>
      </c>
    </row>
    <row r="165" spans="1:17" ht="30" x14ac:dyDescent="0.25">
      <c r="A165" s="33"/>
      <c r="B165" s="25"/>
      <c r="C165" s="28" t="s">
        <v>310</v>
      </c>
      <c r="D165" s="25" t="s">
        <v>311</v>
      </c>
      <c r="E165" s="18"/>
      <c r="F165" s="18"/>
      <c r="G165" s="23">
        <v>53.4</v>
      </c>
      <c r="H165" s="18">
        <f t="shared" si="10"/>
        <v>178.89</v>
      </c>
      <c r="I165" s="29">
        <v>21</v>
      </c>
      <c r="J165" s="8" t="s">
        <v>73</v>
      </c>
      <c r="K165" s="8" t="s">
        <v>73</v>
      </c>
      <c r="L165" s="7">
        <f>MAX(20*I165,ROUND(H165*2,-1))</f>
        <v>420</v>
      </c>
      <c r="M165" s="7">
        <f>MAX(20*I165,ROUND(H165*2,-1))</f>
        <v>420</v>
      </c>
      <c r="N165" s="106" t="s">
        <v>120</v>
      </c>
      <c r="O165" s="94" t="s">
        <v>37</v>
      </c>
      <c r="P165" s="32"/>
      <c r="Q165" s="9" t="s">
        <v>384</v>
      </c>
    </row>
    <row r="166" spans="1:17" ht="30" x14ac:dyDescent="0.25">
      <c r="A166" s="33"/>
      <c r="B166" s="25"/>
      <c r="C166" s="28" t="s">
        <v>312</v>
      </c>
      <c r="D166" s="25" t="s">
        <v>311</v>
      </c>
      <c r="E166" s="18"/>
      <c r="F166" s="18"/>
      <c r="G166" s="23">
        <v>48.1</v>
      </c>
      <c r="H166" s="18">
        <f t="shared" si="10"/>
        <v>161.13500000000002</v>
      </c>
      <c r="I166" s="29">
        <v>21</v>
      </c>
      <c r="J166" s="8" t="s">
        <v>73</v>
      </c>
      <c r="K166" s="8" t="s">
        <v>73</v>
      </c>
      <c r="L166" s="7">
        <f>MAX(20*I166,ROUND(H166*2,-1))</f>
        <v>420</v>
      </c>
      <c r="M166" s="7">
        <f>MAX(20*I166,ROUND(H166*2,-1))</f>
        <v>420</v>
      </c>
      <c r="N166" s="100" t="s">
        <v>74</v>
      </c>
      <c r="O166" s="94" t="s">
        <v>37</v>
      </c>
      <c r="P166" s="32"/>
      <c r="Q166" s="9" t="s">
        <v>382</v>
      </c>
    </row>
    <row r="167" spans="1:17" x14ac:dyDescent="0.25">
      <c r="A167" s="33"/>
      <c r="B167" s="25"/>
      <c r="C167" s="28"/>
      <c r="D167" s="30" t="s">
        <v>313</v>
      </c>
      <c r="E167" s="18"/>
      <c r="F167" s="18"/>
      <c r="G167" s="23"/>
      <c r="H167" s="18"/>
      <c r="I167" s="29"/>
      <c r="J167" s="7"/>
      <c r="K167" s="7"/>
      <c r="L167" s="230">
        <f>SUM(L139:L166)</f>
        <v>7510</v>
      </c>
      <c r="M167" s="230">
        <f>SUM(M139:M166)</f>
        <v>7510</v>
      </c>
      <c r="O167" s="8"/>
      <c r="P167" s="9"/>
      <c r="Q167" s="9"/>
    </row>
    <row r="168" spans="1:17" x14ac:dyDescent="0.25">
      <c r="A168" s="17"/>
      <c r="B168" s="6"/>
      <c r="C168" s="6"/>
      <c r="D168" s="30" t="s">
        <v>314</v>
      </c>
      <c r="E168" s="2"/>
      <c r="F168" s="2"/>
      <c r="G168" s="2">
        <f>SUM(G4:G166)</f>
        <v>5456.2800000000007</v>
      </c>
      <c r="H168" s="2">
        <f>SUM(H4:H166)</f>
        <v>18060.624299999992</v>
      </c>
      <c r="I168" s="2">
        <f>SUM(I4:I166)</f>
        <v>988</v>
      </c>
      <c r="J168" s="8"/>
      <c r="K168" s="8"/>
      <c r="L168" s="10">
        <f>SUM(L167,L137,L110,L79,L21)</f>
        <v>41675</v>
      </c>
      <c r="M168" s="10">
        <f>SUM(M167,M137,M110,M79,M21)</f>
        <v>41675</v>
      </c>
      <c r="N168" s="8"/>
      <c r="O168" s="8"/>
      <c r="P168" s="9"/>
      <c r="Q168" s="9"/>
    </row>
    <row r="169" spans="1:17" x14ac:dyDescent="0.25">
      <c r="B169" s="264"/>
      <c r="C169" s="264"/>
      <c r="D169" s="264"/>
      <c r="E169" s="264"/>
      <c r="F169" s="264"/>
      <c r="G169" s="264"/>
      <c r="H169" s="264"/>
      <c r="I169" s="264"/>
      <c r="J169" s="264"/>
      <c r="K169" s="264"/>
      <c r="L169" s="264"/>
      <c r="M169" s="264"/>
      <c r="N169" s="264"/>
      <c r="O169" s="264"/>
      <c r="P169" s="264"/>
      <c r="Q169" s="261"/>
    </row>
    <row r="171" spans="1:17" ht="33" customHeight="1" x14ac:dyDescent="0.25"/>
    <row r="172" spans="1:17" ht="33" customHeight="1" x14ac:dyDescent="0.25"/>
    <row r="173" spans="1:17" ht="25.15" customHeight="1" x14ac:dyDescent="0.25"/>
    <row r="185" ht="18" customHeight="1" x14ac:dyDescent="0.25"/>
    <row r="205" spans="1:1" ht="18" customHeight="1" x14ac:dyDescent="0.25"/>
    <row r="206" spans="1:1" x14ac:dyDescent="0.25">
      <c r="A206" s="27"/>
    </row>
    <row r="207" spans="1:1" x14ac:dyDescent="0.25">
      <c r="A207" s="27"/>
    </row>
    <row r="208" spans="1:1" x14ac:dyDescent="0.25">
      <c r="A208" s="27"/>
    </row>
    <row r="209" spans="1:17" x14ac:dyDescent="0.25">
      <c r="A209" s="27"/>
    </row>
    <row r="210" spans="1:17" x14ac:dyDescent="0.25">
      <c r="A210" s="27"/>
    </row>
    <row r="211" spans="1:17" x14ac:dyDescent="0.25">
      <c r="A211" s="27"/>
    </row>
    <row r="212" spans="1:17" x14ac:dyDescent="0.25">
      <c r="A212" s="27"/>
    </row>
    <row r="213" spans="1:17" x14ac:dyDescent="0.25">
      <c r="A213" s="27"/>
    </row>
    <row r="214" spans="1:17" x14ac:dyDescent="0.25">
      <c r="A214" s="27"/>
    </row>
    <row r="215" spans="1:17" x14ac:dyDescent="0.25">
      <c r="A215" s="27"/>
    </row>
    <row r="216" spans="1:17" x14ac:dyDescent="0.25">
      <c r="A216" s="27"/>
    </row>
    <row r="218" spans="1:17" x14ac:dyDescent="0.25">
      <c r="P218" s="15"/>
      <c r="Q218" s="15"/>
    </row>
    <row r="219" spans="1:17" x14ac:dyDescent="0.25">
      <c r="L219" s="13" t="s">
        <v>315</v>
      </c>
      <c r="P219" s="15"/>
      <c r="Q219" s="15"/>
    </row>
    <row r="220" spans="1:17" x14ac:dyDescent="0.25">
      <c r="H220" s="12" t="s">
        <v>316</v>
      </c>
      <c r="P220" s="15"/>
      <c r="Q220" s="15"/>
    </row>
    <row r="221" spans="1:17" x14ac:dyDescent="0.25">
      <c r="P221" s="15"/>
      <c r="Q221" s="15"/>
    </row>
    <row r="222" spans="1:17" x14ac:dyDescent="0.25">
      <c r="P222" s="15"/>
      <c r="Q222" s="15"/>
    </row>
    <row r="223" spans="1:17" x14ac:dyDescent="0.25">
      <c r="P223" s="15"/>
      <c r="Q223" s="15"/>
    </row>
    <row r="224" spans="1:17" x14ac:dyDescent="0.25">
      <c r="P224" s="15"/>
      <c r="Q224" s="15"/>
    </row>
    <row r="225" spans="2:17" x14ac:dyDescent="0.25">
      <c r="P225" s="15"/>
      <c r="Q225" s="15"/>
    </row>
    <row r="226" spans="2:17" x14ac:dyDescent="0.25">
      <c r="P226" s="15"/>
      <c r="Q226" s="15"/>
    </row>
    <row r="227" spans="2:17" x14ac:dyDescent="0.25">
      <c r="P227" s="15"/>
      <c r="Q227" s="15"/>
    </row>
    <row r="228" spans="2:17" x14ac:dyDescent="0.25">
      <c r="P228" s="15"/>
      <c r="Q228" s="15"/>
    </row>
    <row r="229" spans="2:17" x14ac:dyDescent="0.25">
      <c r="P229" s="15"/>
      <c r="Q229" s="15"/>
    </row>
    <row r="230" spans="2:17" x14ac:dyDescent="0.25">
      <c r="B230" s="4"/>
      <c r="C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15"/>
      <c r="Q230" s="15"/>
    </row>
    <row r="231" spans="2:17" x14ac:dyDescent="0.25">
      <c r="B231" s="4"/>
      <c r="C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15"/>
      <c r="Q231" s="15"/>
    </row>
  </sheetData>
  <autoFilter ref="B1:Q168" xr:uid="{00000000-0009-0000-0000-000000000000}"/>
  <mergeCells count="16">
    <mergeCell ref="Q2:Q3"/>
    <mergeCell ref="B169:P169"/>
    <mergeCell ref="E2:E3"/>
    <mergeCell ref="N2:O2"/>
    <mergeCell ref="C33:C34"/>
    <mergeCell ref="H2:H3"/>
    <mergeCell ref="F2:F3"/>
    <mergeCell ref="L2:M2"/>
    <mergeCell ref="P2:P3"/>
    <mergeCell ref="C2:C3"/>
    <mergeCell ref="D2:D3"/>
    <mergeCell ref="G2:G3"/>
    <mergeCell ref="I2:I3"/>
    <mergeCell ref="J2:K2"/>
    <mergeCell ref="C57:C59"/>
    <mergeCell ref="C69:C71"/>
  </mergeCells>
  <phoneticPr fontId="14" type="noConversion"/>
  <conditionalFormatting sqref="N25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{22050697-2857-469F-9F94-A79F3C518BFB}</x14:id>
        </ext>
      </extLst>
    </cfRule>
  </conditionalFormatting>
  <conditionalFormatting sqref="N76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{0E869B95-C10D-4A9F-93EC-D91480EA2B97}</x14:id>
        </ext>
      </extLst>
    </cfRule>
  </conditionalFormatting>
  <conditionalFormatting sqref="N77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{C0EB860F-C7C8-4E82-8306-CDC6E32F427C}</x14:id>
        </ext>
      </extLst>
    </cfRule>
  </conditionalFormatting>
  <conditionalFormatting sqref="N84:N85 N82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{AE89A079-BBFE-4F91-91A1-488A2A5BDC92}</x14:id>
        </ext>
      </extLst>
    </cfRule>
  </conditionalFormatting>
  <conditionalFormatting sqref="N88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{20A89ED4-B11D-4E68-BF4F-3E5346FE2B1D}</x14:id>
        </ext>
      </extLst>
    </cfRule>
  </conditionalFormatting>
  <conditionalFormatting sqref="N95:N96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{691DC3DD-35D0-4FE8-B213-D938490D31C1}</x14:id>
        </ext>
      </extLst>
    </cfRule>
  </conditionalFormatting>
  <conditionalFormatting sqref="N11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{E053ABDF-11D8-43BD-AEC5-8EB2381B9A9C}</x14:id>
        </ext>
      </extLst>
    </cfRule>
  </conditionalFormatting>
  <conditionalFormatting sqref="N117:N11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{0C25B522-64D8-4F6A-8EFE-7F250882C7DE}</x14:id>
        </ext>
      </extLst>
    </cfRule>
  </conditionalFormatting>
  <conditionalFormatting sqref="N126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{03EF67F6-6A44-4707-8E8C-F23851CD8E58}</x14:id>
        </ext>
      </extLst>
    </cfRule>
  </conditionalFormatting>
  <conditionalFormatting sqref="N140 N142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{A68D5853-D287-425B-860C-F50EE34C3B27}</x14:id>
        </ext>
      </extLst>
    </cfRule>
  </conditionalFormatting>
  <conditionalFormatting sqref="N146:N147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{E83B8F6D-4860-4FCF-A5D1-39A9D2D74486}</x14:id>
        </ext>
      </extLst>
    </cfRule>
  </conditionalFormatting>
  <conditionalFormatting sqref="N154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{C5BE18D7-C042-4B35-8683-8B9D17E07D7E}</x14:id>
        </ext>
      </extLst>
    </cfRule>
  </conditionalFormatting>
  <conditionalFormatting sqref="N83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{2746E6C3-4B64-43FD-9B4E-9C8BC82EFE1B}</x14:id>
        </ext>
      </extLst>
    </cfRule>
  </conditionalFormatting>
  <conditionalFormatting sqref="N55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{3FE243F3-BC8F-42E9-B713-006315270A2C}</x14:id>
        </ext>
      </extLst>
    </cfRule>
  </conditionalFormatting>
  <conditionalFormatting sqref="N5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{F6B98377-BCA0-41F0-8BEF-8CE4297CC9D9}</x14:id>
        </ext>
      </extLst>
    </cfRule>
  </conditionalFormatting>
  <conditionalFormatting sqref="N60:N61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{9FB99442-6B9E-4FC7-B92D-873442B33842}</x14:id>
        </ext>
      </extLst>
    </cfRule>
  </conditionalFormatting>
  <conditionalFormatting sqref="N63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{DDA26534-94C6-4E10-BB4F-E506C3381391}</x14:id>
        </ext>
      </extLst>
    </cfRule>
  </conditionalFormatting>
  <conditionalFormatting sqref="N65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{07098185-3D40-4C49-B891-3363EFBDC45F}</x14:id>
        </ext>
      </extLst>
    </cfRule>
  </conditionalFormatting>
  <conditionalFormatting sqref="N68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{9B83CD26-6E81-4A36-9792-2050753225B5}</x14:id>
        </ext>
      </extLst>
    </cfRule>
  </conditionalFormatting>
  <conditionalFormatting sqref="U3:U14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{45C0AD30-AE7E-4B62-B9E0-5E2BEB0A56E0}</x14:id>
        </ext>
      </extLst>
    </cfRule>
  </conditionalFormatting>
  <conditionalFormatting sqref="N1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{0C70AD49-6C9D-4A9B-8252-B2F40496C17A}</x14:id>
        </ext>
      </extLst>
    </cfRule>
  </conditionalFormatting>
  <conditionalFormatting sqref="N24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{27D8229A-2992-4D66-AE99-23E9DCDA0F73}</x14:id>
        </ext>
      </extLst>
    </cfRule>
  </conditionalFormatting>
  <conditionalFormatting sqref="N2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{D9DE0396-78CA-4AF7-96EF-9BE80A9598FD}</x14:id>
        </ext>
      </extLst>
    </cfRule>
  </conditionalFormatting>
  <dataValidations disablePrompts="1" count="3">
    <dataValidation type="list" allowBlank="1" showInputMessage="1" showErrorMessage="1" sqref="N137:N138 N43:N44 N17:N22 N79:N80 N15 N159:N166 N109:N111 N97:N106 N26:N29 N127:N135 N36 O20 N33 O14:O15 N75 O18 N72:N73 N5:N13 N53 N49 N155:N157" xr:uid="{00000000-0002-0000-0000-000000000000}">
      <formula1>Псистемы</formula1>
    </dataValidation>
    <dataValidation type="list" allowBlank="1" showInputMessage="1" showErrorMessage="1" sqref="O167:O168" xr:uid="{00000000-0002-0000-0000-000001000000}">
      <formula1>"Всистемы"</formula1>
    </dataValidation>
    <dataValidation type="list" allowBlank="1" showInputMessage="1" showErrorMessage="1" sqref="O121:O138 O5:O13 O149:O166 O19 O25:O26 O90:O111 O53 O51 O43 O33:O36 O63 O47:O48 O21:O22 O72:O80 O85 O28:O31 O88 O118:O119 O146:O147 O16" xr:uid="{00000000-0002-0000-0000-000002000000}">
      <formula1>Всистемы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050697-2857-469F-9F94-A79F3C518B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0E869B95-C10D-4A9F-93EC-D91480EA2B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N76</xm:sqref>
        </x14:conditionalFormatting>
        <x14:conditionalFormatting xmlns:xm="http://schemas.microsoft.com/office/excel/2006/main">
          <x14:cfRule type="dataBar" id="{C0EB860F-C7C8-4E82-8306-CDC6E32F42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N77</xm:sqref>
        </x14:conditionalFormatting>
        <x14:conditionalFormatting xmlns:xm="http://schemas.microsoft.com/office/excel/2006/main">
          <x14:cfRule type="dataBar" id="{AE89A079-BBFE-4F91-91A1-488A2A5BDC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N84:N85 N82</xm:sqref>
        </x14:conditionalFormatting>
        <x14:conditionalFormatting xmlns:xm="http://schemas.microsoft.com/office/excel/2006/main">
          <x14:cfRule type="dataBar" id="{20A89ED4-B11D-4E68-BF4F-3E5346FE2B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</xm:sqref>
        </x14:conditionalFormatting>
        <x14:conditionalFormatting xmlns:xm="http://schemas.microsoft.com/office/excel/2006/main">
          <x14:cfRule type="dataBar" id="{691DC3DD-35D0-4FE8-B213-D938490D31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N95:N96</xm:sqref>
        </x14:conditionalFormatting>
        <x14:conditionalFormatting xmlns:xm="http://schemas.microsoft.com/office/excel/2006/main">
          <x14:cfRule type="dataBar" id="{E053ABDF-11D8-43BD-AEC5-8EB2381B9A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N113</xm:sqref>
        </x14:conditionalFormatting>
        <x14:conditionalFormatting xmlns:xm="http://schemas.microsoft.com/office/excel/2006/main">
          <x14:cfRule type="dataBar" id="{0C25B522-64D8-4F6A-8EFE-7F250882C7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N117:N119</xm:sqref>
        </x14:conditionalFormatting>
        <x14:conditionalFormatting xmlns:xm="http://schemas.microsoft.com/office/excel/2006/main">
          <x14:cfRule type="dataBar" id="{03EF67F6-6A44-4707-8E8C-F23851CD8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N126</xm:sqref>
        </x14:conditionalFormatting>
        <x14:conditionalFormatting xmlns:xm="http://schemas.microsoft.com/office/excel/2006/main">
          <x14:cfRule type="dataBar" id="{A68D5853-D287-425B-860C-F50EE34C3B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N140 N142</xm:sqref>
        </x14:conditionalFormatting>
        <x14:conditionalFormatting xmlns:xm="http://schemas.microsoft.com/office/excel/2006/main">
          <x14:cfRule type="dataBar" id="{E83B8F6D-4860-4FCF-A5D1-39A9D2D744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N146:N147</xm:sqref>
        </x14:conditionalFormatting>
        <x14:conditionalFormatting xmlns:xm="http://schemas.microsoft.com/office/excel/2006/main">
          <x14:cfRule type="dataBar" id="{C5BE18D7-C042-4B35-8683-8B9D17E07D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N154</xm:sqref>
        </x14:conditionalFormatting>
        <x14:conditionalFormatting xmlns:xm="http://schemas.microsoft.com/office/excel/2006/main">
          <x14:cfRule type="dataBar" id="{2746E6C3-4B64-43FD-9B4E-9C8BC82EFE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N83</xm:sqref>
        </x14:conditionalFormatting>
        <x14:conditionalFormatting xmlns:xm="http://schemas.microsoft.com/office/excel/2006/main">
          <x14:cfRule type="dataBar" id="{3FE243F3-BC8F-42E9-B713-006315270A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N55</xm:sqref>
        </x14:conditionalFormatting>
        <x14:conditionalFormatting xmlns:xm="http://schemas.microsoft.com/office/excel/2006/main">
          <x14:cfRule type="dataBar" id="{F6B98377-BCA0-41F0-8BEF-8CE4297CC9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N56</xm:sqref>
        </x14:conditionalFormatting>
        <x14:conditionalFormatting xmlns:xm="http://schemas.microsoft.com/office/excel/2006/main">
          <x14:cfRule type="dataBar" id="{9FB99442-6B9E-4FC7-B92D-873442B338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N60:N61</xm:sqref>
        </x14:conditionalFormatting>
        <x14:conditionalFormatting xmlns:xm="http://schemas.microsoft.com/office/excel/2006/main">
          <x14:cfRule type="dataBar" id="{DDA26534-94C6-4E10-BB4F-E506C33813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N63</xm:sqref>
        </x14:conditionalFormatting>
        <x14:conditionalFormatting xmlns:xm="http://schemas.microsoft.com/office/excel/2006/main">
          <x14:cfRule type="dataBar" id="{07098185-3D40-4C49-B891-3363EFBDC4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N65</xm:sqref>
        </x14:conditionalFormatting>
        <x14:conditionalFormatting xmlns:xm="http://schemas.microsoft.com/office/excel/2006/main">
          <x14:cfRule type="dataBar" id="{9B83CD26-6E81-4A36-9792-2050753225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N68</xm:sqref>
        </x14:conditionalFormatting>
        <x14:conditionalFormatting xmlns:xm="http://schemas.microsoft.com/office/excel/2006/main">
          <x14:cfRule type="dataBar" id="{45C0AD30-AE7E-4B62-B9E0-5E2BEB0A56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U3:U14</xm:sqref>
        </x14:conditionalFormatting>
        <x14:conditionalFormatting xmlns:xm="http://schemas.microsoft.com/office/excel/2006/main">
          <x14:cfRule type="dataBar" id="{0C70AD49-6C9D-4A9B-8252-B2F40496C1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27D8229A-2992-4D66-AE99-23E9DCDA0F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D9DE0396-78CA-4AF7-96EF-9BE80A9598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3"/>
  <sheetViews>
    <sheetView tabSelected="1" zoomScaleNormal="100" workbookViewId="0">
      <selection activeCell="Q6" sqref="Q6"/>
    </sheetView>
  </sheetViews>
  <sheetFormatPr defaultRowHeight="15" x14ac:dyDescent="0.25"/>
  <cols>
    <col min="1" max="1" width="6.85546875" customWidth="1"/>
    <col min="2" max="2" width="6.140625" customWidth="1"/>
    <col min="3" max="3" width="55.42578125" customWidth="1"/>
    <col min="4" max="4" width="19.7109375" customWidth="1"/>
    <col min="5" max="5" width="8.7109375" customWidth="1"/>
    <col min="6" max="6" width="10.7109375" customWidth="1"/>
    <col min="7" max="7" width="8.7109375" customWidth="1"/>
    <col min="8" max="8" width="7.85546875" customWidth="1"/>
    <col min="9" max="9" width="10.42578125" customWidth="1"/>
    <col min="10" max="10" width="10.85546875" customWidth="1"/>
    <col min="11" max="11" width="7.85546875" customWidth="1"/>
    <col min="12" max="12" width="9.28515625" customWidth="1"/>
    <col min="13" max="13" width="4" customWidth="1"/>
    <col min="14" max="14" width="3.5703125" customWidth="1"/>
    <col min="15" max="15" width="9.7109375" customWidth="1"/>
    <col min="16" max="16" width="4" customWidth="1"/>
    <col min="17" max="17" width="3.42578125" customWidth="1"/>
    <col min="18" max="18" width="10.28515625" bestFit="1" customWidth="1"/>
    <col min="19" max="19" width="10.140625" customWidth="1"/>
    <col min="20" max="20" width="12.85546875" customWidth="1"/>
    <col min="21" max="21" width="9.7109375" customWidth="1"/>
    <col min="22" max="22" width="22.42578125" customWidth="1"/>
  </cols>
  <sheetData>
    <row r="1" spans="1:22" ht="39.950000000000003" customHeight="1" x14ac:dyDescent="0.25">
      <c r="A1" s="298" t="s">
        <v>317</v>
      </c>
      <c r="B1" s="308" t="s">
        <v>1</v>
      </c>
      <c r="C1" s="274" t="s">
        <v>2</v>
      </c>
      <c r="D1" s="277" t="s">
        <v>318</v>
      </c>
      <c r="E1" s="278"/>
      <c r="F1" s="278"/>
      <c r="G1" s="278"/>
      <c r="H1" s="279"/>
      <c r="I1" s="262" t="s">
        <v>319</v>
      </c>
      <c r="J1" s="262" t="s">
        <v>320</v>
      </c>
      <c r="K1" s="262" t="s">
        <v>321</v>
      </c>
      <c r="L1" s="262" t="s">
        <v>322</v>
      </c>
      <c r="M1" s="301" t="s">
        <v>323</v>
      </c>
      <c r="N1" s="302"/>
      <c r="O1" s="303"/>
      <c r="P1" s="271" t="s">
        <v>324</v>
      </c>
      <c r="Q1" s="304"/>
      <c r="R1" s="268"/>
      <c r="S1" s="284" t="s">
        <v>325</v>
      </c>
      <c r="T1" s="284" t="s">
        <v>326</v>
      </c>
      <c r="U1" s="298" t="s">
        <v>327</v>
      </c>
      <c r="V1" s="298" t="s">
        <v>405</v>
      </c>
    </row>
    <row r="2" spans="1:22" ht="39.950000000000003" customHeight="1" x14ac:dyDescent="0.25">
      <c r="A2" s="299"/>
      <c r="B2" s="283"/>
      <c r="C2" s="275"/>
      <c r="D2" s="280"/>
      <c r="E2" s="281"/>
      <c r="F2" s="281"/>
      <c r="G2" s="281"/>
      <c r="H2" s="282"/>
      <c r="I2" s="283"/>
      <c r="J2" s="283"/>
      <c r="K2" s="283"/>
      <c r="L2" s="283"/>
      <c r="M2" s="271" t="s">
        <v>328</v>
      </c>
      <c r="N2" s="268"/>
      <c r="O2" s="262" t="s">
        <v>329</v>
      </c>
      <c r="P2" s="271" t="s">
        <v>328</v>
      </c>
      <c r="Q2" s="268"/>
      <c r="R2" s="262" t="s">
        <v>330</v>
      </c>
      <c r="S2" s="285"/>
      <c r="T2" s="285"/>
      <c r="U2" s="299"/>
      <c r="V2" s="299"/>
    </row>
    <row r="3" spans="1:22" ht="39.950000000000003" customHeight="1" x14ac:dyDescent="0.25">
      <c r="A3" s="300"/>
      <c r="B3" s="263"/>
      <c r="C3" s="276"/>
      <c r="D3" s="1" t="s">
        <v>331</v>
      </c>
      <c r="E3" s="22" t="s">
        <v>332</v>
      </c>
      <c r="F3" s="1" t="s">
        <v>178</v>
      </c>
      <c r="G3" s="22" t="s">
        <v>332</v>
      </c>
      <c r="H3" s="1" t="s">
        <v>333</v>
      </c>
      <c r="I3" s="263"/>
      <c r="J3" s="263"/>
      <c r="K3" s="263"/>
      <c r="L3" s="263"/>
      <c r="M3" s="3" t="s">
        <v>334</v>
      </c>
      <c r="N3" s="3" t="s">
        <v>335</v>
      </c>
      <c r="O3" s="263"/>
      <c r="P3" s="3" t="s">
        <v>334</v>
      </c>
      <c r="Q3" s="3" t="s">
        <v>335</v>
      </c>
      <c r="R3" s="263"/>
      <c r="S3" s="286"/>
      <c r="T3" s="286"/>
      <c r="U3" s="300"/>
      <c r="V3" s="300"/>
    </row>
    <row r="4" spans="1:22" ht="39.950000000000003" customHeight="1" x14ac:dyDescent="0.25">
      <c r="A4" s="18"/>
      <c r="B4" s="54" t="s">
        <v>26</v>
      </c>
      <c r="C4" s="25" t="str">
        <f>'П1 Воздух Школа ст.П'!V3</f>
        <v>Спортивный зал</v>
      </c>
      <c r="D4" s="7">
        <f>'П1 Воздух Школа ст.П'!W3</f>
        <v>2190</v>
      </c>
      <c r="E4" s="7">
        <f>ROUND(D4*1.14,-1)</f>
        <v>2500</v>
      </c>
      <c r="F4" s="287"/>
      <c r="G4" s="288"/>
      <c r="H4" s="312">
        <f>SUM(D4:D15)</f>
        <v>41675</v>
      </c>
      <c r="I4" s="257"/>
      <c r="J4" s="8" t="s">
        <v>336</v>
      </c>
      <c r="K4" s="8">
        <v>300</v>
      </c>
      <c r="L4" s="8">
        <v>0.25</v>
      </c>
      <c r="M4" s="8" t="s">
        <v>18</v>
      </c>
      <c r="N4" s="8" t="s">
        <v>18</v>
      </c>
      <c r="O4" s="8" t="s">
        <v>18</v>
      </c>
      <c r="P4" s="8">
        <v>-26</v>
      </c>
      <c r="Q4" s="8">
        <v>20</v>
      </c>
      <c r="R4" s="23">
        <f>(E4*1.2*1.005*(Q4-P4))/3600</f>
        <v>38.524999999999991</v>
      </c>
      <c r="S4" s="8" t="s">
        <v>337</v>
      </c>
      <c r="T4" s="8" t="s">
        <v>337</v>
      </c>
      <c r="U4" s="8" t="s">
        <v>337</v>
      </c>
      <c r="V4" s="8" t="s">
        <v>406</v>
      </c>
    </row>
    <row r="5" spans="1:22" ht="39.950000000000003" customHeight="1" x14ac:dyDescent="0.25">
      <c r="A5" s="18"/>
      <c r="B5" s="55" t="s">
        <v>290</v>
      </c>
      <c r="C5" s="25" t="str">
        <f>'П1 Воздух Школа ст.П'!V4</f>
        <v>Актовый зал, Технический центр, Артистическая</v>
      </c>
      <c r="D5" s="7">
        <f>'П1 Воздух Школа ст.П'!W4</f>
        <v>3320</v>
      </c>
      <c r="E5" s="7">
        <f t="shared" ref="E5:E15" si="0">ROUND(D5*1.14,-1)</f>
        <v>3780</v>
      </c>
      <c r="F5" s="289"/>
      <c r="G5" s="290"/>
      <c r="H5" s="312"/>
      <c r="I5" s="257"/>
      <c r="J5" s="8" t="s">
        <v>336</v>
      </c>
      <c r="K5" s="8">
        <v>300</v>
      </c>
      <c r="L5" s="8">
        <v>0.25</v>
      </c>
      <c r="M5" s="8" t="s">
        <v>18</v>
      </c>
      <c r="N5" s="8" t="s">
        <v>18</v>
      </c>
      <c r="O5" s="8" t="s">
        <v>18</v>
      </c>
      <c r="P5" s="8">
        <v>-26</v>
      </c>
      <c r="Q5" s="8">
        <v>20</v>
      </c>
      <c r="R5" s="23">
        <f>(E5*1.2*1.005*(Q5-P5))/3600</f>
        <v>58.249799999999993</v>
      </c>
      <c r="S5" s="8" t="s">
        <v>337</v>
      </c>
      <c r="T5" s="8" t="s">
        <v>337</v>
      </c>
      <c r="U5" s="8" t="s">
        <v>337</v>
      </c>
      <c r="V5" s="8" t="s">
        <v>406</v>
      </c>
    </row>
    <row r="6" spans="1:22" ht="39.950000000000003" customHeight="1" x14ac:dyDescent="0.25">
      <c r="A6" s="18"/>
      <c r="B6" s="56" t="s">
        <v>136</v>
      </c>
      <c r="C6" s="25" t="str">
        <f>'П1 Воздух Школа ст.П'!V5</f>
        <v>Обеденный зал</v>
      </c>
      <c r="D6" s="7">
        <f>'П1 Воздух Школа ст.П'!W5</f>
        <v>3190</v>
      </c>
      <c r="E6" s="7">
        <f t="shared" si="0"/>
        <v>3640</v>
      </c>
      <c r="F6" s="289"/>
      <c r="G6" s="290"/>
      <c r="H6" s="312"/>
      <c r="I6" s="257"/>
      <c r="J6" s="8" t="s">
        <v>336</v>
      </c>
      <c r="K6" s="8">
        <v>300</v>
      </c>
      <c r="L6" s="8">
        <v>0.37</v>
      </c>
      <c r="M6" s="8">
        <v>-26</v>
      </c>
      <c r="N6" s="8">
        <v>20</v>
      </c>
      <c r="O6" s="256">
        <f>(E6*1.23*1.005*(N6-M6))/3600</f>
        <v>57.494709999999991</v>
      </c>
      <c r="P6" s="8" t="s">
        <v>18</v>
      </c>
      <c r="Q6" s="8" t="s">
        <v>18</v>
      </c>
      <c r="R6" s="8" t="s">
        <v>18</v>
      </c>
      <c r="S6" s="8" t="s">
        <v>337</v>
      </c>
      <c r="T6" s="8" t="s">
        <v>337</v>
      </c>
      <c r="U6" s="8" t="s">
        <v>337</v>
      </c>
      <c r="V6" s="8" t="s">
        <v>407</v>
      </c>
    </row>
    <row r="7" spans="1:22" ht="39.950000000000003" customHeight="1" x14ac:dyDescent="0.25">
      <c r="A7" s="18"/>
      <c r="B7" s="57" t="s">
        <v>140</v>
      </c>
      <c r="C7" s="25" t="str">
        <f>'П1 Воздух Школа ст.П'!V6</f>
        <v>Пищеблок. Производственные помещения</v>
      </c>
      <c r="D7" s="7">
        <f>'П1 Воздух Школа ст.П'!W6</f>
        <v>8685</v>
      </c>
      <c r="E7" s="7">
        <f t="shared" si="0"/>
        <v>9900</v>
      </c>
      <c r="F7" s="289"/>
      <c r="G7" s="290"/>
      <c r="H7" s="312"/>
      <c r="I7" s="258"/>
      <c r="J7" s="8" t="s">
        <v>336</v>
      </c>
      <c r="K7" s="8">
        <v>400</v>
      </c>
      <c r="L7" s="8">
        <v>1.1000000000000001</v>
      </c>
      <c r="M7" s="8">
        <v>-26</v>
      </c>
      <c r="N7" s="8">
        <v>18</v>
      </c>
      <c r="O7" s="256">
        <f t="shared" ref="O7:O15" si="1">(E7*1.23*1.005*(N7-M7))/3600</f>
        <v>149.57414999999997</v>
      </c>
      <c r="P7" s="8" t="s">
        <v>18</v>
      </c>
      <c r="Q7" s="8" t="s">
        <v>18</v>
      </c>
      <c r="R7" s="8" t="s">
        <v>18</v>
      </c>
      <c r="S7" s="8" t="s">
        <v>337</v>
      </c>
      <c r="T7" s="8" t="s">
        <v>337</v>
      </c>
      <c r="U7" s="8" t="s">
        <v>337</v>
      </c>
      <c r="V7" s="8" t="s">
        <v>407</v>
      </c>
    </row>
    <row r="8" spans="1:22" ht="39.950000000000003" customHeight="1" x14ac:dyDescent="0.25">
      <c r="A8" s="18"/>
      <c r="B8" s="58" t="s">
        <v>74</v>
      </c>
      <c r="C8" s="25" t="str">
        <f>'П1 Воздух Школа ст.П'!V7</f>
        <v>Учебные кабинеты. Левое крыло</v>
      </c>
      <c r="D8" s="7">
        <f>'П1 Воздух Школа ст.П'!W7</f>
        <v>9055</v>
      </c>
      <c r="E8" s="7">
        <f t="shared" si="0"/>
        <v>10320</v>
      </c>
      <c r="F8" s="289"/>
      <c r="G8" s="290"/>
      <c r="H8" s="312"/>
      <c r="I8" s="257"/>
      <c r="J8" s="8" t="s">
        <v>336</v>
      </c>
      <c r="K8" s="8">
        <v>400</v>
      </c>
      <c r="L8" s="8">
        <v>1.1000000000000001</v>
      </c>
      <c r="M8" s="8">
        <v>-26</v>
      </c>
      <c r="N8" s="8">
        <v>20</v>
      </c>
      <c r="O8" s="256">
        <f t="shared" si="1"/>
        <v>163.00698</v>
      </c>
      <c r="P8" s="8" t="s">
        <v>18</v>
      </c>
      <c r="Q8" s="8" t="s">
        <v>18</v>
      </c>
      <c r="R8" s="8" t="s">
        <v>18</v>
      </c>
      <c r="S8" s="8" t="s">
        <v>337</v>
      </c>
      <c r="T8" s="8" t="s">
        <v>337</v>
      </c>
      <c r="U8" s="8" t="s">
        <v>337</v>
      </c>
      <c r="V8" s="8" t="s">
        <v>407</v>
      </c>
    </row>
    <row r="9" spans="1:22" ht="39.950000000000003" customHeight="1" x14ac:dyDescent="0.25">
      <c r="A9" s="18"/>
      <c r="B9" s="59" t="s">
        <v>120</v>
      </c>
      <c r="C9" s="25" t="str">
        <f>'П1 Воздух Школа ст.П'!V8</f>
        <v>Учебные кабинеты. Правое крыло</v>
      </c>
      <c r="D9" s="7">
        <f>'П1 Воздух Школа ст.П'!W8</f>
        <v>5755</v>
      </c>
      <c r="E9" s="7">
        <f t="shared" si="0"/>
        <v>6560</v>
      </c>
      <c r="F9" s="289"/>
      <c r="G9" s="290"/>
      <c r="H9" s="312"/>
      <c r="I9" s="257"/>
      <c r="J9" s="8" t="s">
        <v>336</v>
      </c>
      <c r="K9" s="8">
        <v>400</v>
      </c>
      <c r="L9" s="8">
        <v>5.5</v>
      </c>
      <c r="M9" s="8">
        <v>-26</v>
      </c>
      <c r="N9" s="8">
        <v>20</v>
      </c>
      <c r="O9" s="256">
        <f t="shared" si="1"/>
        <v>103.61683999999998</v>
      </c>
      <c r="P9" s="8" t="s">
        <v>18</v>
      </c>
      <c r="Q9" s="8" t="s">
        <v>18</v>
      </c>
      <c r="R9" s="8" t="s">
        <v>18</v>
      </c>
      <c r="S9" s="8" t="s">
        <v>337</v>
      </c>
      <c r="T9" s="8" t="s">
        <v>337</v>
      </c>
      <c r="U9" s="8" t="s">
        <v>337</v>
      </c>
      <c r="V9" s="8" t="s">
        <v>407</v>
      </c>
    </row>
    <row r="10" spans="1:22" ht="39.950000000000003" customHeight="1" x14ac:dyDescent="0.25">
      <c r="A10" s="18"/>
      <c r="B10" s="60" t="s">
        <v>179</v>
      </c>
      <c r="C10" s="25" t="str">
        <f>'П1 Воздух Школа ст.П'!V9</f>
        <v>Медблок</v>
      </c>
      <c r="D10" s="7">
        <f>'П1 Воздух Школа ст.П'!W9</f>
        <v>520</v>
      </c>
      <c r="E10" s="7">
        <f t="shared" si="0"/>
        <v>590</v>
      </c>
      <c r="F10" s="289"/>
      <c r="G10" s="290"/>
      <c r="H10" s="312"/>
      <c r="I10" s="257"/>
      <c r="J10" s="8" t="s">
        <v>344</v>
      </c>
      <c r="K10" s="8">
        <v>200</v>
      </c>
      <c r="L10" s="8">
        <v>1.5</v>
      </c>
      <c r="M10" s="220" t="s">
        <v>18</v>
      </c>
      <c r="N10" s="220" t="s">
        <v>18</v>
      </c>
      <c r="O10" s="8" t="s">
        <v>18</v>
      </c>
      <c r="P10" s="255">
        <v>-26</v>
      </c>
      <c r="Q10" s="8">
        <v>20</v>
      </c>
      <c r="R10" s="23">
        <f>(E10*1.2*1.005*(Q10-P10))/3600</f>
        <v>9.091899999999999</v>
      </c>
      <c r="S10" s="8" t="s">
        <v>337</v>
      </c>
      <c r="T10" s="8" t="s">
        <v>337</v>
      </c>
      <c r="U10" s="8" t="s">
        <v>337</v>
      </c>
      <c r="V10" s="8" t="s">
        <v>406</v>
      </c>
    </row>
    <row r="11" spans="1:22" ht="39.950000000000003" customHeight="1" x14ac:dyDescent="0.25">
      <c r="A11" s="18"/>
      <c r="B11" s="219" t="s">
        <v>43</v>
      </c>
      <c r="C11" s="25" t="str">
        <f>'П1 Воздух Школа ст.П'!V10</f>
        <v>Админ. кабинеты Коридоры с реакреациями, Помещения СС, Комната охраны, Коридор 1-этажа.</v>
      </c>
      <c r="D11" s="7">
        <f>'П1 Воздух Школа ст.П'!W10</f>
        <v>5790</v>
      </c>
      <c r="E11" s="7">
        <f t="shared" si="0"/>
        <v>6600</v>
      </c>
      <c r="F11" s="289"/>
      <c r="G11" s="290"/>
      <c r="H11" s="312"/>
      <c r="I11" s="257"/>
      <c r="J11" s="8" t="s">
        <v>336</v>
      </c>
      <c r="K11" s="8">
        <v>400</v>
      </c>
      <c r="L11" s="8">
        <v>4</v>
      </c>
      <c r="M11" s="8">
        <v>-26</v>
      </c>
      <c r="N11" s="8">
        <v>20</v>
      </c>
      <c r="O11" s="256">
        <f t="shared" si="1"/>
        <v>104.24864999999998</v>
      </c>
      <c r="P11" s="8" t="s">
        <v>18</v>
      </c>
      <c r="Q11" s="8" t="s">
        <v>18</v>
      </c>
      <c r="R11" s="8" t="s">
        <v>18</v>
      </c>
      <c r="S11" s="8" t="s">
        <v>337</v>
      </c>
      <c r="T11" s="8" t="s">
        <v>337</v>
      </c>
      <c r="U11" s="8" t="s">
        <v>337</v>
      </c>
      <c r="V11" s="8" t="s">
        <v>407</v>
      </c>
    </row>
    <row r="12" spans="1:22" ht="39.950000000000003" customHeight="1" x14ac:dyDescent="0.25">
      <c r="A12" s="18"/>
      <c r="B12" s="61" t="s">
        <v>231</v>
      </c>
      <c r="C12" s="25" t="str">
        <f>'П1 Воздух Школа ст.П'!V11</f>
        <v>Гимнастический зал (хореография)</v>
      </c>
      <c r="D12" s="7">
        <f>'П1 Воздух Школа ст.П'!W11</f>
        <v>1320</v>
      </c>
      <c r="E12" s="7">
        <f t="shared" si="0"/>
        <v>1500</v>
      </c>
      <c r="F12" s="289"/>
      <c r="G12" s="290"/>
      <c r="H12" s="312"/>
      <c r="I12" s="257"/>
      <c r="J12" s="8" t="s">
        <v>336</v>
      </c>
      <c r="K12" s="8">
        <v>200</v>
      </c>
      <c r="L12" s="8">
        <v>0.75</v>
      </c>
      <c r="M12" s="8">
        <v>-26</v>
      </c>
      <c r="N12" s="8">
        <v>20</v>
      </c>
      <c r="O12" s="256">
        <f t="shared" si="1"/>
        <v>23.692874999999997</v>
      </c>
      <c r="P12" s="8" t="s">
        <v>18</v>
      </c>
      <c r="Q12" s="8" t="s">
        <v>18</v>
      </c>
      <c r="R12" s="8" t="s">
        <v>18</v>
      </c>
      <c r="S12" s="8" t="s">
        <v>337</v>
      </c>
      <c r="T12" s="8" t="s">
        <v>337</v>
      </c>
      <c r="U12" s="8" t="s">
        <v>337</v>
      </c>
      <c r="V12" s="8" t="s">
        <v>407</v>
      </c>
    </row>
    <row r="13" spans="1:22" ht="39.950000000000003" customHeight="1" x14ac:dyDescent="0.25">
      <c r="A13" s="18"/>
      <c r="B13" s="62" t="s">
        <v>45</v>
      </c>
      <c r="C13" s="25" t="str">
        <f>'П1 Воздух Школа ст.П'!V12</f>
        <v>Венткамеры. Правое крыло</v>
      </c>
      <c r="D13" s="7">
        <f>'П1 Воздух Школа ст.П'!W12</f>
        <v>550</v>
      </c>
      <c r="E13" s="7">
        <f t="shared" si="0"/>
        <v>630</v>
      </c>
      <c r="F13" s="289"/>
      <c r="G13" s="290"/>
      <c r="H13" s="312"/>
      <c r="I13" s="257"/>
      <c r="J13" s="8" t="s">
        <v>339</v>
      </c>
      <c r="K13" s="8">
        <v>200</v>
      </c>
      <c r="L13" s="8">
        <v>7.5</v>
      </c>
      <c r="M13" s="8">
        <v>-26</v>
      </c>
      <c r="N13" s="8">
        <v>18</v>
      </c>
      <c r="O13" s="256">
        <f t="shared" si="1"/>
        <v>9.5183549999999979</v>
      </c>
      <c r="P13" s="8" t="s">
        <v>18</v>
      </c>
      <c r="Q13" s="8" t="s">
        <v>18</v>
      </c>
      <c r="R13" s="8" t="s">
        <v>18</v>
      </c>
      <c r="S13" s="8" t="s">
        <v>337</v>
      </c>
      <c r="T13" s="8" t="s">
        <v>337</v>
      </c>
      <c r="U13" s="8" t="s">
        <v>337</v>
      </c>
      <c r="V13" s="8" t="s">
        <v>407</v>
      </c>
    </row>
    <row r="14" spans="1:22" ht="39.950000000000003" customHeight="1" x14ac:dyDescent="0.25">
      <c r="A14" s="18"/>
      <c r="B14" s="63" t="s">
        <v>54</v>
      </c>
      <c r="C14" s="25" t="str">
        <f>'П1 Воздух Школа ст.П'!V13</f>
        <v>ИТП</v>
      </c>
      <c r="D14" s="7">
        <f>'П1 Воздух Школа ст.П'!W13</f>
        <v>1070</v>
      </c>
      <c r="E14" s="7">
        <f t="shared" si="0"/>
        <v>1220</v>
      </c>
      <c r="F14" s="289"/>
      <c r="G14" s="290"/>
      <c r="H14" s="312"/>
      <c r="I14" s="53"/>
      <c r="J14" s="8" t="s">
        <v>339</v>
      </c>
      <c r="K14" s="8">
        <v>200</v>
      </c>
      <c r="L14" s="8">
        <v>7.5</v>
      </c>
      <c r="M14" s="8" t="s">
        <v>18</v>
      </c>
      <c r="N14" s="8" t="s">
        <v>18</v>
      </c>
      <c r="O14" s="8" t="s">
        <v>18</v>
      </c>
      <c r="P14" s="8" t="s">
        <v>18</v>
      </c>
      <c r="Q14" s="8" t="s">
        <v>18</v>
      </c>
      <c r="R14" s="8" t="s">
        <v>18</v>
      </c>
      <c r="S14" s="8" t="s">
        <v>337</v>
      </c>
      <c r="T14" s="8" t="s">
        <v>337</v>
      </c>
      <c r="U14" s="8" t="s">
        <v>337</v>
      </c>
      <c r="V14" s="8" t="s">
        <v>407</v>
      </c>
    </row>
    <row r="15" spans="1:22" ht="39.950000000000003" customHeight="1" x14ac:dyDescent="0.25">
      <c r="A15" s="250"/>
      <c r="B15" s="224" t="s">
        <v>388</v>
      </c>
      <c r="C15" s="25" t="str">
        <f>'П1 Воздух Школа ст.П'!V14</f>
        <v>Венткамера. Левое крыло</v>
      </c>
      <c r="D15" s="7">
        <f>'П1 Воздух Школа ст.П'!W14</f>
        <v>230</v>
      </c>
      <c r="E15" s="7">
        <f t="shared" si="0"/>
        <v>260</v>
      </c>
      <c r="F15" s="291"/>
      <c r="G15" s="292"/>
      <c r="H15" s="312"/>
      <c r="I15" s="227"/>
      <c r="J15" s="8" t="s">
        <v>339</v>
      </c>
      <c r="K15" s="8">
        <v>200</v>
      </c>
      <c r="L15" s="8">
        <v>7.5</v>
      </c>
      <c r="M15" s="8">
        <v>-26</v>
      </c>
      <c r="N15" s="8">
        <v>18</v>
      </c>
      <c r="O15" s="256">
        <f t="shared" si="1"/>
        <v>3.92821</v>
      </c>
      <c r="P15" s="8" t="s">
        <v>18</v>
      </c>
      <c r="Q15" s="8" t="s">
        <v>18</v>
      </c>
      <c r="R15" s="259" t="s">
        <v>18</v>
      </c>
      <c r="S15" s="8" t="s">
        <v>337</v>
      </c>
      <c r="T15" s="8" t="s">
        <v>337</v>
      </c>
      <c r="U15" s="8" t="s">
        <v>337</v>
      </c>
      <c r="V15" s="8" t="s">
        <v>407</v>
      </c>
    </row>
    <row r="16" spans="1:22" ht="39.950000000000003" customHeight="1" x14ac:dyDescent="0.25">
      <c r="A16" s="305"/>
      <c r="B16" s="306"/>
      <c r="C16" s="306"/>
      <c r="D16" s="306"/>
      <c r="E16" s="306"/>
      <c r="F16" s="306"/>
      <c r="G16" s="306"/>
      <c r="H16" s="306"/>
      <c r="I16" s="306"/>
      <c r="J16" s="306"/>
      <c r="K16" s="306"/>
      <c r="L16" s="306"/>
      <c r="M16" s="306"/>
      <c r="N16" s="306"/>
      <c r="O16" s="306"/>
      <c r="P16" s="306"/>
      <c r="Q16" s="306"/>
      <c r="R16" s="306"/>
      <c r="S16" s="306"/>
      <c r="T16" s="306"/>
      <c r="U16" s="307"/>
    </row>
    <row r="17" spans="1:22" ht="39.950000000000003" customHeight="1" x14ac:dyDescent="0.25">
      <c r="A17" s="8"/>
      <c r="B17" s="64" t="s">
        <v>27</v>
      </c>
      <c r="C17" s="25" t="str">
        <f>'П1 Воздух Школа ст.П'!V16</f>
        <v>Спортивный зал</v>
      </c>
      <c r="D17" s="287"/>
      <c r="E17" s="288"/>
      <c r="F17" s="7">
        <f>'П1 Воздух Школа ст.П'!W16</f>
        <v>2190</v>
      </c>
      <c r="G17" s="7">
        <f>ROUND(F17*1.13,-1)</f>
        <v>2470</v>
      </c>
      <c r="H17" s="309">
        <f>SUM(F17:F40)</f>
        <v>17915</v>
      </c>
      <c r="I17" s="8"/>
      <c r="J17" s="21" t="s">
        <v>18</v>
      </c>
      <c r="K17" s="8">
        <v>300</v>
      </c>
      <c r="L17" s="8">
        <v>0.27</v>
      </c>
      <c r="M17" s="21" t="s">
        <v>18</v>
      </c>
      <c r="N17" s="21" t="s">
        <v>18</v>
      </c>
      <c r="O17" s="21" t="s">
        <v>18</v>
      </c>
      <c r="P17" s="21" t="s">
        <v>18</v>
      </c>
      <c r="Q17" s="21" t="s">
        <v>18</v>
      </c>
      <c r="R17" s="21" t="s">
        <v>18</v>
      </c>
      <c r="S17" s="8" t="s">
        <v>337</v>
      </c>
      <c r="T17" s="8" t="s">
        <v>337</v>
      </c>
      <c r="U17" s="8" t="s">
        <v>337</v>
      </c>
      <c r="V17" s="8" t="s">
        <v>406</v>
      </c>
    </row>
    <row r="18" spans="1:22" ht="39.950000000000003" customHeight="1" x14ac:dyDescent="0.25">
      <c r="A18" s="8"/>
      <c r="B18" s="65" t="s">
        <v>291</v>
      </c>
      <c r="C18" s="25" t="str">
        <f>'П1 Воздух Школа ст.П'!V17</f>
        <v>Актовый зал, Технический центр, Артистическая</v>
      </c>
      <c r="D18" s="289"/>
      <c r="E18" s="290"/>
      <c r="F18" s="7">
        <f>'П1 Воздух Школа ст.П'!W17</f>
        <v>3320</v>
      </c>
      <c r="G18" s="7">
        <f t="shared" ref="G18:G40" si="2">ROUND(F18*1.13,-1)</f>
        <v>3750</v>
      </c>
      <c r="H18" s="310"/>
      <c r="I18" s="8"/>
      <c r="J18" s="21" t="s">
        <v>18</v>
      </c>
      <c r="K18" s="8">
        <v>300</v>
      </c>
      <c r="L18" s="8">
        <v>0.27</v>
      </c>
      <c r="M18" s="21" t="s">
        <v>18</v>
      </c>
      <c r="N18" s="21" t="s">
        <v>18</v>
      </c>
      <c r="O18" s="21" t="s">
        <v>18</v>
      </c>
      <c r="P18" s="21" t="s">
        <v>18</v>
      </c>
      <c r="Q18" s="21" t="s">
        <v>18</v>
      </c>
      <c r="R18" s="21" t="s">
        <v>18</v>
      </c>
      <c r="S18" s="8" t="s">
        <v>337</v>
      </c>
      <c r="T18" s="8" t="s">
        <v>337</v>
      </c>
      <c r="U18" s="8" t="s">
        <v>337</v>
      </c>
      <c r="V18" s="8" t="s">
        <v>406</v>
      </c>
    </row>
    <row r="19" spans="1:22" ht="39.950000000000003" customHeight="1" x14ac:dyDescent="0.25">
      <c r="A19" s="8"/>
      <c r="B19" s="66" t="s">
        <v>30</v>
      </c>
      <c r="C19" s="25" t="str">
        <f>'П1 Воздух Школа ст.П'!V18</f>
        <v>Обеденный зал</v>
      </c>
      <c r="D19" s="289"/>
      <c r="E19" s="290"/>
      <c r="F19" s="7">
        <f>'П1 Воздух Школа ст.П'!W18</f>
        <v>2200</v>
      </c>
      <c r="G19" s="7">
        <f t="shared" si="2"/>
        <v>2490</v>
      </c>
      <c r="H19" s="310"/>
      <c r="I19" s="8"/>
      <c r="J19" s="21" t="s">
        <v>18</v>
      </c>
      <c r="K19" s="8">
        <v>300</v>
      </c>
      <c r="L19" s="8">
        <v>0.87</v>
      </c>
      <c r="M19" s="21" t="s">
        <v>18</v>
      </c>
      <c r="N19" s="21" t="s">
        <v>18</v>
      </c>
      <c r="O19" s="21" t="s">
        <v>18</v>
      </c>
      <c r="P19" s="21" t="s">
        <v>18</v>
      </c>
      <c r="Q19" s="21" t="s">
        <v>18</v>
      </c>
      <c r="R19" s="21" t="s">
        <v>18</v>
      </c>
      <c r="S19" s="8" t="s">
        <v>337</v>
      </c>
      <c r="T19" s="8" t="s">
        <v>337</v>
      </c>
      <c r="U19" s="8" t="s">
        <v>337</v>
      </c>
      <c r="V19" s="8" t="s">
        <v>407</v>
      </c>
    </row>
    <row r="20" spans="1:22" ht="39.950000000000003" customHeight="1" x14ac:dyDescent="0.25">
      <c r="A20" s="18"/>
      <c r="B20" s="67" t="s">
        <v>42</v>
      </c>
      <c r="C20" s="25" t="str">
        <f>'П1 Воздух Школа ст.П'!V19</f>
        <v>Пищеблок. Производственные помещения</v>
      </c>
      <c r="D20" s="289"/>
      <c r="E20" s="290"/>
      <c r="F20" s="7">
        <f>'П1 Воздух Школа ст.П'!W19</f>
        <v>1070</v>
      </c>
      <c r="G20" s="7">
        <f t="shared" si="2"/>
        <v>1210</v>
      </c>
      <c r="H20" s="310"/>
      <c r="I20" s="21"/>
      <c r="J20" s="21" t="s">
        <v>18</v>
      </c>
      <c r="K20" s="8">
        <v>400</v>
      </c>
      <c r="L20" s="8">
        <v>0.87</v>
      </c>
      <c r="M20" s="21" t="s">
        <v>18</v>
      </c>
      <c r="N20" s="21" t="s">
        <v>18</v>
      </c>
      <c r="O20" s="21" t="s">
        <v>18</v>
      </c>
      <c r="P20" s="21" t="s">
        <v>18</v>
      </c>
      <c r="Q20" s="21" t="s">
        <v>18</v>
      </c>
      <c r="R20" s="21" t="s">
        <v>18</v>
      </c>
      <c r="S20" s="8" t="s">
        <v>337</v>
      </c>
      <c r="T20" s="8" t="s">
        <v>337</v>
      </c>
      <c r="U20" s="8" t="s">
        <v>337</v>
      </c>
      <c r="V20" s="8" t="s">
        <v>407</v>
      </c>
    </row>
    <row r="21" spans="1:22" ht="39.950000000000003" customHeight="1" x14ac:dyDescent="0.25">
      <c r="A21" s="8"/>
      <c r="B21" s="68" t="s">
        <v>98</v>
      </c>
      <c r="C21" s="25" t="str">
        <f>'П1 Воздух Школа ст.П'!V20</f>
        <v>Санузлы и душевые женские, санузел МГН, санузел персонала 1-й этаж</v>
      </c>
      <c r="D21" s="289"/>
      <c r="E21" s="290"/>
      <c r="F21" s="7">
        <f>'П1 Воздух Школа ст.П'!W20</f>
        <v>1355</v>
      </c>
      <c r="G21" s="7">
        <f t="shared" si="2"/>
        <v>1530</v>
      </c>
      <c r="H21" s="310"/>
      <c r="I21" s="8"/>
      <c r="J21" s="21" t="s">
        <v>18</v>
      </c>
      <c r="K21" s="8">
        <v>400</v>
      </c>
      <c r="L21" s="8">
        <v>0.55000000000000004</v>
      </c>
      <c r="M21" s="21" t="s">
        <v>18</v>
      </c>
      <c r="N21" s="21" t="s">
        <v>18</v>
      </c>
      <c r="O21" s="21" t="s">
        <v>18</v>
      </c>
      <c r="P21" s="21" t="s">
        <v>18</v>
      </c>
      <c r="Q21" s="21" t="s">
        <v>18</v>
      </c>
      <c r="R21" s="21" t="s">
        <v>18</v>
      </c>
      <c r="S21" s="8" t="s">
        <v>337</v>
      </c>
      <c r="T21" s="8" t="s">
        <v>337</v>
      </c>
      <c r="U21" s="8" t="s">
        <v>337</v>
      </c>
      <c r="V21" s="8" t="s">
        <v>407</v>
      </c>
    </row>
    <row r="22" spans="1:22" ht="39.950000000000003" customHeight="1" x14ac:dyDescent="0.25">
      <c r="A22" s="8"/>
      <c r="B22" s="69" t="s">
        <v>116</v>
      </c>
      <c r="C22" s="25" t="str">
        <f>'П1 Воздух Школа ст.П'!V21</f>
        <v>Санузлы и душевые мужские</v>
      </c>
      <c r="D22" s="289"/>
      <c r="E22" s="290"/>
      <c r="F22" s="7">
        <f>'П1 Воздух Школа ст.П'!W21</f>
        <v>1055</v>
      </c>
      <c r="G22" s="7">
        <f t="shared" si="2"/>
        <v>1190</v>
      </c>
      <c r="H22" s="310"/>
      <c r="I22" s="8"/>
      <c r="J22" s="21" t="s">
        <v>18</v>
      </c>
      <c r="K22" s="8">
        <v>300</v>
      </c>
      <c r="L22" s="8">
        <v>7.0000000000000007E-2</v>
      </c>
      <c r="M22" s="21" t="s">
        <v>18</v>
      </c>
      <c r="N22" s="21" t="s">
        <v>18</v>
      </c>
      <c r="O22" s="21" t="s">
        <v>18</v>
      </c>
      <c r="P22" s="21" t="s">
        <v>18</v>
      </c>
      <c r="Q22" s="21" t="s">
        <v>18</v>
      </c>
      <c r="R22" s="21" t="s">
        <v>18</v>
      </c>
      <c r="S22" s="8" t="s">
        <v>337</v>
      </c>
      <c r="T22" s="8" t="s">
        <v>337</v>
      </c>
      <c r="U22" s="8" t="s">
        <v>337</v>
      </c>
      <c r="V22" s="8" t="s">
        <v>407</v>
      </c>
    </row>
    <row r="23" spans="1:22" ht="39.950000000000003" customHeight="1" x14ac:dyDescent="0.25">
      <c r="A23" s="8"/>
      <c r="B23" s="70" t="s">
        <v>94</v>
      </c>
      <c r="C23" s="25" t="str">
        <f>'П1 Воздух Школа ст.П'!V22</f>
        <v>Санузлы персонала 2-4 этажи, Подсобные помещения. Левое крыло</v>
      </c>
      <c r="D23" s="289"/>
      <c r="E23" s="290"/>
      <c r="F23" s="7">
        <f>'П1 Воздух Школа ст.П'!W22</f>
        <v>210</v>
      </c>
      <c r="G23" s="7">
        <f t="shared" si="2"/>
        <v>240</v>
      </c>
      <c r="H23" s="310"/>
      <c r="I23" s="8"/>
      <c r="J23" s="21" t="s">
        <v>18</v>
      </c>
      <c r="K23" s="8">
        <v>300</v>
      </c>
      <c r="L23" s="8">
        <v>7.0000000000000007E-2</v>
      </c>
      <c r="M23" s="21" t="s">
        <v>18</v>
      </c>
      <c r="N23" s="21" t="s">
        <v>18</v>
      </c>
      <c r="O23" s="21" t="s">
        <v>18</v>
      </c>
      <c r="P23" s="21" t="s">
        <v>18</v>
      </c>
      <c r="Q23" s="21" t="s">
        <v>18</v>
      </c>
      <c r="R23" s="21" t="s">
        <v>18</v>
      </c>
      <c r="S23" s="8" t="s">
        <v>337</v>
      </c>
      <c r="T23" s="8" t="s">
        <v>337</v>
      </c>
      <c r="U23" s="8" t="s">
        <v>337</v>
      </c>
      <c r="V23" s="8" t="s">
        <v>407</v>
      </c>
    </row>
    <row r="24" spans="1:22" ht="39.950000000000003" customHeight="1" x14ac:dyDescent="0.25">
      <c r="A24" s="18"/>
      <c r="B24" s="71" t="s">
        <v>185</v>
      </c>
      <c r="C24" s="25" t="str">
        <f>'П1 Воздух Школа ст.П'!V23</f>
        <v>Помещение для хранения уборочного инвентаря, приготовления дезинфицирующих растворов</v>
      </c>
      <c r="D24" s="289"/>
      <c r="E24" s="290"/>
      <c r="F24" s="7">
        <f>'П1 Воздух Школа ст.П'!W23</f>
        <v>100</v>
      </c>
      <c r="G24" s="7">
        <f t="shared" si="2"/>
        <v>110</v>
      </c>
      <c r="H24" s="310"/>
      <c r="I24" s="8"/>
      <c r="J24" s="21" t="s">
        <v>18</v>
      </c>
      <c r="K24" s="8">
        <v>400</v>
      </c>
      <c r="L24" s="8">
        <v>5.5</v>
      </c>
      <c r="M24" s="21" t="s">
        <v>18</v>
      </c>
      <c r="N24" s="21" t="s">
        <v>18</v>
      </c>
      <c r="O24" s="21" t="s">
        <v>18</v>
      </c>
      <c r="P24" s="21" t="s">
        <v>18</v>
      </c>
      <c r="Q24" s="21" t="s">
        <v>18</v>
      </c>
      <c r="R24" s="21" t="s">
        <v>18</v>
      </c>
      <c r="S24" s="8" t="s">
        <v>337</v>
      </c>
      <c r="T24" s="8" t="s">
        <v>337</v>
      </c>
      <c r="U24" s="8" t="s">
        <v>337</v>
      </c>
      <c r="V24" s="8" t="s">
        <v>407</v>
      </c>
    </row>
    <row r="25" spans="1:22" ht="39.950000000000003" customHeight="1" x14ac:dyDescent="0.25">
      <c r="A25" s="18"/>
      <c r="B25" s="72" t="s">
        <v>232</v>
      </c>
      <c r="C25" s="25" t="str">
        <f>'П1 Воздух Школа ст.П'!V24</f>
        <v>Гимнастический зал и раздевальные к нему</v>
      </c>
      <c r="D25" s="289"/>
      <c r="E25" s="290"/>
      <c r="F25" s="7">
        <f>'П1 Воздух Школа ст.П'!W24</f>
        <v>1320</v>
      </c>
      <c r="G25" s="7">
        <f t="shared" si="2"/>
        <v>1490</v>
      </c>
      <c r="H25" s="310"/>
      <c r="I25" s="8"/>
      <c r="J25" s="21" t="s">
        <v>18</v>
      </c>
      <c r="K25" s="8">
        <v>400</v>
      </c>
      <c r="L25" s="8">
        <v>1.5</v>
      </c>
      <c r="M25" s="21" t="s">
        <v>18</v>
      </c>
      <c r="N25" s="21" t="s">
        <v>18</v>
      </c>
      <c r="O25" s="21" t="s">
        <v>18</v>
      </c>
      <c r="P25" s="21" t="s">
        <v>18</v>
      </c>
      <c r="Q25" s="21" t="s">
        <v>18</v>
      </c>
      <c r="R25" s="21" t="s">
        <v>18</v>
      </c>
      <c r="S25" s="8" t="s">
        <v>337</v>
      </c>
      <c r="T25" s="8" t="s">
        <v>337</v>
      </c>
      <c r="U25" s="8" t="s">
        <v>337</v>
      </c>
      <c r="V25" s="8" t="s">
        <v>407</v>
      </c>
    </row>
    <row r="26" spans="1:22" ht="39.950000000000003" customHeight="1" x14ac:dyDescent="0.25">
      <c r="A26" s="18"/>
      <c r="B26" s="73" t="s">
        <v>193</v>
      </c>
      <c r="C26" s="25" t="str">
        <f>'П1 Воздух Школа ст.П'!V25</f>
        <v>Кабинет учителей 1-й этаж, Административный кабинет 2-й этаж. Правое крыло</v>
      </c>
      <c r="D26" s="289"/>
      <c r="E26" s="290"/>
      <c r="F26" s="7">
        <f>'П1 Воздух Школа ст.П'!W25</f>
        <v>480</v>
      </c>
      <c r="G26" s="7">
        <f t="shared" si="2"/>
        <v>540</v>
      </c>
      <c r="H26" s="310"/>
      <c r="I26" s="8"/>
      <c r="J26" s="21" t="s">
        <v>18</v>
      </c>
      <c r="K26" s="8">
        <v>300</v>
      </c>
      <c r="L26" s="8">
        <v>0.25</v>
      </c>
      <c r="M26" s="21" t="s">
        <v>18</v>
      </c>
      <c r="N26" s="21" t="s">
        <v>18</v>
      </c>
      <c r="O26" s="21" t="s">
        <v>18</v>
      </c>
      <c r="P26" s="21" t="s">
        <v>18</v>
      </c>
      <c r="Q26" s="21" t="s">
        <v>18</v>
      </c>
      <c r="R26" s="21" t="s">
        <v>18</v>
      </c>
      <c r="S26" s="8" t="s">
        <v>337</v>
      </c>
      <c r="T26" s="8" t="s">
        <v>337</v>
      </c>
      <c r="U26" s="8" t="s">
        <v>337</v>
      </c>
      <c r="V26" s="8" t="s">
        <v>407</v>
      </c>
    </row>
    <row r="27" spans="1:22" ht="39.950000000000003" customHeight="1" x14ac:dyDescent="0.25">
      <c r="A27" s="18"/>
      <c r="B27" s="74" t="s">
        <v>68</v>
      </c>
      <c r="C27" s="25" t="str">
        <f>'П1 Воздух Школа ст.П'!V26</f>
        <v>Гардеробы, кладовая</v>
      </c>
      <c r="D27" s="289"/>
      <c r="E27" s="290"/>
      <c r="F27" s="7">
        <f>'П1 Воздух Школа ст.П'!W26</f>
        <v>660</v>
      </c>
      <c r="G27" s="7">
        <f t="shared" si="2"/>
        <v>750</v>
      </c>
      <c r="H27" s="310"/>
      <c r="I27" s="8"/>
      <c r="J27" s="21" t="s">
        <v>18</v>
      </c>
      <c r="K27" s="8">
        <v>300</v>
      </c>
      <c r="L27" s="8">
        <v>0.18</v>
      </c>
      <c r="M27" s="21" t="s">
        <v>18</v>
      </c>
      <c r="N27" s="21" t="s">
        <v>18</v>
      </c>
      <c r="O27" s="21" t="s">
        <v>18</v>
      </c>
      <c r="P27" s="21" t="s">
        <v>18</v>
      </c>
      <c r="Q27" s="21" t="s">
        <v>18</v>
      </c>
      <c r="R27" s="21" t="s">
        <v>18</v>
      </c>
      <c r="S27" s="8" t="s">
        <v>337</v>
      </c>
      <c r="T27" s="8" t="s">
        <v>337</v>
      </c>
      <c r="U27" s="8" t="s">
        <v>337</v>
      </c>
      <c r="V27" s="8" t="s">
        <v>407</v>
      </c>
    </row>
    <row r="28" spans="1:22" ht="39.950000000000003" customHeight="1" x14ac:dyDescent="0.25">
      <c r="A28" s="18"/>
      <c r="B28" s="75" t="s">
        <v>356</v>
      </c>
      <c r="C28" s="25" t="str">
        <f>'П1 Воздух Школа ст.П'!V27</f>
        <v>Электрощитовая</v>
      </c>
      <c r="D28" s="289"/>
      <c r="E28" s="290"/>
      <c r="F28" s="7">
        <f>'П1 Воздух Школа ст.П'!W27</f>
        <v>50</v>
      </c>
      <c r="G28" s="7">
        <f t="shared" si="2"/>
        <v>60</v>
      </c>
      <c r="H28" s="310"/>
      <c r="I28" s="8"/>
      <c r="J28" s="21" t="s">
        <v>18</v>
      </c>
      <c r="K28" s="8">
        <v>400</v>
      </c>
      <c r="L28" s="8">
        <v>3.5</v>
      </c>
      <c r="M28" s="21" t="s">
        <v>18</v>
      </c>
      <c r="N28" s="21" t="s">
        <v>18</v>
      </c>
      <c r="O28" s="21" t="s">
        <v>18</v>
      </c>
      <c r="P28" s="21" t="s">
        <v>18</v>
      </c>
      <c r="Q28" s="21" t="s">
        <v>18</v>
      </c>
      <c r="R28" s="21" t="s">
        <v>18</v>
      </c>
      <c r="S28" s="8" t="s">
        <v>337</v>
      </c>
      <c r="T28" s="8" t="s">
        <v>337</v>
      </c>
      <c r="U28" s="8" t="s">
        <v>337</v>
      </c>
      <c r="V28" s="8" t="s">
        <v>407</v>
      </c>
    </row>
    <row r="29" spans="1:22" ht="39.950000000000003" customHeight="1" x14ac:dyDescent="0.25">
      <c r="A29" s="18"/>
      <c r="B29" s="76" t="s">
        <v>65</v>
      </c>
      <c r="C29" s="25" t="str">
        <f>'П1 Воздух Школа ст.П'!V28</f>
        <v>Комната охраны</v>
      </c>
      <c r="D29" s="289"/>
      <c r="E29" s="290"/>
      <c r="F29" s="7">
        <f>'П1 Воздух Школа ст.П'!W28</f>
        <v>120</v>
      </c>
      <c r="G29" s="7">
        <f t="shared" si="2"/>
        <v>140</v>
      </c>
      <c r="H29" s="310"/>
      <c r="I29" s="8"/>
      <c r="J29" s="21" t="s">
        <v>18</v>
      </c>
      <c r="K29" s="8">
        <v>300</v>
      </c>
      <c r="L29" s="8">
        <v>0.115</v>
      </c>
      <c r="M29" s="21" t="s">
        <v>18</v>
      </c>
      <c r="N29" s="21" t="s">
        <v>18</v>
      </c>
      <c r="O29" s="21" t="s">
        <v>18</v>
      </c>
      <c r="P29" s="21" t="s">
        <v>18</v>
      </c>
      <c r="Q29" s="21" t="s">
        <v>18</v>
      </c>
      <c r="R29" s="21" t="s">
        <v>18</v>
      </c>
      <c r="S29" s="8" t="s">
        <v>337</v>
      </c>
      <c r="T29" s="8" t="s">
        <v>337</v>
      </c>
      <c r="U29" s="8" t="s">
        <v>337</v>
      </c>
      <c r="V29" s="8" t="s">
        <v>407</v>
      </c>
    </row>
    <row r="30" spans="1:22" ht="39.950000000000003" customHeight="1" x14ac:dyDescent="0.25">
      <c r="A30" s="18"/>
      <c r="B30" s="77" t="s">
        <v>208</v>
      </c>
      <c r="C30" s="25" t="str">
        <f>'П1 Воздух Школа ст.П'!V29</f>
        <v>Подсобные помещения. Правое крыло</v>
      </c>
      <c r="D30" s="289"/>
      <c r="E30" s="290"/>
      <c r="F30" s="7">
        <f>'П1 Воздух Школа ст.П'!W29</f>
        <v>30</v>
      </c>
      <c r="G30" s="7">
        <f t="shared" si="2"/>
        <v>30</v>
      </c>
      <c r="H30" s="310"/>
      <c r="I30" s="8"/>
      <c r="J30" s="21" t="s">
        <v>18</v>
      </c>
      <c r="K30" s="8">
        <v>300</v>
      </c>
      <c r="L30" s="8">
        <v>0.22</v>
      </c>
      <c r="M30" s="21" t="s">
        <v>18</v>
      </c>
      <c r="N30" s="21" t="s">
        <v>18</v>
      </c>
      <c r="O30" s="21" t="s">
        <v>18</v>
      </c>
      <c r="P30" s="21" t="s">
        <v>18</v>
      </c>
      <c r="Q30" s="21" t="s">
        <v>18</v>
      </c>
      <c r="R30" s="21" t="s">
        <v>18</v>
      </c>
      <c r="S30" s="8" t="s">
        <v>337</v>
      </c>
      <c r="T30" s="8" t="s">
        <v>337</v>
      </c>
      <c r="U30" s="8" t="s">
        <v>337</v>
      </c>
      <c r="V30" s="8" t="s">
        <v>407</v>
      </c>
    </row>
    <row r="31" spans="1:22" ht="39.950000000000003" customHeight="1" x14ac:dyDescent="0.25">
      <c r="A31" s="18"/>
      <c r="B31" s="242" t="s">
        <v>80</v>
      </c>
      <c r="C31" s="25" t="str">
        <f>'П1 Воздух Школа ст.П'!V30</f>
        <v>Библиотечный центр</v>
      </c>
      <c r="D31" s="289"/>
      <c r="E31" s="290"/>
      <c r="F31" s="7">
        <f>'П1 Воздух Школа ст.П'!W30</f>
        <v>1270</v>
      </c>
      <c r="G31" s="7">
        <f t="shared" si="2"/>
        <v>1440</v>
      </c>
      <c r="H31" s="310"/>
      <c r="I31" s="8"/>
      <c r="J31" s="21" t="s">
        <v>18</v>
      </c>
      <c r="K31" s="8">
        <v>300</v>
      </c>
      <c r="L31" s="8">
        <v>1.7</v>
      </c>
      <c r="M31" s="21" t="s">
        <v>18</v>
      </c>
      <c r="N31" s="21" t="s">
        <v>18</v>
      </c>
      <c r="O31" s="21" t="s">
        <v>18</v>
      </c>
      <c r="P31" s="21" t="s">
        <v>18</v>
      </c>
      <c r="Q31" s="21" t="s">
        <v>18</v>
      </c>
      <c r="R31" s="21" t="s">
        <v>18</v>
      </c>
      <c r="S31" s="8" t="s">
        <v>337</v>
      </c>
      <c r="T31" s="8" t="s">
        <v>337</v>
      </c>
      <c r="U31" s="8" t="s">
        <v>337</v>
      </c>
      <c r="V31" s="8" t="s">
        <v>407</v>
      </c>
    </row>
    <row r="32" spans="1:22" ht="39.950000000000003" customHeight="1" x14ac:dyDescent="0.25">
      <c r="A32" s="18"/>
      <c r="B32" s="244" t="s">
        <v>266</v>
      </c>
      <c r="C32" s="25" t="str">
        <f>'П1 Воздух Школа ст.П'!V31</f>
        <v>Лаборантская биологии</v>
      </c>
      <c r="D32" s="289"/>
      <c r="E32" s="290"/>
      <c r="F32" s="7">
        <f>'П1 Воздух Школа ст.П'!W31</f>
        <v>120</v>
      </c>
      <c r="G32" s="7">
        <f t="shared" si="2"/>
        <v>140</v>
      </c>
      <c r="H32" s="310"/>
      <c r="I32" s="8"/>
      <c r="J32" s="21" t="s">
        <v>18</v>
      </c>
      <c r="K32" s="8">
        <v>300</v>
      </c>
      <c r="L32" s="8">
        <v>0.25</v>
      </c>
      <c r="M32" s="21" t="s">
        <v>18</v>
      </c>
      <c r="N32" s="21" t="s">
        <v>18</v>
      </c>
      <c r="O32" s="21" t="s">
        <v>18</v>
      </c>
      <c r="P32" s="21" t="s">
        <v>18</v>
      </c>
      <c r="Q32" s="21" t="s">
        <v>18</v>
      </c>
      <c r="R32" s="21" t="s">
        <v>18</v>
      </c>
      <c r="S32" s="8" t="s">
        <v>337</v>
      </c>
      <c r="T32" s="8" t="s">
        <v>337</v>
      </c>
      <c r="U32" s="8" t="s">
        <v>337</v>
      </c>
      <c r="V32" s="8" t="s">
        <v>407</v>
      </c>
    </row>
    <row r="33" spans="1:22" ht="39.950000000000003" customHeight="1" x14ac:dyDescent="0.25">
      <c r="A33" s="18"/>
      <c r="B33" s="246" t="s">
        <v>305</v>
      </c>
      <c r="C33" s="25" t="str">
        <f>'П1 Воздух Школа ст.П'!V32</f>
        <v>Медблок</v>
      </c>
      <c r="D33" s="289"/>
      <c r="E33" s="290"/>
      <c r="F33" s="7">
        <f>'П1 Воздух Школа ст.П'!W32</f>
        <v>420</v>
      </c>
      <c r="G33" s="7">
        <f t="shared" si="2"/>
        <v>470</v>
      </c>
      <c r="H33" s="310"/>
      <c r="I33" s="8"/>
      <c r="J33" s="21" t="s">
        <v>18</v>
      </c>
      <c r="K33" s="8">
        <v>200</v>
      </c>
      <c r="L33" s="8">
        <v>2.2000000000000002</v>
      </c>
      <c r="M33" s="21" t="s">
        <v>18</v>
      </c>
      <c r="N33" s="21" t="s">
        <v>18</v>
      </c>
      <c r="O33" s="21" t="s">
        <v>18</v>
      </c>
      <c r="P33" s="21" t="s">
        <v>18</v>
      </c>
      <c r="Q33" s="21" t="s">
        <v>18</v>
      </c>
      <c r="R33" s="21" t="s">
        <v>18</v>
      </c>
      <c r="S33" s="8" t="s">
        <v>337</v>
      </c>
      <c r="T33" s="8" t="s">
        <v>337</v>
      </c>
      <c r="U33" s="8" t="s">
        <v>337</v>
      </c>
      <c r="V33" s="8" t="s">
        <v>406</v>
      </c>
    </row>
    <row r="34" spans="1:22" ht="39.950000000000003" customHeight="1" x14ac:dyDescent="0.25">
      <c r="A34" s="18"/>
      <c r="B34" s="248" t="s">
        <v>180</v>
      </c>
      <c r="C34" s="25" t="str">
        <f>'П1 Воздух Школа ст.П'!V33</f>
        <v>Насосная</v>
      </c>
      <c r="D34" s="289"/>
      <c r="E34" s="290"/>
      <c r="F34" s="7">
        <f>'П1 Воздух Школа ст.П'!W33</f>
        <v>90</v>
      </c>
      <c r="G34" s="7">
        <f t="shared" si="2"/>
        <v>100</v>
      </c>
      <c r="H34" s="310"/>
      <c r="I34" s="8"/>
      <c r="J34" s="21" t="s">
        <v>18</v>
      </c>
      <c r="K34" s="8">
        <v>50</v>
      </c>
      <c r="L34" s="8">
        <v>1.7</v>
      </c>
      <c r="M34" s="21" t="s">
        <v>18</v>
      </c>
      <c r="N34" s="21" t="s">
        <v>18</v>
      </c>
      <c r="O34" s="21" t="s">
        <v>18</v>
      </c>
      <c r="P34" s="21" t="s">
        <v>18</v>
      </c>
      <c r="Q34" s="21" t="s">
        <v>18</v>
      </c>
      <c r="R34" s="21" t="s">
        <v>18</v>
      </c>
      <c r="S34" s="8" t="s">
        <v>337</v>
      </c>
      <c r="T34" s="8" t="s">
        <v>337</v>
      </c>
      <c r="U34" s="8" t="s">
        <v>337</v>
      </c>
      <c r="V34" s="8" t="s">
        <v>407</v>
      </c>
    </row>
    <row r="35" spans="1:22" ht="39.950000000000003" customHeight="1" x14ac:dyDescent="0.25">
      <c r="A35" s="18"/>
      <c r="B35" s="249" t="s">
        <v>49</v>
      </c>
      <c r="C35" s="25" t="str">
        <f>'П1 Воздух Школа ст.П'!V34</f>
        <v>Помещение временного хранения пищевых отходов</v>
      </c>
      <c r="D35" s="289"/>
      <c r="E35" s="290"/>
      <c r="F35" s="7">
        <f>'П1 Воздух Школа ст.П'!W34</f>
        <v>170</v>
      </c>
      <c r="G35" s="7">
        <f t="shared" si="2"/>
        <v>190</v>
      </c>
      <c r="H35" s="310"/>
      <c r="I35" s="8"/>
      <c r="J35" s="21" t="s">
        <v>18</v>
      </c>
      <c r="K35" s="8">
        <v>200</v>
      </c>
      <c r="L35" s="8">
        <v>0.55000000000000004</v>
      </c>
      <c r="M35" s="21" t="s">
        <v>18</v>
      </c>
      <c r="N35" s="21" t="s">
        <v>18</v>
      </c>
      <c r="O35" s="21" t="s">
        <v>18</v>
      </c>
      <c r="P35" s="21" t="s">
        <v>18</v>
      </c>
      <c r="Q35" s="21" t="s">
        <v>18</v>
      </c>
      <c r="R35" s="21" t="s">
        <v>18</v>
      </c>
      <c r="S35" s="8" t="s">
        <v>337</v>
      </c>
      <c r="T35" s="8" t="s">
        <v>337</v>
      </c>
      <c r="U35" s="8" t="s">
        <v>337</v>
      </c>
      <c r="V35" s="8" t="s">
        <v>407</v>
      </c>
    </row>
    <row r="36" spans="1:22" ht="39.950000000000003" customHeight="1" x14ac:dyDescent="0.25">
      <c r="A36" s="18"/>
      <c r="B36" s="78" t="s">
        <v>164</v>
      </c>
      <c r="C36" s="25" t="str">
        <f>'П1 Воздух Школа ст.П'!V35</f>
        <v>Помещения СС. Левое крыло</v>
      </c>
      <c r="D36" s="289"/>
      <c r="E36" s="290"/>
      <c r="F36" s="7">
        <f>'П1 Воздух Школа ст.П'!W35</f>
        <v>90</v>
      </c>
      <c r="G36" s="7">
        <f t="shared" si="2"/>
        <v>100</v>
      </c>
      <c r="H36" s="310"/>
      <c r="I36" s="8"/>
      <c r="J36" s="21" t="s">
        <v>18</v>
      </c>
      <c r="K36" s="8">
        <v>100</v>
      </c>
      <c r="L36" s="8">
        <v>0.55000000000000004</v>
      </c>
      <c r="M36" s="21" t="s">
        <v>18</v>
      </c>
      <c r="N36" s="21" t="s">
        <v>18</v>
      </c>
      <c r="O36" s="21" t="s">
        <v>18</v>
      </c>
      <c r="P36" s="21" t="s">
        <v>18</v>
      </c>
      <c r="Q36" s="21" t="s">
        <v>18</v>
      </c>
      <c r="R36" s="21" t="s">
        <v>18</v>
      </c>
      <c r="S36" s="8" t="s">
        <v>337</v>
      </c>
      <c r="T36" s="8" t="s">
        <v>337</v>
      </c>
      <c r="U36" s="8" t="s">
        <v>337</v>
      </c>
      <c r="V36" s="8" t="s">
        <v>407</v>
      </c>
    </row>
    <row r="37" spans="1:22" ht="39.950000000000003" customHeight="1" x14ac:dyDescent="0.25">
      <c r="A37" s="18"/>
      <c r="B37" s="79" t="s">
        <v>190</v>
      </c>
      <c r="C37" s="25" t="str">
        <f>'П1 Воздух Школа ст.П'!V36</f>
        <v>Помещения СС. Правое крыло</v>
      </c>
      <c r="D37" s="289"/>
      <c r="E37" s="290"/>
      <c r="F37" s="7">
        <f>'П1 Воздух Школа ст.П'!W36</f>
        <v>220</v>
      </c>
      <c r="G37" s="7">
        <f t="shared" si="2"/>
        <v>250</v>
      </c>
      <c r="H37" s="310"/>
      <c r="I37" s="8"/>
      <c r="J37" s="21" t="s">
        <v>18</v>
      </c>
      <c r="K37" s="8">
        <v>150</v>
      </c>
      <c r="L37" s="8">
        <v>0.115</v>
      </c>
      <c r="M37" s="21" t="s">
        <v>18</v>
      </c>
      <c r="N37" s="21" t="s">
        <v>18</v>
      </c>
      <c r="O37" s="21" t="s">
        <v>18</v>
      </c>
      <c r="P37" s="21" t="s">
        <v>18</v>
      </c>
      <c r="Q37" s="21" t="s">
        <v>18</v>
      </c>
      <c r="R37" s="21" t="s">
        <v>18</v>
      </c>
      <c r="S37" s="8" t="s">
        <v>337</v>
      </c>
      <c r="T37" s="8" t="s">
        <v>337</v>
      </c>
      <c r="U37" s="8" t="s">
        <v>337</v>
      </c>
      <c r="V37" s="8" t="s">
        <v>407</v>
      </c>
    </row>
    <row r="38" spans="1:22" ht="39.950000000000003" customHeight="1" x14ac:dyDescent="0.25">
      <c r="A38" s="18"/>
      <c r="B38" s="80" t="s">
        <v>211</v>
      </c>
      <c r="C38" s="25" t="str">
        <f>'П1 Воздух Школа ст.П'!V37</f>
        <v>ПУИ. Правое крыло</v>
      </c>
      <c r="D38" s="289"/>
      <c r="E38" s="290"/>
      <c r="F38" s="7">
        <f>'П1 Воздух Школа ст.П'!W37</f>
        <v>120</v>
      </c>
      <c r="G38" s="7">
        <f t="shared" si="2"/>
        <v>140</v>
      </c>
      <c r="H38" s="310"/>
      <c r="I38" s="8"/>
      <c r="J38" s="21" t="s">
        <v>18</v>
      </c>
      <c r="K38" s="8">
        <v>150</v>
      </c>
      <c r="L38" s="8">
        <v>7.0000000000000007E-2</v>
      </c>
      <c r="M38" s="21" t="s">
        <v>18</v>
      </c>
      <c r="N38" s="21" t="s">
        <v>18</v>
      </c>
      <c r="O38" s="21" t="s">
        <v>18</v>
      </c>
      <c r="P38" s="21" t="s">
        <v>18</v>
      </c>
      <c r="Q38" s="21" t="s">
        <v>18</v>
      </c>
      <c r="R38" s="21" t="s">
        <v>18</v>
      </c>
      <c r="S38" s="8" t="s">
        <v>337</v>
      </c>
      <c r="T38" s="8" t="s">
        <v>337</v>
      </c>
      <c r="U38" s="8" t="s">
        <v>337</v>
      </c>
      <c r="V38" s="8" t="s">
        <v>407</v>
      </c>
    </row>
    <row r="39" spans="1:22" ht="39.950000000000003" customHeight="1" x14ac:dyDescent="0.25">
      <c r="A39" s="18"/>
      <c r="B39" s="81" t="s">
        <v>55</v>
      </c>
      <c r="C39" s="25" t="str">
        <f>'П1 Воздух Школа ст.П'!V38</f>
        <v>ИТП</v>
      </c>
      <c r="D39" s="289"/>
      <c r="E39" s="290"/>
      <c r="F39" s="7">
        <f>'П1 Воздух Школа ст.П'!W38</f>
        <v>1070</v>
      </c>
      <c r="G39" s="7">
        <f t="shared" si="2"/>
        <v>1210</v>
      </c>
      <c r="H39" s="310"/>
      <c r="I39" s="8"/>
      <c r="J39" s="21" t="s">
        <v>18</v>
      </c>
      <c r="K39" s="8">
        <v>300</v>
      </c>
      <c r="L39" s="8">
        <v>7.0000000000000007E-2</v>
      </c>
      <c r="M39" s="21" t="s">
        <v>18</v>
      </c>
      <c r="N39" s="21" t="s">
        <v>18</v>
      </c>
      <c r="O39" s="21" t="s">
        <v>18</v>
      </c>
      <c r="P39" s="21" t="s">
        <v>18</v>
      </c>
      <c r="Q39" s="21" t="s">
        <v>18</v>
      </c>
      <c r="R39" s="21" t="s">
        <v>18</v>
      </c>
      <c r="S39" s="8" t="s">
        <v>337</v>
      </c>
      <c r="T39" s="8" t="s">
        <v>337</v>
      </c>
      <c r="U39" s="8" t="s">
        <v>337</v>
      </c>
      <c r="V39" s="8" t="s">
        <v>407</v>
      </c>
    </row>
    <row r="40" spans="1:22" ht="39.950000000000003" customHeight="1" x14ac:dyDescent="0.25">
      <c r="A40" s="52"/>
      <c r="B40" s="82" t="s">
        <v>158</v>
      </c>
      <c r="C40" s="25" t="str">
        <f>'П1 Воздух Школа ст.П'!V39</f>
        <v xml:space="preserve">Пищеблок. Помещение персонала санузлом, ПУИ </v>
      </c>
      <c r="D40" s="289"/>
      <c r="E40" s="290"/>
      <c r="F40" s="7">
        <f>'П1 Воздух Школа ст.П'!W39</f>
        <v>185</v>
      </c>
      <c r="G40" s="7">
        <f t="shared" si="2"/>
        <v>210</v>
      </c>
      <c r="H40" s="310"/>
      <c r="I40" s="8"/>
      <c r="J40" s="21" t="s">
        <v>18</v>
      </c>
      <c r="K40" s="8">
        <v>150</v>
      </c>
      <c r="L40" s="8">
        <v>7.0000000000000007E-2</v>
      </c>
      <c r="M40" s="21" t="s">
        <v>18</v>
      </c>
      <c r="N40" s="21" t="s">
        <v>18</v>
      </c>
      <c r="O40" s="21" t="s">
        <v>18</v>
      </c>
      <c r="P40" s="21" t="s">
        <v>18</v>
      </c>
      <c r="Q40" s="21" t="s">
        <v>18</v>
      </c>
      <c r="R40" s="21" t="s">
        <v>18</v>
      </c>
      <c r="S40" s="8" t="s">
        <v>337</v>
      </c>
      <c r="T40" s="8" t="s">
        <v>337</v>
      </c>
      <c r="U40" s="8" t="s">
        <v>337</v>
      </c>
      <c r="V40" s="8" t="s">
        <v>407</v>
      </c>
    </row>
    <row r="41" spans="1:22" ht="39.950000000000003" customHeight="1" x14ac:dyDescent="0.25">
      <c r="A41" s="252"/>
      <c r="B41" s="260" t="s">
        <v>161</v>
      </c>
      <c r="C41" s="25" t="str">
        <f>'П1 Воздух Школа ст.П'!V40</f>
        <v>Кладовая сухих продуктов</v>
      </c>
      <c r="D41" s="291"/>
      <c r="E41" s="292"/>
      <c r="F41" s="7">
        <f>'П1 Воздух Школа ст.П'!W40</f>
        <v>50</v>
      </c>
      <c r="G41" s="7">
        <f t="shared" ref="G41" si="3">ROUND(F41*1.13,-1)</f>
        <v>60</v>
      </c>
      <c r="H41" s="311"/>
      <c r="I41" s="8"/>
      <c r="J41" s="21" t="s">
        <v>18</v>
      </c>
      <c r="K41" s="8">
        <v>50</v>
      </c>
      <c r="L41" s="8">
        <v>7.0000000000000007E-2</v>
      </c>
      <c r="M41" s="21" t="s">
        <v>18</v>
      </c>
      <c r="N41" s="21" t="s">
        <v>18</v>
      </c>
      <c r="O41" s="21" t="s">
        <v>18</v>
      </c>
      <c r="P41" s="21" t="s">
        <v>18</v>
      </c>
      <c r="Q41" s="21" t="s">
        <v>18</v>
      </c>
      <c r="R41" s="21" t="s">
        <v>18</v>
      </c>
      <c r="S41" s="8" t="s">
        <v>337</v>
      </c>
      <c r="T41" s="8" t="s">
        <v>337</v>
      </c>
      <c r="U41" s="8" t="s">
        <v>337</v>
      </c>
      <c r="V41" s="8" t="s">
        <v>407</v>
      </c>
    </row>
    <row r="42" spans="1:22" ht="39.950000000000003" customHeight="1" x14ac:dyDescent="0.25">
      <c r="A42" s="295"/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  <c r="N42" s="296"/>
      <c r="O42" s="296"/>
      <c r="P42" s="296"/>
      <c r="Q42" s="296"/>
      <c r="R42" s="296"/>
      <c r="S42" s="296"/>
      <c r="T42" s="296"/>
      <c r="U42" s="297"/>
    </row>
    <row r="43" spans="1:22" ht="39.950000000000003" customHeight="1" x14ac:dyDescent="0.25">
      <c r="A43" s="18"/>
      <c r="B43" s="83" t="s">
        <v>77</v>
      </c>
      <c r="C43" s="25" t="s">
        <v>366</v>
      </c>
      <c r="D43" s="287"/>
      <c r="E43" s="288"/>
      <c r="F43" s="7">
        <f>SUM('П1 Воздух Школа ст.П'!M30,'П1 Воздух Школа ст.П'!M31)</f>
        <v>1200</v>
      </c>
      <c r="G43" s="7"/>
      <c r="H43" s="38"/>
      <c r="I43" s="8"/>
      <c r="J43" s="21" t="s">
        <v>18</v>
      </c>
      <c r="K43" s="8">
        <v>300</v>
      </c>
      <c r="L43" s="8">
        <v>7.0000000000000007E-2</v>
      </c>
      <c r="M43" s="21" t="s">
        <v>18</v>
      </c>
      <c r="N43" s="21" t="s">
        <v>18</v>
      </c>
      <c r="O43" s="21" t="s">
        <v>18</v>
      </c>
      <c r="P43" s="21" t="s">
        <v>18</v>
      </c>
      <c r="Q43" s="21" t="s">
        <v>18</v>
      </c>
      <c r="R43" s="21" t="s">
        <v>18</v>
      </c>
      <c r="S43" s="8" t="s">
        <v>337</v>
      </c>
      <c r="T43" s="8" t="s">
        <v>337</v>
      </c>
      <c r="U43" s="8" t="s">
        <v>337</v>
      </c>
      <c r="V43" s="8"/>
    </row>
    <row r="44" spans="1:22" ht="39.950000000000003" customHeight="1" x14ac:dyDescent="0.25">
      <c r="A44" s="18"/>
      <c r="B44" s="84" t="s">
        <v>84</v>
      </c>
      <c r="C44" s="25" t="s">
        <v>367</v>
      </c>
      <c r="D44" s="289"/>
      <c r="E44" s="290"/>
      <c r="F44" s="7">
        <f>SUM('П1 Воздух Школа ст.П'!M34)</f>
        <v>700</v>
      </c>
      <c r="G44" s="7"/>
      <c r="H44" s="38"/>
      <c r="I44" s="8"/>
      <c r="J44" s="21" t="s">
        <v>18</v>
      </c>
      <c r="K44" s="8">
        <v>300</v>
      </c>
      <c r="L44" s="8">
        <v>7.0000000000000007E-2</v>
      </c>
      <c r="M44" s="21" t="s">
        <v>18</v>
      </c>
      <c r="N44" s="21" t="s">
        <v>18</v>
      </c>
      <c r="O44" s="21" t="s">
        <v>18</v>
      </c>
      <c r="P44" s="21" t="s">
        <v>18</v>
      </c>
      <c r="Q44" s="21" t="s">
        <v>18</v>
      </c>
      <c r="R44" s="21" t="s">
        <v>18</v>
      </c>
      <c r="S44" s="8" t="s">
        <v>337</v>
      </c>
      <c r="T44" s="8" t="s">
        <v>337</v>
      </c>
      <c r="U44" s="8" t="s">
        <v>337</v>
      </c>
      <c r="V44" s="8"/>
    </row>
    <row r="45" spans="1:22" ht="39.950000000000003" customHeight="1" x14ac:dyDescent="0.25">
      <c r="A45" s="18"/>
      <c r="B45" s="85" t="s">
        <v>143</v>
      </c>
      <c r="C45" s="25" t="s">
        <v>368</v>
      </c>
      <c r="D45" s="289"/>
      <c r="E45" s="290"/>
      <c r="F45" s="7">
        <f>SUM('П1 Воздух Школа ст.П'!M57)</f>
        <v>2000</v>
      </c>
      <c r="G45" s="7"/>
      <c r="H45" s="38"/>
      <c r="I45" s="8"/>
      <c r="J45" s="21" t="s">
        <v>18</v>
      </c>
      <c r="K45" s="8">
        <v>300</v>
      </c>
      <c r="L45" s="8">
        <v>7.0000000000000007E-2</v>
      </c>
      <c r="M45" s="21" t="s">
        <v>18</v>
      </c>
      <c r="N45" s="21" t="s">
        <v>18</v>
      </c>
      <c r="O45" s="21" t="s">
        <v>18</v>
      </c>
      <c r="P45" s="21" t="s">
        <v>18</v>
      </c>
      <c r="Q45" s="21" t="s">
        <v>18</v>
      </c>
      <c r="R45" s="21" t="s">
        <v>18</v>
      </c>
      <c r="S45" s="8" t="s">
        <v>337</v>
      </c>
      <c r="T45" s="8" t="s">
        <v>337</v>
      </c>
      <c r="U45" s="8" t="s">
        <v>337</v>
      </c>
      <c r="V45" s="8"/>
    </row>
    <row r="46" spans="1:22" ht="39.950000000000003" customHeight="1" x14ac:dyDescent="0.25">
      <c r="A46" s="18"/>
      <c r="B46" s="86" t="s">
        <v>146</v>
      </c>
      <c r="C46" s="25" t="s">
        <v>369</v>
      </c>
      <c r="D46" s="289"/>
      <c r="E46" s="290"/>
      <c r="F46" s="7">
        <f>SUM('П1 Воздух Школа ст.П'!M58,'П1 Воздух Школа ст.П'!M59)</f>
        <v>1500</v>
      </c>
      <c r="G46" s="7"/>
      <c r="H46" s="38"/>
      <c r="I46" s="8"/>
      <c r="J46" s="21" t="s">
        <v>18</v>
      </c>
      <c r="K46" s="8">
        <v>300</v>
      </c>
      <c r="L46" s="8">
        <v>7.0000000000000007E-2</v>
      </c>
      <c r="M46" s="21" t="s">
        <v>18</v>
      </c>
      <c r="N46" s="21" t="s">
        <v>18</v>
      </c>
      <c r="O46" s="21" t="s">
        <v>18</v>
      </c>
      <c r="P46" s="21" t="s">
        <v>18</v>
      </c>
      <c r="Q46" s="21" t="s">
        <v>18</v>
      </c>
      <c r="R46" s="21" t="s">
        <v>18</v>
      </c>
      <c r="S46" s="8" t="s">
        <v>337</v>
      </c>
      <c r="T46" s="8" t="s">
        <v>337</v>
      </c>
      <c r="U46" s="8" t="s">
        <v>337</v>
      </c>
      <c r="V46" s="8"/>
    </row>
    <row r="47" spans="1:22" ht="39.950000000000003" customHeight="1" x14ac:dyDescent="0.25">
      <c r="A47" s="18"/>
      <c r="B47" s="87" t="s">
        <v>153</v>
      </c>
      <c r="C47" s="25" t="s">
        <v>370</v>
      </c>
      <c r="D47" s="289"/>
      <c r="E47" s="290"/>
      <c r="F47" s="7">
        <f>SUM('П1 Воздух Школа ст.П'!M62)</f>
        <v>800</v>
      </c>
      <c r="G47" s="7"/>
      <c r="H47" s="38"/>
      <c r="I47" s="8"/>
      <c r="J47" s="21" t="s">
        <v>18</v>
      </c>
      <c r="K47" s="8">
        <v>300</v>
      </c>
      <c r="L47" s="8">
        <v>0.22</v>
      </c>
      <c r="M47" s="21" t="s">
        <v>18</v>
      </c>
      <c r="N47" s="21" t="s">
        <v>18</v>
      </c>
      <c r="O47" s="21" t="s">
        <v>18</v>
      </c>
      <c r="P47" s="21" t="s">
        <v>18</v>
      </c>
      <c r="Q47" s="21" t="s">
        <v>18</v>
      </c>
      <c r="R47" s="21" t="s">
        <v>18</v>
      </c>
      <c r="S47" s="8" t="s">
        <v>337</v>
      </c>
      <c r="T47" s="8" t="s">
        <v>337</v>
      </c>
      <c r="U47" s="8" t="s">
        <v>337</v>
      </c>
      <c r="V47" s="8"/>
    </row>
    <row r="48" spans="1:22" ht="39.950000000000003" customHeight="1" x14ac:dyDescent="0.25">
      <c r="A48" s="18"/>
      <c r="B48" s="88" t="s">
        <v>169</v>
      </c>
      <c r="C48" s="25" t="s">
        <v>371</v>
      </c>
      <c r="D48" s="289"/>
      <c r="E48" s="290"/>
      <c r="F48" s="7">
        <f>SUM('П1 Воздух Школа ст.П'!M69)</f>
        <v>1300</v>
      </c>
      <c r="G48" s="7"/>
      <c r="H48" s="38"/>
      <c r="I48" s="8"/>
      <c r="J48" s="21" t="s">
        <v>18</v>
      </c>
      <c r="K48" s="8">
        <v>300</v>
      </c>
      <c r="L48" s="8">
        <v>0.22</v>
      </c>
      <c r="M48" s="21" t="s">
        <v>18</v>
      </c>
      <c r="N48" s="21" t="s">
        <v>18</v>
      </c>
      <c r="O48" s="21" t="s">
        <v>18</v>
      </c>
      <c r="P48" s="21" t="s">
        <v>18</v>
      </c>
      <c r="Q48" s="21" t="s">
        <v>18</v>
      </c>
      <c r="R48" s="21" t="s">
        <v>18</v>
      </c>
      <c r="S48" s="8" t="s">
        <v>337</v>
      </c>
      <c r="T48" s="8" t="s">
        <v>337</v>
      </c>
      <c r="U48" s="8" t="s">
        <v>337</v>
      </c>
      <c r="V48" s="8"/>
    </row>
    <row r="49" spans="1:22" ht="39.950000000000003" customHeight="1" x14ac:dyDescent="0.25">
      <c r="A49" s="18"/>
      <c r="B49" s="89" t="s">
        <v>172</v>
      </c>
      <c r="C49" s="25" t="s">
        <v>372</v>
      </c>
      <c r="D49" s="289"/>
      <c r="E49" s="290"/>
      <c r="F49" s="7">
        <f>SUM('П1 Воздух Школа ст.П'!M70)</f>
        <v>1400</v>
      </c>
      <c r="G49" s="7"/>
      <c r="H49" s="38"/>
      <c r="I49" s="8"/>
      <c r="J49" s="21" t="s">
        <v>18</v>
      </c>
      <c r="K49" s="8">
        <v>300</v>
      </c>
      <c r="L49" s="8">
        <v>0.22</v>
      </c>
      <c r="M49" s="21" t="s">
        <v>18</v>
      </c>
      <c r="N49" s="21" t="s">
        <v>18</v>
      </c>
      <c r="O49" s="21" t="s">
        <v>18</v>
      </c>
      <c r="P49" s="21" t="s">
        <v>18</v>
      </c>
      <c r="Q49" s="21" t="s">
        <v>18</v>
      </c>
      <c r="R49" s="21" t="s">
        <v>18</v>
      </c>
      <c r="S49" s="8" t="s">
        <v>337</v>
      </c>
      <c r="T49" s="8" t="s">
        <v>337</v>
      </c>
      <c r="U49" s="8" t="s">
        <v>337</v>
      </c>
      <c r="V49" s="8"/>
    </row>
    <row r="50" spans="1:22" ht="39.950000000000003" customHeight="1" x14ac:dyDescent="0.25">
      <c r="A50" s="18"/>
      <c r="B50" s="90" t="s">
        <v>175</v>
      </c>
      <c r="C50" s="25" t="s">
        <v>373</v>
      </c>
      <c r="D50" s="291"/>
      <c r="E50" s="292"/>
      <c r="F50" s="7">
        <f>SUM('П1 Воздух Школа ст.П'!M71)</f>
        <v>1200</v>
      </c>
      <c r="G50" s="7"/>
      <c r="H50" s="38"/>
      <c r="I50" s="8"/>
      <c r="J50" s="21" t="s">
        <v>18</v>
      </c>
      <c r="K50" s="8">
        <v>300</v>
      </c>
      <c r="L50" s="8">
        <v>0.22</v>
      </c>
      <c r="M50" s="21" t="s">
        <v>18</v>
      </c>
      <c r="N50" s="21" t="s">
        <v>18</v>
      </c>
      <c r="O50" s="21" t="s">
        <v>18</v>
      </c>
      <c r="P50" s="21" t="s">
        <v>18</v>
      </c>
      <c r="Q50" s="21" t="s">
        <v>18</v>
      </c>
      <c r="R50" s="21" t="s">
        <v>18</v>
      </c>
      <c r="S50" s="8" t="s">
        <v>337</v>
      </c>
      <c r="T50" s="8" t="s">
        <v>337</v>
      </c>
      <c r="U50" s="8" t="s">
        <v>337</v>
      </c>
      <c r="V50" s="8"/>
    </row>
    <row r="51" spans="1:22" ht="39.950000000000003" customHeight="1" x14ac:dyDescent="0.25">
      <c r="A51" s="46"/>
      <c r="B51" s="47"/>
      <c r="C51" s="48"/>
      <c r="D51" s="49"/>
      <c r="E51" s="49"/>
      <c r="F51" s="49"/>
      <c r="G51" s="49"/>
      <c r="H51" s="50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</row>
    <row r="52" spans="1:22" ht="39.950000000000003" customHeight="1" x14ac:dyDescent="0.25">
      <c r="A52" s="18"/>
      <c r="B52" s="91" t="s">
        <v>37</v>
      </c>
      <c r="C52" s="25"/>
      <c r="D52" s="293"/>
      <c r="E52" s="294"/>
      <c r="F52" s="7">
        <f>'П1 Воздух Школа ст.П'!W42</f>
        <v>13610</v>
      </c>
      <c r="G52" s="7">
        <f>ROUND(F52*1.1,-1)</f>
        <v>14970</v>
      </c>
      <c r="H52" s="7"/>
      <c r="I52" s="8" t="s">
        <v>374</v>
      </c>
      <c r="J52" s="21" t="s">
        <v>18</v>
      </c>
      <c r="K52" s="8">
        <v>300</v>
      </c>
      <c r="L52" s="8">
        <v>7.0000000000000007E-2</v>
      </c>
      <c r="M52" s="21" t="s">
        <v>18</v>
      </c>
      <c r="N52" s="21" t="s">
        <v>18</v>
      </c>
      <c r="O52" s="21" t="s">
        <v>18</v>
      </c>
      <c r="P52" s="21" t="s">
        <v>18</v>
      </c>
      <c r="Q52" s="21" t="s">
        <v>18</v>
      </c>
      <c r="R52" s="21" t="s">
        <v>18</v>
      </c>
      <c r="S52" s="8" t="s">
        <v>337</v>
      </c>
      <c r="T52" s="8" t="s">
        <v>337</v>
      </c>
      <c r="U52" s="8" t="s">
        <v>337</v>
      </c>
      <c r="V52" s="8"/>
    </row>
    <row r="53" spans="1:22" ht="39.950000000000003" customHeight="1" x14ac:dyDescent="0.25">
      <c r="A53" s="46"/>
      <c r="B53" s="47"/>
      <c r="C53" s="48"/>
      <c r="D53" s="49"/>
      <c r="E53" s="49"/>
      <c r="F53" s="49"/>
      <c r="G53" s="49"/>
      <c r="H53" s="50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</row>
    <row r="54" spans="1:22" ht="39.950000000000003" customHeight="1" x14ac:dyDescent="0.25">
      <c r="A54" s="46"/>
      <c r="B54" s="47"/>
      <c r="C54" s="48"/>
      <c r="D54" s="251">
        <f>SUM(D4:D50)</f>
        <v>41675</v>
      </c>
      <c r="E54" s="14"/>
      <c r="F54" s="251">
        <f>SUM(F4:F50,F52)</f>
        <v>41675</v>
      </c>
      <c r="G54" s="14"/>
      <c r="H54" s="12"/>
      <c r="I54" s="14"/>
      <c r="J54" s="19"/>
      <c r="K54" s="4"/>
      <c r="L54" s="19">
        <f>SUM(L4:L50)</f>
        <v>60.06</v>
      </c>
      <c r="M54" s="19"/>
      <c r="N54" s="19"/>
      <c r="O54" s="26">
        <f>SUM(O4:O15)</f>
        <v>615.08076999999992</v>
      </c>
      <c r="P54" s="20"/>
      <c r="Q54" s="20"/>
      <c r="R54" s="20">
        <f>SUM(R4:R15)</f>
        <v>105.86669999999998</v>
      </c>
      <c r="S54" s="47"/>
      <c r="T54" s="47"/>
      <c r="U54" s="47"/>
      <c r="V54" s="47"/>
    </row>
    <row r="55" spans="1:22" ht="39.950000000000003" customHeight="1" x14ac:dyDescent="0.25">
      <c r="A55" s="46"/>
      <c r="B55" s="47"/>
      <c r="C55" s="48"/>
      <c r="D55" s="12"/>
      <c r="E55" s="12"/>
      <c r="F55" s="12"/>
      <c r="G55" s="12"/>
      <c r="H55" s="12"/>
      <c r="I55" s="13"/>
      <c r="J55" s="13"/>
      <c r="K55" s="13"/>
      <c r="L55" s="13"/>
      <c r="M55" s="13"/>
      <c r="N55" s="13"/>
      <c r="O55" s="24">
        <f>O54/1.163/1000</f>
        <v>0.52887426483233013</v>
      </c>
      <c r="P55" s="4"/>
      <c r="Q55" s="4"/>
      <c r="R55" s="4"/>
      <c r="S55" s="47"/>
      <c r="T55" s="47"/>
      <c r="U55" s="47"/>
      <c r="V55" s="47"/>
    </row>
    <row r="56" spans="1:22" ht="39.950000000000003" customHeight="1" x14ac:dyDescent="0.25">
      <c r="A56" s="46"/>
      <c r="B56" s="47"/>
      <c r="C56" s="48"/>
      <c r="D56" s="49"/>
      <c r="E56" s="49"/>
      <c r="F56" s="49"/>
      <c r="G56" s="49"/>
      <c r="H56" s="50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</row>
    <row r="57" spans="1:22" ht="39.950000000000003" customHeight="1" x14ac:dyDescent="0.25">
      <c r="A57" s="46"/>
      <c r="B57" s="47"/>
      <c r="C57" s="48"/>
      <c r="D57" s="49"/>
      <c r="E57" s="49"/>
      <c r="F57" s="49"/>
      <c r="G57" s="49"/>
      <c r="H57" s="50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</row>
    <row r="58" spans="1:22" ht="39.950000000000003" customHeight="1" x14ac:dyDescent="0.25">
      <c r="A58" s="46"/>
      <c r="B58" s="47"/>
      <c r="C58" s="48"/>
      <c r="D58" s="49"/>
      <c r="E58" s="49"/>
      <c r="F58" s="49"/>
      <c r="G58" s="49"/>
      <c r="H58" s="50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</row>
    <row r="59" spans="1:22" ht="39.950000000000003" customHeight="1" x14ac:dyDescent="0.25">
      <c r="A59" s="46"/>
      <c r="B59" s="47"/>
      <c r="C59" s="48"/>
      <c r="D59" s="49"/>
      <c r="E59" s="49"/>
      <c r="F59" s="49"/>
      <c r="G59" s="49"/>
      <c r="H59" s="50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</row>
    <row r="60" spans="1:22" ht="39.950000000000003" customHeight="1" x14ac:dyDescent="0.25">
      <c r="A60" s="46"/>
      <c r="B60" s="47"/>
      <c r="C60" s="48"/>
      <c r="D60" s="49"/>
      <c r="E60" s="49"/>
      <c r="F60" s="49"/>
      <c r="G60" s="49"/>
      <c r="H60" s="50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</row>
    <row r="61" spans="1:22" ht="39.950000000000003" customHeight="1" x14ac:dyDescent="0.25">
      <c r="A61" s="46"/>
      <c r="B61" s="47"/>
      <c r="C61" s="48"/>
      <c r="D61" s="49"/>
      <c r="E61" s="49"/>
      <c r="F61" s="49"/>
      <c r="G61" s="49"/>
      <c r="H61" s="50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</row>
    <row r="62" spans="1:22" ht="39.950000000000003" customHeight="1" x14ac:dyDescent="0.25">
      <c r="A62" s="11"/>
      <c r="B62" s="11"/>
      <c r="C62" s="4"/>
      <c r="S62" s="13"/>
      <c r="T62" s="13"/>
      <c r="U62" s="16"/>
      <c r="V62" s="16"/>
    </row>
    <row r="63" spans="1:22" ht="39.950000000000003" customHeight="1" x14ac:dyDescent="0.25">
      <c r="A63" s="11"/>
      <c r="B63" s="11"/>
      <c r="C63" s="4"/>
      <c r="S63" s="4"/>
      <c r="T63" s="4"/>
      <c r="U63" s="4"/>
      <c r="V63" s="4"/>
    </row>
  </sheetData>
  <mergeCells count="26">
    <mergeCell ref="V1:V3"/>
    <mergeCell ref="D17:E41"/>
    <mergeCell ref="H17:H41"/>
    <mergeCell ref="H4:H15"/>
    <mergeCell ref="F4:G15"/>
    <mergeCell ref="D43:E50"/>
    <mergeCell ref="D52:E52"/>
    <mergeCell ref="A42:U42"/>
    <mergeCell ref="U1:U3"/>
    <mergeCell ref="M2:N2"/>
    <mergeCell ref="O2:O3"/>
    <mergeCell ref="P2:Q2"/>
    <mergeCell ref="R2:R3"/>
    <mergeCell ref="L1:L3"/>
    <mergeCell ref="M1:O1"/>
    <mergeCell ref="P1:R1"/>
    <mergeCell ref="A16:U16"/>
    <mergeCell ref="S1:S3"/>
    <mergeCell ref="A1:A3"/>
    <mergeCell ref="K1:K3"/>
    <mergeCell ref="B1:B3"/>
    <mergeCell ref="C1:C3"/>
    <mergeCell ref="D1:H2"/>
    <mergeCell ref="I1:I3"/>
    <mergeCell ref="J1:J3"/>
    <mergeCell ref="T1:T3"/>
  </mergeCells>
  <phoneticPr fontId="14" type="noConversion"/>
  <conditionalFormatting sqref="B4:B1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{041C4FAB-AB2B-4174-9E04-9DAECFE9179C}</x14:id>
        </ext>
      </extLst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C4FAB-AB2B-4174-9E04-9DAECFE917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topLeftCell="A11" workbookViewId="0">
      <selection activeCell="A39" sqref="A39"/>
    </sheetView>
  </sheetViews>
  <sheetFormatPr defaultRowHeight="15" x14ac:dyDescent="0.25"/>
  <cols>
    <col min="1" max="2" width="12" customWidth="1"/>
    <col min="3" max="3" width="16" customWidth="1"/>
    <col min="4" max="4" width="69.42578125" customWidth="1"/>
  </cols>
  <sheetData>
    <row r="1" spans="1:4" x14ac:dyDescent="0.25">
      <c r="A1" s="118" t="s">
        <v>10</v>
      </c>
      <c r="B1" s="118" t="s">
        <v>376</v>
      </c>
      <c r="C1" s="118" t="s">
        <v>375</v>
      </c>
      <c r="D1" s="118" t="s">
        <v>377</v>
      </c>
    </row>
    <row r="2" spans="1:4" x14ac:dyDescent="0.25">
      <c r="A2" s="120"/>
      <c r="B2" s="119"/>
      <c r="C2" s="214"/>
      <c r="D2" s="214"/>
    </row>
    <row r="3" spans="1:4" x14ac:dyDescent="0.25">
      <c r="A3" s="122" t="s">
        <v>26</v>
      </c>
      <c r="B3" s="121"/>
      <c r="C3" s="214" t="s">
        <v>12</v>
      </c>
      <c r="D3" s="214" t="s">
        <v>23</v>
      </c>
    </row>
    <row r="4" spans="1:4" x14ac:dyDescent="0.25">
      <c r="A4" s="124" t="s">
        <v>290</v>
      </c>
      <c r="B4" s="123"/>
      <c r="C4" s="214" t="s">
        <v>12</v>
      </c>
      <c r="D4" s="214" t="s">
        <v>338</v>
      </c>
    </row>
    <row r="5" spans="1:4" x14ac:dyDescent="0.25">
      <c r="A5" s="126" t="s">
        <v>136</v>
      </c>
      <c r="B5" s="125"/>
      <c r="C5" s="214" t="s">
        <v>12</v>
      </c>
      <c r="D5" s="214" t="s">
        <v>133</v>
      </c>
    </row>
    <row r="6" spans="1:4" x14ac:dyDescent="0.25">
      <c r="A6" s="128" t="s">
        <v>140</v>
      </c>
      <c r="B6" s="127"/>
      <c r="C6" s="214" t="s">
        <v>12</v>
      </c>
      <c r="D6" s="214" t="s">
        <v>340</v>
      </c>
    </row>
    <row r="7" spans="1:4" x14ac:dyDescent="0.25">
      <c r="A7" s="130" t="s">
        <v>74</v>
      </c>
      <c r="B7" s="129"/>
      <c r="C7" s="214" t="s">
        <v>12</v>
      </c>
      <c r="D7" s="214" t="s">
        <v>341</v>
      </c>
    </row>
    <row r="8" spans="1:4" x14ac:dyDescent="0.25">
      <c r="A8" s="132" t="s">
        <v>120</v>
      </c>
      <c r="B8" s="131"/>
      <c r="C8" s="214" t="s">
        <v>12</v>
      </c>
      <c r="D8" s="214" t="s">
        <v>342</v>
      </c>
    </row>
    <row r="9" spans="1:4" x14ac:dyDescent="0.25">
      <c r="A9" s="134" t="s">
        <v>179</v>
      </c>
      <c r="B9" s="133"/>
      <c r="C9" s="214" t="s">
        <v>12</v>
      </c>
      <c r="D9" s="214" t="s">
        <v>343</v>
      </c>
    </row>
    <row r="10" spans="1:4" x14ac:dyDescent="0.25">
      <c r="A10" s="136" t="s">
        <v>43</v>
      </c>
      <c r="B10" s="135"/>
      <c r="C10" s="214" t="s">
        <v>12</v>
      </c>
      <c r="D10" s="214" t="s">
        <v>345</v>
      </c>
    </row>
    <row r="11" spans="1:4" x14ac:dyDescent="0.25">
      <c r="A11" s="138" t="s">
        <v>231</v>
      </c>
      <c r="B11" s="137"/>
      <c r="C11" s="214" t="s">
        <v>12</v>
      </c>
      <c r="D11" s="214" t="s">
        <v>346</v>
      </c>
    </row>
    <row r="12" spans="1:4" x14ac:dyDescent="0.25">
      <c r="A12" s="140" t="s">
        <v>45</v>
      </c>
      <c r="B12" s="139"/>
      <c r="C12" s="214" t="s">
        <v>12</v>
      </c>
      <c r="D12" s="214" t="s">
        <v>347</v>
      </c>
    </row>
    <row r="13" spans="1:4" x14ac:dyDescent="0.25">
      <c r="A13" s="142" t="s">
        <v>54</v>
      </c>
      <c r="B13" s="141"/>
      <c r="C13" s="214" t="s">
        <v>12</v>
      </c>
      <c r="D13" s="214" t="s">
        <v>52</v>
      </c>
    </row>
    <row r="14" spans="1:4" x14ac:dyDescent="0.25">
      <c r="A14" s="212"/>
      <c r="B14" s="213"/>
      <c r="C14" s="215"/>
      <c r="D14" s="215"/>
    </row>
    <row r="15" spans="1:4" x14ac:dyDescent="0.25">
      <c r="A15" s="144" t="s">
        <v>27</v>
      </c>
      <c r="B15" s="143"/>
      <c r="C15" s="214" t="s">
        <v>13</v>
      </c>
      <c r="D15" s="214" t="s">
        <v>23</v>
      </c>
    </row>
    <row r="16" spans="1:4" x14ac:dyDescent="0.25">
      <c r="A16" s="146" t="s">
        <v>291</v>
      </c>
      <c r="B16" s="145"/>
      <c r="C16" s="214" t="s">
        <v>13</v>
      </c>
      <c r="D16" s="214" t="s">
        <v>338</v>
      </c>
    </row>
    <row r="17" spans="1:4" x14ac:dyDescent="0.25">
      <c r="A17" s="148" t="s">
        <v>30</v>
      </c>
      <c r="B17" s="147"/>
      <c r="C17" s="214" t="s">
        <v>13</v>
      </c>
      <c r="D17" s="214" t="s">
        <v>133</v>
      </c>
    </row>
    <row r="18" spans="1:4" x14ac:dyDescent="0.25">
      <c r="A18" s="150" t="s">
        <v>42</v>
      </c>
      <c r="B18" s="149"/>
      <c r="C18" s="214" t="s">
        <v>13</v>
      </c>
      <c r="D18" s="214" t="s">
        <v>348</v>
      </c>
    </row>
    <row r="19" spans="1:4" x14ac:dyDescent="0.25">
      <c r="A19" s="152" t="s">
        <v>98</v>
      </c>
      <c r="B19" s="151"/>
      <c r="C19" s="214" t="s">
        <v>13</v>
      </c>
      <c r="D19" s="214" t="s">
        <v>349</v>
      </c>
    </row>
    <row r="20" spans="1:4" x14ac:dyDescent="0.25">
      <c r="A20" s="154" t="s">
        <v>116</v>
      </c>
      <c r="B20" s="153"/>
      <c r="C20" s="214" t="s">
        <v>13</v>
      </c>
      <c r="D20" s="214" t="s">
        <v>350</v>
      </c>
    </row>
    <row r="21" spans="1:4" x14ac:dyDescent="0.25">
      <c r="A21" s="156" t="s">
        <v>94</v>
      </c>
      <c r="B21" s="155"/>
      <c r="C21" s="214" t="s">
        <v>13</v>
      </c>
      <c r="D21" s="214" t="s">
        <v>351</v>
      </c>
    </row>
    <row r="22" spans="1:4" x14ac:dyDescent="0.25">
      <c r="A22" s="158" t="s">
        <v>185</v>
      </c>
      <c r="B22" s="157"/>
      <c r="C22" s="214" t="s">
        <v>13</v>
      </c>
      <c r="D22" s="214" t="s">
        <v>352</v>
      </c>
    </row>
    <row r="23" spans="1:4" x14ac:dyDescent="0.25">
      <c r="A23" s="160" t="s">
        <v>232</v>
      </c>
      <c r="B23" s="159"/>
      <c r="C23" s="214" t="s">
        <v>13</v>
      </c>
      <c r="D23" s="214" t="s">
        <v>353</v>
      </c>
    </row>
    <row r="24" spans="1:4" x14ac:dyDescent="0.25">
      <c r="A24" s="162" t="s">
        <v>193</v>
      </c>
      <c r="B24" s="161"/>
      <c r="C24" s="214" t="s">
        <v>13</v>
      </c>
      <c r="D24" s="214" t="s">
        <v>354</v>
      </c>
    </row>
    <row r="25" spans="1:4" x14ac:dyDescent="0.25">
      <c r="A25" s="164" t="s">
        <v>68</v>
      </c>
      <c r="B25" s="163"/>
      <c r="C25" s="214" t="s">
        <v>13</v>
      </c>
      <c r="D25" s="214" t="s">
        <v>355</v>
      </c>
    </row>
    <row r="26" spans="1:4" x14ac:dyDescent="0.25">
      <c r="A26" s="166" t="s">
        <v>356</v>
      </c>
      <c r="B26" s="165"/>
      <c r="C26" s="214" t="s">
        <v>13</v>
      </c>
      <c r="D26" s="214" t="s">
        <v>79</v>
      </c>
    </row>
    <row r="27" spans="1:4" x14ac:dyDescent="0.25">
      <c r="A27" s="168" t="s">
        <v>65</v>
      </c>
      <c r="B27" s="167"/>
      <c r="C27" s="214" t="s">
        <v>13</v>
      </c>
      <c r="D27" s="214" t="s">
        <v>357</v>
      </c>
    </row>
    <row r="28" spans="1:4" x14ac:dyDescent="0.25">
      <c r="A28" s="170" t="s">
        <v>208</v>
      </c>
      <c r="B28" s="169"/>
      <c r="C28" s="214" t="s">
        <v>13</v>
      </c>
      <c r="D28" s="214" t="s">
        <v>358</v>
      </c>
    </row>
    <row r="29" spans="1:4" x14ac:dyDescent="0.25">
      <c r="A29" s="172" t="s">
        <v>80</v>
      </c>
      <c r="B29" s="171"/>
      <c r="C29" s="214" t="s">
        <v>13</v>
      </c>
      <c r="D29" s="214" t="s">
        <v>359</v>
      </c>
    </row>
    <row r="30" spans="1:4" x14ac:dyDescent="0.25">
      <c r="A30" s="174" t="s">
        <v>266</v>
      </c>
      <c r="B30" s="173"/>
      <c r="C30" s="214" t="s">
        <v>13</v>
      </c>
      <c r="D30" s="214" t="s">
        <v>360</v>
      </c>
    </row>
    <row r="31" spans="1:4" x14ac:dyDescent="0.25">
      <c r="A31" s="176" t="s">
        <v>305</v>
      </c>
      <c r="B31" s="175"/>
      <c r="C31" s="214" t="s">
        <v>13</v>
      </c>
      <c r="D31" s="214" t="s">
        <v>304</v>
      </c>
    </row>
    <row r="32" spans="1:4" x14ac:dyDescent="0.25">
      <c r="A32" s="178" t="s">
        <v>180</v>
      </c>
      <c r="B32" s="177"/>
      <c r="C32" s="214" t="s">
        <v>13</v>
      </c>
      <c r="D32" s="214" t="s">
        <v>343</v>
      </c>
    </row>
    <row r="33" spans="1:4" x14ac:dyDescent="0.25">
      <c r="A33" s="180" t="s">
        <v>49</v>
      </c>
      <c r="B33" s="179"/>
      <c r="C33" s="214" t="s">
        <v>13</v>
      </c>
      <c r="D33" s="214" t="s">
        <v>361</v>
      </c>
    </row>
    <row r="34" spans="1:4" x14ac:dyDescent="0.25">
      <c r="A34" s="182" t="s">
        <v>164</v>
      </c>
      <c r="B34" s="181"/>
      <c r="C34" s="214" t="s">
        <v>13</v>
      </c>
      <c r="D34" s="214" t="s">
        <v>362</v>
      </c>
    </row>
    <row r="35" spans="1:4" x14ac:dyDescent="0.25">
      <c r="A35" s="184" t="s">
        <v>190</v>
      </c>
      <c r="B35" s="183"/>
      <c r="C35" s="214" t="s">
        <v>13</v>
      </c>
      <c r="D35" s="214" t="s">
        <v>363</v>
      </c>
    </row>
    <row r="36" spans="1:4" x14ac:dyDescent="0.25">
      <c r="A36" s="186" t="s">
        <v>211</v>
      </c>
      <c r="B36" s="185"/>
      <c r="C36" s="214" t="s">
        <v>13</v>
      </c>
      <c r="D36" s="214" t="s">
        <v>364</v>
      </c>
    </row>
    <row r="37" spans="1:4" x14ac:dyDescent="0.25">
      <c r="A37" s="188" t="s">
        <v>55</v>
      </c>
      <c r="B37" s="187"/>
      <c r="C37" s="214" t="s">
        <v>13</v>
      </c>
      <c r="D37" s="214" t="s">
        <v>52</v>
      </c>
    </row>
    <row r="38" spans="1:4" x14ac:dyDescent="0.25">
      <c r="A38" s="190" t="s">
        <v>158</v>
      </c>
      <c r="B38" s="189"/>
      <c r="C38" s="214" t="s">
        <v>13</v>
      </c>
      <c r="D38" s="214" t="s">
        <v>157</v>
      </c>
    </row>
    <row r="39" spans="1:4" x14ac:dyDescent="0.25">
      <c r="A39" s="192" t="s">
        <v>161</v>
      </c>
      <c r="B39" s="191"/>
      <c r="C39" s="214" t="s">
        <v>13</v>
      </c>
      <c r="D39" s="214" t="s">
        <v>365</v>
      </c>
    </row>
    <row r="40" spans="1:4" x14ac:dyDescent="0.25">
      <c r="A40" s="194" t="s">
        <v>77</v>
      </c>
      <c r="B40" s="193"/>
      <c r="C40" s="214" t="s">
        <v>378</v>
      </c>
      <c r="D40" s="214" t="s">
        <v>366</v>
      </c>
    </row>
    <row r="41" spans="1:4" x14ac:dyDescent="0.25">
      <c r="A41" s="196" t="s">
        <v>84</v>
      </c>
      <c r="B41" s="195"/>
      <c r="C41" s="214" t="s">
        <v>378</v>
      </c>
      <c r="D41" s="214" t="s">
        <v>367</v>
      </c>
    </row>
    <row r="42" spans="1:4" x14ac:dyDescent="0.25">
      <c r="A42" s="198" t="s">
        <v>143</v>
      </c>
      <c r="B42" s="197"/>
      <c r="C42" s="214" t="s">
        <v>378</v>
      </c>
      <c r="D42" s="214" t="s">
        <v>368</v>
      </c>
    </row>
    <row r="43" spans="1:4" x14ac:dyDescent="0.25">
      <c r="A43" s="200" t="s">
        <v>146</v>
      </c>
      <c r="B43" s="199"/>
      <c r="C43" s="214" t="s">
        <v>378</v>
      </c>
      <c r="D43" s="214" t="s">
        <v>369</v>
      </c>
    </row>
    <row r="44" spans="1:4" x14ac:dyDescent="0.25">
      <c r="A44" s="202" t="s">
        <v>153</v>
      </c>
      <c r="B44" s="201"/>
      <c r="C44" s="214" t="s">
        <v>378</v>
      </c>
      <c r="D44" s="214" t="s">
        <v>370</v>
      </c>
    </row>
    <row r="45" spans="1:4" x14ac:dyDescent="0.25">
      <c r="A45" s="204" t="s">
        <v>169</v>
      </c>
      <c r="B45" s="203"/>
      <c r="C45" s="214" t="s">
        <v>378</v>
      </c>
      <c r="D45" s="214" t="s">
        <v>371</v>
      </c>
    </row>
    <row r="46" spans="1:4" x14ac:dyDescent="0.25">
      <c r="A46" s="206" t="s">
        <v>172</v>
      </c>
      <c r="B46" s="205"/>
      <c r="C46" s="214" t="s">
        <v>378</v>
      </c>
      <c r="D46" s="214" t="s">
        <v>372</v>
      </c>
    </row>
    <row r="47" spans="1:4" x14ac:dyDescent="0.25">
      <c r="A47" s="208" t="s">
        <v>175</v>
      </c>
      <c r="B47" s="207"/>
      <c r="C47" s="214" t="s">
        <v>378</v>
      </c>
      <c r="D47" s="214" t="s">
        <v>373</v>
      </c>
    </row>
    <row r="48" spans="1:4" ht="30" x14ac:dyDescent="0.25">
      <c r="A48" s="210" t="s">
        <v>37</v>
      </c>
      <c r="B48" s="209"/>
      <c r="C48" s="214" t="s">
        <v>379</v>
      </c>
      <c r="D48" s="2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П1 Воздух Школа ст.П</vt:lpstr>
      <vt:lpstr>Таблица ХОВС</vt:lpstr>
      <vt:lpstr>Легенда систем</vt:lpstr>
      <vt:lpstr>пищеблок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ПСК Троектория</dc:creator>
  <cp:lastModifiedBy>ПСК Троектория</cp:lastModifiedBy>
  <dcterms:created xsi:type="dcterms:W3CDTF">2026-07-01T15:00:02Z</dcterms:created>
  <dcterms:modified xsi:type="dcterms:W3CDTF">2026-07-13T10:02:08Z</dcterms:modified>
</cp:coreProperties>
</file>