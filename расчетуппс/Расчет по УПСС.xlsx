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_brusenskaya\Desktop\Реновация\"/>
    </mc:Choice>
  </mc:AlternateContent>
  <xr:revisionPtr revIDLastSave="0" documentId="13_ncr:1_{0A4217F3-8BF3-4AA3-875F-BC7F9CF9020E}" xr6:coauthVersionLast="47" xr6:coauthVersionMax="47" xr10:uidLastSave="{00000000-0000-0000-0000-000000000000}"/>
  <bookViews>
    <workbookView xWindow="28680" yWindow="-120" windowWidth="29040" windowHeight="15720" activeTab="1" xr2:uid="{23729702-9317-E648-A98A-4D2DE5773F2F}"/>
  </bookViews>
  <sheets>
    <sheet name="Sheet1" sheetId="1" r:id="rId1"/>
    <sheet name="Лист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0" i="1" l="1"/>
  <c r="S284" i="1"/>
  <c r="P284" i="1"/>
  <c r="S312" i="1"/>
  <c r="P312" i="1"/>
  <c r="M312" i="1"/>
  <c r="M340" i="1"/>
  <c r="M368" i="1"/>
  <c r="Y369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5" i="2"/>
  <c r="W368" i="2"/>
  <c r="W362" i="2"/>
  <c r="J362" i="2"/>
  <c r="W355" i="2"/>
  <c r="L355" i="2"/>
  <c r="I355" i="2"/>
  <c r="V354" i="2"/>
  <c r="S351" i="2"/>
  <c r="P350" i="2"/>
  <c r="W348" i="2"/>
  <c r="L348" i="2"/>
  <c r="M348" i="2" s="1"/>
  <c r="V347" i="2"/>
  <c r="S344" i="2"/>
  <c r="P343" i="2"/>
  <c r="W341" i="2"/>
  <c r="L341" i="2"/>
  <c r="M341" i="2" s="1"/>
  <c r="W340" i="2"/>
  <c r="W334" i="2"/>
  <c r="J334" i="2"/>
  <c r="W327" i="2"/>
  <c r="L327" i="2"/>
  <c r="I327" i="2"/>
  <c r="V326" i="2"/>
  <c r="S323" i="2"/>
  <c r="P322" i="2"/>
  <c r="W320" i="2"/>
  <c r="L320" i="2"/>
  <c r="M320" i="2" s="1"/>
  <c r="V319" i="2"/>
  <c r="S316" i="2"/>
  <c r="P315" i="2"/>
  <c r="W313" i="2"/>
  <c r="L313" i="2"/>
  <c r="M313" i="2" s="1"/>
  <c r="W312" i="2"/>
  <c r="V311" i="2"/>
  <c r="S308" i="2"/>
  <c r="P307" i="2"/>
  <c r="W306" i="2"/>
  <c r="M306" i="2"/>
  <c r="W299" i="2"/>
  <c r="L299" i="2"/>
  <c r="I299" i="2"/>
  <c r="V298" i="2"/>
  <c r="S295" i="2"/>
  <c r="P294" i="2"/>
  <c r="W292" i="2"/>
  <c r="L292" i="2"/>
  <c r="M292" i="2" s="1"/>
  <c r="V291" i="2"/>
  <c r="S288" i="2"/>
  <c r="P287" i="2"/>
  <c r="W285" i="2"/>
  <c r="L285" i="2"/>
  <c r="M285" i="2" s="1"/>
  <c r="W284" i="2"/>
  <c r="V283" i="2"/>
  <c r="S280" i="2"/>
  <c r="P279" i="2"/>
  <c r="W278" i="2"/>
  <c r="M278" i="2"/>
  <c r="V277" i="2"/>
  <c r="S274" i="2"/>
  <c r="P273" i="2"/>
  <c r="W271" i="2"/>
  <c r="L271" i="2"/>
  <c r="M271" i="2" s="1"/>
  <c r="V270" i="2"/>
  <c r="S267" i="2"/>
  <c r="P266" i="2"/>
  <c r="W264" i="2"/>
  <c r="L264" i="2"/>
  <c r="M264" i="2" s="1"/>
  <c r="V263" i="2"/>
  <c r="S260" i="2"/>
  <c r="P259" i="2"/>
  <c r="W257" i="2"/>
  <c r="L257" i="2"/>
  <c r="M257" i="2" s="1"/>
  <c r="W256" i="2"/>
  <c r="W250" i="2"/>
  <c r="J250" i="2"/>
  <c r="W243" i="2"/>
  <c r="L243" i="2"/>
  <c r="I243" i="2"/>
  <c r="V242" i="2"/>
  <c r="S239" i="2"/>
  <c r="P238" i="2"/>
  <c r="W236" i="2"/>
  <c r="L236" i="2"/>
  <c r="M236" i="2" s="1"/>
  <c r="V235" i="2"/>
  <c r="S232" i="2"/>
  <c r="P231" i="2"/>
  <c r="W229" i="2"/>
  <c r="L229" i="2"/>
  <c r="M229" i="2" s="1"/>
  <c r="W228" i="2"/>
  <c r="V227" i="2"/>
  <c r="S224" i="2"/>
  <c r="P223" i="2"/>
  <c r="W222" i="2"/>
  <c r="M222" i="2"/>
  <c r="W215" i="2"/>
  <c r="L215" i="2"/>
  <c r="I215" i="2"/>
  <c r="V214" i="2"/>
  <c r="S211" i="2"/>
  <c r="P210" i="2"/>
  <c r="W208" i="2"/>
  <c r="L208" i="2"/>
  <c r="M208" i="2" s="1"/>
  <c r="V207" i="2"/>
  <c r="S204" i="2"/>
  <c r="P203" i="2"/>
  <c r="W201" i="2"/>
  <c r="L201" i="2"/>
  <c r="M201" i="2" s="1"/>
  <c r="W200" i="2"/>
  <c r="V199" i="2"/>
  <c r="S196" i="2"/>
  <c r="P195" i="2"/>
  <c r="X194" i="2"/>
  <c r="W194" i="2"/>
  <c r="V194" i="2"/>
  <c r="S194" i="2"/>
  <c r="P194" i="2"/>
  <c r="W187" i="2"/>
  <c r="L187" i="2"/>
  <c r="I187" i="2"/>
  <c r="V186" i="2"/>
  <c r="S183" i="2"/>
  <c r="P182" i="2"/>
  <c r="W180" i="2"/>
  <c r="L180" i="2"/>
  <c r="M180" i="2" s="1"/>
  <c r="V179" i="2"/>
  <c r="S176" i="2"/>
  <c r="P175" i="2"/>
  <c r="W173" i="2"/>
  <c r="L173" i="2"/>
  <c r="M173" i="2" s="1"/>
  <c r="W172" i="2"/>
  <c r="W166" i="2"/>
  <c r="J166" i="2"/>
  <c r="W159" i="2"/>
  <c r="L159" i="2"/>
  <c r="I159" i="2"/>
  <c r="V158" i="2"/>
  <c r="S155" i="2"/>
  <c r="P154" i="2"/>
  <c r="W152" i="2"/>
  <c r="L152" i="2"/>
  <c r="M152" i="2" s="1"/>
  <c r="V151" i="2"/>
  <c r="S148" i="2"/>
  <c r="P147" i="2"/>
  <c r="W145" i="2"/>
  <c r="L145" i="2"/>
  <c r="M145" i="2" s="1"/>
  <c r="W144" i="2"/>
  <c r="V143" i="2"/>
  <c r="S140" i="2"/>
  <c r="P139" i="2"/>
  <c r="W138" i="2"/>
  <c r="M138" i="2"/>
  <c r="V137" i="2"/>
  <c r="S134" i="2"/>
  <c r="P133" i="2"/>
  <c r="W131" i="2"/>
  <c r="L131" i="2"/>
  <c r="M131" i="2" s="1"/>
  <c r="V130" i="2"/>
  <c r="S127" i="2"/>
  <c r="P126" i="2"/>
  <c r="W124" i="2"/>
  <c r="L124" i="2"/>
  <c r="M124" i="2" s="1"/>
  <c r="V123" i="2"/>
  <c r="S120" i="2"/>
  <c r="P119" i="2"/>
  <c r="W117" i="2"/>
  <c r="L117" i="2"/>
  <c r="M117" i="2" s="1"/>
  <c r="W116" i="2"/>
  <c r="V115" i="2"/>
  <c r="S112" i="2"/>
  <c r="P111" i="2"/>
  <c r="W110" i="2"/>
  <c r="M110" i="2"/>
  <c r="W103" i="2"/>
  <c r="L103" i="2"/>
  <c r="I103" i="2"/>
  <c r="V102" i="2"/>
  <c r="S99" i="2"/>
  <c r="P98" i="2"/>
  <c r="W96" i="2"/>
  <c r="L96" i="2"/>
  <c r="M96" i="2" s="1"/>
  <c r="V95" i="2"/>
  <c r="S92" i="2"/>
  <c r="P91" i="2"/>
  <c r="W89" i="2"/>
  <c r="L89" i="2"/>
  <c r="M89" i="2" s="1"/>
  <c r="W88" i="2"/>
  <c r="V87" i="2"/>
  <c r="S84" i="2"/>
  <c r="P83" i="2"/>
  <c r="W82" i="2"/>
  <c r="M82" i="2"/>
  <c r="W75" i="2"/>
  <c r="L75" i="2"/>
  <c r="I75" i="2"/>
  <c r="V74" i="2"/>
  <c r="S71" i="2"/>
  <c r="P70" i="2"/>
  <c r="W68" i="2"/>
  <c r="L68" i="2"/>
  <c r="M68" i="2" s="1"/>
  <c r="V67" i="2"/>
  <c r="S64" i="2"/>
  <c r="P63" i="2"/>
  <c r="W61" i="2"/>
  <c r="L61" i="2"/>
  <c r="M61" i="2" s="1"/>
  <c r="W60" i="2"/>
  <c r="V59" i="2"/>
  <c r="S56" i="2"/>
  <c r="P55" i="2"/>
  <c r="W54" i="2"/>
  <c r="M54" i="2"/>
  <c r="X54" i="2" s="1"/>
  <c r="W47" i="2"/>
  <c r="L47" i="2"/>
  <c r="I47" i="2"/>
  <c r="V46" i="2"/>
  <c r="S43" i="2"/>
  <c r="P42" i="2"/>
  <c r="W40" i="2"/>
  <c r="L40" i="2"/>
  <c r="M40" i="2" s="1"/>
  <c r="V39" i="2"/>
  <c r="S36" i="2"/>
  <c r="P35" i="2"/>
  <c r="W33" i="2"/>
  <c r="L33" i="2"/>
  <c r="M33" i="2" s="1"/>
  <c r="W32" i="2"/>
  <c r="W26" i="2"/>
  <c r="J26" i="2"/>
  <c r="W19" i="2"/>
  <c r="L19" i="2"/>
  <c r="M19" i="2" s="1"/>
  <c r="I19" i="2"/>
  <c r="V18" i="2"/>
  <c r="S15" i="2"/>
  <c r="P14" i="2"/>
  <c r="W12" i="2"/>
  <c r="L12" i="2"/>
  <c r="M12" i="2" s="1"/>
  <c r="V11" i="2"/>
  <c r="S8" i="2"/>
  <c r="P7" i="2"/>
  <c r="W5" i="2"/>
  <c r="L5" i="2"/>
  <c r="M5" i="2" s="1"/>
  <c r="P279" i="1"/>
  <c r="S295" i="1"/>
  <c r="P294" i="1"/>
  <c r="P301" i="1"/>
  <c r="Y353" i="1"/>
  <c r="Y360" i="1"/>
  <c r="Y366" i="1"/>
  <c r="S351" i="1"/>
  <c r="S358" i="1"/>
  <c r="S364" i="1"/>
  <c r="AE368" i="1"/>
  <c r="AB368" i="1"/>
  <c r="Y368" i="1"/>
  <c r="V368" i="1"/>
  <c r="S368" i="1"/>
  <c r="P368" i="1"/>
  <c r="AE354" i="1"/>
  <c r="AH354" i="1" s="1"/>
  <c r="AH353" i="1"/>
  <c r="V352" i="1"/>
  <c r="AH352" i="1" s="1"/>
  <c r="AH351" i="1"/>
  <c r="P350" i="1"/>
  <c r="AH350" i="1" s="1"/>
  <c r="AB349" i="1"/>
  <c r="AH349" i="1" s="1"/>
  <c r="AE347" i="1"/>
  <c r="AH347" i="1" s="1"/>
  <c r="Y346" i="1"/>
  <c r="AH346" i="1" s="1"/>
  <c r="V345" i="1"/>
  <c r="AH345" i="1" s="1"/>
  <c r="S344" i="1"/>
  <c r="AH344" i="1" s="1"/>
  <c r="P343" i="1"/>
  <c r="AH343" i="1" s="1"/>
  <c r="AB342" i="1"/>
  <c r="AH342" i="1" s="1"/>
  <c r="AE326" i="1"/>
  <c r="AH326" i="1" s="1"/>
  <c r="Y325" i="1"/>
  <c r="AH325" i="1" s="1"/>
  <c r="V324" i="1"/>
  <c r="AH324" i="1" s="1"/>
  <c r="S323" i="1"/>
  <c r="AH323" i="1" s="1"/>
  <c r="P322" i="1"/>
  <c r="AH322" i="1" s="1"/>
  <c r="AB321" i="1"/>
  <c r="AH321" i="1" s="1"/>
  <c r="AE319" i="1"/>
  <c r="AH319" i="1" s="1"/>
  <c r="Y318" i="1"/>
  <c r="AH318" i="1" s="1"/>
  <c r="V317" i="1"/>
  <c r="AH317" i="1" s="1"/>
  <c r="S316" i="1"/>
  <c r="AH316" i="1" s="1"/>
  <c r="P315" i="1"/>
  <c r="AH315" i="1" s="1"/>
  <c r="AB314" i="1"/>
  <c r="AH314" i="1" s="1"/>
  <c r="AE311" i="1"/>
  <c r="AH311" i="1" s="1"/>
  <c r="Y310" i="1"/>
  <c r="AH310" i="1" s="1"/>
  <c r="V309" i="1"/>
  <c r="AH309" i="1" s="1"/>
  <c r="S308" i="1"/>
  <c r="AH308" i="1" s="1"/>
  <c r="P307" i="1"/>
  <c r="AH307" i="1" s="1"/>
  <c r="AE298" i="1"/>
  <c r="AH298" i="1" s="1"/>
  <c r="Y297" i="1"/>
  <c r="AH297" i="1" s="1"/>
  <c r="V296" i="1"/>
  <c r="AH296" i="1" s="1"/>
  <c r="AH295" i="1"/>
  <c r="AH294" i="1"/>
  <c r="AB293" i="1"/>
  <c r="AH293" i="1" s="1"/>
  <c r="AE291" i="1"/>
  <c r="AH291" i="1" s="1"/>
  <c r="Y290" i="1"/>
  <c r="AH290" i="1" s="1"/>
  <c r="V289" i="1"/>
  <c r="AH289" i="1" s="1"/>
  <c r="S288" i="1"/>
  <c r="AH288" i="1" s="1"/>
  <c r="P287" i="1"/>
  <c r="AH287" i="1" s="1"/>
  <c r="AB286" i="1"/>
  <c r="AH286" i="1" s="1"/>
  <c r="AE283" i="1"/>
  <c r="AH283" i="1" s="1"/>
  <c r="Y282" i="1"/>
  <c r="AH282" i="1" s="1"/>
  <c r="V281" i="1"/>
  <c r="AH281" i="1" s="1"/>
  <c r="S280" i="1"/>
  <c r="AH280" i="1" s="1"/>
  <c r="AH279" i="1"/>
  <c r="AE277" i="1"/>
  <c r="AH277" i="1" s="1"/>
  <c r="Y276" i="1"/>
  <c r="AH276" i="1" s="1"/>
  <c r="V275" i="1"/>
  <c r="AH275" i="1" s="1"/>
  <c r="S274" i="1"/>
  <c r="AH274" i="1" s="1"/>
  <c r="P273" i="1"/>
  <c r="AH273" i="1" s="1"/>
  <c r="AB272" i="1"/>
  <c r="AH272" i="1" s="1"/>
  <c r="AE270" i="1"/>
  <c r="AH270" i="1" s="1"/>
  <c r="Y269" i="1"/>
  <c r="AH269" i="1" s="1"/>
  <c r="V268" i="1"/>
  <c r="AH268" i="1" s="1"/>
  <c r="S267" i="1"/>
  <c r="AH267" i="1" s="1"/>
  <c r="P266" i="1"/>
  <c r="AH266" i="1" s="1"/>
  <c r="AB265" i="1"/>
  <c r="AH265" i="1" s="1"/>
  <c r="AE263" i="1"/>
  <c r="AH263" i="1" s="1"/>
  <c r="Y262" i="1"/>
  <c r="AH262" i="1" s="1"/>
  <c r="V261" i="1"/>
  <c r="AH261" i="1" s="1"/>
  <c r="S260" i="1"/>
  <c r="AH260" i="1" s="1"/>
  <c r="P259" i="1"/>
  <c r="AH259" i="1" s="1"/>
  <c r="AB258" i="1"/>
  <c r="AH258" i="1" s="1"/>
  <c r="AE242" i="1"/>
  <c r="AH242" i="1" s="1"/>
  <c r="Y241" i="1"/>
  <c r="AH241" i="1" s="1"/>
  <c r="V240" i="1"/>
  <c r="AH240" i="1" s="1"/>
  <c r="S239" i="1"/>
  <c r="AH239" i="1" s="1"/>
  <c r="P238" i="1"/>
  <c r="AH238" i="1" s="1"/>
  <c r="AB237" i="1"/>
  <c r="AH237" i="1" s="1"/>
  <c r="AE235" i="1"/>
  <c r="AH235" i="1" s="1"/>
  <c r="Y234" i="1"/>
  <c r="AH234" i="1" s="1"/>
  <c r="V233" i="1"/>
  <c r="AH233" i="1" s="1"/>
  <c r="S232" i="1"/>
  <c r="AH232" i="1" s="1"/>
  <c r="P231" i="1"/>
  <c r="AH231" i="1" s="1"/>
  <c r="AB230" i="1"/>
  <c r="AH230" i="1" s="1"/>
  <c r="AE227" i="1"/>
  <c r="AH227" i="1" s="1"/>
  <c r="Y226" i="1"/>
  <c r="AH226" i="1" s="1"/>
  <c r="V225" i="1"/>
  <c r="AH225" i="1" s="1"/>
  <c r="S224" i="1"/>
  <c r="AH224" i="1" s="1"/>
  <c r="P223" i="1"/>
  <c r="AH223" i="1" s="1"/>
  <c r="AE214" i="1"/>
  <c r="AH214" i="1" s="1"/>
  <c r="Y213" i="1"/>
  <c r="AH213" i="1" s="1"/>
  <c r="V212" i="1"/>
  <c r="AH212" i="1" s="1"/>
  <c r="S211" i="1"/>
  <c r="AH211" i="1" s="1"/>
  <c r="P210" i="1"/>
  <c r="AH210" i="1" s="1"/>
  <c r="AB209" i="1"/>
  <c r="AH209" i="1" s="1"/>
  <c r="AE207" i="1"/>
  <c r="AH207" i="1" s="1"/>
  <c r="Y206" i="1"/>
  <c r="AH206" i="1" s="1"/>
  <c r="V205" i="1"/>
  <c r="AH205" i="1" s="1"/>
  <c r="S204" i="1"/>
  <c r="AH204" i="1" s="1"/>
  <c r="P203" i="1"/>
  <c r="AH203" i="1" s="1"/>
  <c r="AB202" i="1"/>
  <c r="AH202" i="1" s="1"/>
  <c r="S196" i="1"/>
  <c r="AH196" i="1" s="1"/>
  <c r="AE199" i="1"/>
  <c r="AH199" i="1" s="1"/>
  <c r="Y198" i="1"/>
  <c r="AH198" i="1" s="1"/>
  <c r="V197" i="1"/>
  <c r="AH197" i="1" s="1"/>
  <c r="P195" i="1"/>
  <c r="AH195" i="1" s="1"/>
  <c r="AE186" i="1"/>
  <c r="AH186" i="1" s="1"/>
  <c r="Y185" i="1"/>
  <c r="AH185" i="1" s="1"/>
  <c r="V184" i="1"/>
  <c r="AH184" i="1" s="1"/>
  <c r="S183" i="1"/>
  <c r="AH183" i="1" s="1"/>
  <c r="P182" i="1"/>
  <c r="AH182" i="1" s="1"/>
  <c r="AB181" i="1"/>
  <c r="AH181" i="1" s="1"/>
  <c r="AE179" i="1"/>
  <c r="AH179" i="1" s="1"/>
  <c r="Y178" i="1"/>
  <c r="AH178" i="1" s="1"/>
  <c r="V177" i="1"/>
  <c r="AH177" i="1" s="1"/>
  <c r="S176" i="1"/>
  <c r="AH176" i="1" s="1"/>
  <c r="P175" i="1"/>
  <c r="AH175" i="1" s="1"/>
  <c r="AB174" i="1"/>
  <c r="AH174" i="1" s="1"/>
  <c r="AE158" i="1"/>
  <c r="AH158" i="1" s="1"/>
  <c r="Y157" i="1"/>
  <c r="AH157" i="1" s="1"/>
  <c r="V156" i="1"/>
  <c r="AH156" i="1" s="1"/>
  <c r="S155" i="1"/>
  <c r="AH155" i="1" s="1"/>
  <c r="P154" i="1"/>
  <c r="AH154" i="1" s="1"/>
  <c r="AB153" i="1"/>
  <c r="AH153" i="1" s="1"/>
  <c r="AE151" i="1"/>
  <c r="AH151" i="1" s="1"/>
  <c r="Y150" i="1"/>
  <c r="AH150" i="1" s="1"/>
  <c r="V149" i="1"/>
  <c r="AH149" i="1" s="1"/>
  <c r="S148" i="1"/>
  <c r="AH148" i="1" s="1"/>
  <c r="P147" i="1"/>
  <c r="AH147" i="1" s="1"/>
  <c r="AB146" i="1"/>
  <c r="AH146" i="1" s="1"/>
  <c r="AE143" i="1"/>
  <c r="AH143" i="1" s="1"/>
  <c r="Y142" i="1"/>
  <c r="AH142" i="1" s="1"/>
  <c r="V141" i="1"/>
  <c r="AH141" i="1" s="1"/>
  <c r="S140" i="1"/>
  <c r="AH140" i="1" s="1"/>
  <c r="P139" i="1"/>
  <c r="AH139" i="1" s="1"/>
  <c r="AE137" i="1"/>
  <c r="AH137" i="1" s="1"/>
  <c r="Y136" i="1"/>
  <c r="AH136" i="1" s="1"/>
  <c r="V135" i="1"/>
  <c r="AH135" i="1" s="1"/>
  <c r="S134" i="1"/>
  <c r="AH134" i="1" s="1"/>
  <c r="P133" i="1"/>
  <c r="AH133" i="1" s="1"/>
  <c r="AB132" i="1"/>
  <c r="AH132" i="1" s="1"/>
  <c r="AE130" i="1"/>
  <c r="AH130" i="1" s="1"/>
  <c r="Y129" i="1"/>
  <c r="AH129" i="1" s="1"/>
  <c r="V128" i="1"/>
  <c r="AH128" i="1" s="1"/>
  <c r="S127" i="1"/>
  <c r="AH127" i="1" s="1"/>
  <c r="P126" i="1"/>
  <c r="AH126" i="1" s="1"/>
  <c r="AB125" i="1"/>
  <c r="AH125" i="1" s="1"/>
  <c r="AE123" i="1"/>
  <c r="AH123" i="1" s="1"/>
  <c r="Y122" i="1"/>
  <c r="AH122" i="1" s="1"/>
  <c r="V121" i="1"/>
  <c r="AH121" i="1" s="1"/>
  <c r="S120" i="1"/>
  <c r="AH120" i="1" s="1"/>
  <c r="P119" i="1"/>
  <c r="AH119" i="1" s="1"/>
  <c r="AB118" i="1"/>
  <c r="AH118" i="1" s="1"/>
  <c r="AE115" i="1"/>
  <c r="AH115" i="1" s="1"/>
  <c r="Y114" i="1"/>
  <c r="AH114" i="1" s="1"/>
  <c r="V113" i="1"/>
  <c r="AH113" i="1" s="1"/>
  <c r="S112" i="1"/>
  <c r="AH112" i="1" s="1"/>
  <c r="P111" i="1"/>
  <c r="AH111" i="1" s="1"/>
  <c r="AE102" i="1"/>
  <c r="AH102" i="1" s="1"/>
  <c r="Y101" i="1"/>
  <c r="AH101" i="1" s="1"/>
  <c r="V100" i="1"/>
  <c r="AH100" i="1" s="1"/>
  <c r="S99" i="1"/>
  <c r="AH99" i="1" s="1"/>
  <c r="P98" i="1"/>
  <c r="AH98" i="1" s="1"/>
  <c r="AB97" i="1"/>
  <c r="AH97" i="1" s="1"/>
  <c r="AE95" i="1"/>
  <c r="AH95" i="1" s="1"/>
  <c r="Y94" i="1"/>
  <c r="AH94" i="1" s="1"/>
  <c r="V93" i="1"/>
  <c r="AH93" i="1" s="1"/>
  <c r="S92" i="1"/>
  <c r="AH92" i="1" s="1"/>
  <c r="P91" i="1"/>
  <c r="AH91" i="1" s="1"/>
  <c r="AB90" i="1"/>
  <c r="AH90" i="1" s="1"/>
  <c r="P63" i="1"/>
  <c r="AH63" i="1" s="1"/>
  <c r="P70" i="1"/>
  <c r="AH70" i="1" s="1"/>
  <c r="P83" i="1"/>
  <c r="AH83" i="1" s="1"/>
  <c r="AE87" i="1"/>
  <c r="AH87" i="1" s="1"/>
  <c r="Y86" i="1"/>
  <c r="AH86" i="1" s="1"/>
  <c r="V85" i="1"/>
  <c r="AH85" i="1" s="1"/>
  <c r="S84" i="1"/>
  <c r="AH84" i="1" s="1"/>
  <c r="AE74" i="1"/>
  <c r="AH74" i="1" s="1"/>
  <c r="Y73" i="1"/>
  <c r="AH73" i="1" s="1"/>
  <c r="V72" i="1"/>
  <c r="AH72" i="1" s="1"/>
  <c r="S71" i="1"/>
  <c r="AH71" i="1" s="1"/>
  <c r="AB69" i="1"/>
  <c r="AH69" i="1" s="1"/>
  <c r="AE67" i="1"/>
  <c r="AH67" i="1" s="1"/>
  <c r="Y66" i="1"/>
  <c r="AH66" i="1" s="1"/>
  <c r="V65" i="1"/>
  <c r="AH65" i="1" s="1"/>
  <c r="S64" i="1"/>
  <c r="AH64" i="1" s="1"/>
  <c r="AB62" i="1"/>
  <c r="AH62" i="1" s="1"/>
  <c r="P35" i="1"/>
  <c r="AH35" i="1" s="1"/>
  <c r="P42" i="1"/>
  <c r="AH42" i="1" s="1"/>
  <c r="P55" i="1"/>
  <c r="AH55" i="1" s="1"/>
  <c r="AE59" i="1"/>
  <c r="AH59" i="1" s="1"/>
  <c r="Y58" i="1"/>
  <c r="AH58" i="1" s="1"/>
  <c r="V57" i="1"/>
  <c r="AH57" i="1" s="1"/>
  <c r="S56" i="1"/>
  <c r="AH56" i="1" s="1"/>
  <c r="AE46" i="1"/>
  <c r="AH46" i="1" s="1"/>
  <c r="Y45" i="1"/>
  <c r="AH45" i="1" s="1"/>
  <c r="V44" i="1"/>
  <c r="AH44" i="1" s="1"/>
  <c r="S43" i="1"/>
  <c r="AH43" i="1" s="1"/>
  <c r="AB41" i="1"/>
  <c r="AH41" i="1" s="1"/>
  <c r="AE39" i="1"/>
  <c r="AH39" i="1" s="1"/>
  <c r="Y38" i="1"/>
  <c r="AH38" i="1" s="1"/>
  <c r="V37" i="1"/>
  <c r="AH37" i="1" s="1"/>
  <c r="S36" i="1"/>
  <c r="AH36" i="1" s="1"/>
  <c r="AB34" i="1"/>
  <c r="AH34" i="1" s="1"/>
  <c r="P14" i="1"/>
  <c r="AH14" i="1" s="1"/>
  <c r="AE194" i="1"/>
  <c r="AB13" i="1"/>
  <c r="AH13" i="1" s="1"/>
  <c r="AE18" i="1"/>
  <c r="AH18" i="1" s="1"/>
  <c r="Y17" i="1"/>
  <c r="AH17" i="1" s="1"/>
  <c r="V16" i="1"/>
  <c r="AH16" i="1" s="1"/>
  <c r="S15" i="1"/>
  <c r="AH15" i="1" s="1"/>
  <c r="Y10" i="1"/>
  <c r="AH10" i="1" s="1"/>
  <c r="V9" i="1"/>
  <c r="S8" i="1"/>
  <c r="P7" i="1"/>
  <c r="AB6" i="1"/>
  <c r="AE11" i="1"/>
  <c r="AH11" i="1" s="1"/>
  <c r="L5" i="1"/>
  <c r="M5" i="1" s="1"/>
  <c r="P5" i="1" s="1"/>
  <c r="AB194" i="1"/>
  <c r="Y194" i="1"/>
  <c r="V194" i="1"/>
  <c r="S194" i="1"/>
  <c r="P194" i="1"/>
  <c r="L348" i="1"/>
  <c r="L341" i="1"/>
  <c r="L320" i="1"/>
  <c r="L313" i="1"/>
  <c r="L292" i="1"/>
  <c r="L285" i="1"/>
  <c r="L264" i="1"/>
  <c r="L257" i="1"/>
  <c r="L236" i="1"/>
  <c r="L229" i="1"/>
  <c r="L208" i="1"/>
  <c r="L201" i="1"/>
  <c r="L180" i="1"/>
  <c r="L173" i="1"/>
  <c r="L152" i="1"/>
  <c r="L145" i="1"/>
  <c r="L124" i="1"/>
  <c r="L117" i="1"/>
  <c r="L96" i="1"/>
  <c r="L89" i="1"/>
  <c r="L40" i="1"/>
  <c r="L68" i="1"/>
  <c r="L12" i="1"/>
  <c r="M278" i="1"/>
  <c r="AE278" i="1" s="1"/>
  <c r="M327" i="2" l="1"/>
  <c r="M243" i="2"/>
  <c r="M47" i="2"/>
  <c r="M215" i="2"/>
  <c r="M355" i="2"/>
  <c r="M299" i="2"/>
  <c r="M187" i="2"/>
  <c r="M159" i="2"/>
  <c r="M103" i="2"/>
  <c r="M75" i="2"/>
  <c r="P245" i="2"/>
  <c r="V249" i="2"/>
  <c r="S246" i="2"/>
  <c r="P54" i="2"/>
  <c r="V54" i="2"/>
  <c r="S54" i="2"/>
  <c r="P363" i="2"/>
  <c r="V367" i="2"/>
  <c r="M362" i="2"/>
  <c r="M368" i="2" s="1"/>
  <c r="S364" i="2"/>
  <c r="P355" i="2"/>
  <c r="S355" i="2"/>
  <c r="V355" i="2"/>
  <c r="X355" i="2"/>
  <c r="P357" i="2"/>
  <c r="V361" i="2"/>
  <c r="S358" i="2"/>
  <c r="S348" i="2"/>
  <c r="V348" i="2"/>
  <c r="X348" i="2"/>
  <c r="P348" i="2"/>
  <c r="P341" i="2"/>
  <c r="S341" i="2"/>
  <c r="V341" i="2"/>
  <c r="X341" i="2"/>
  <c r="V339" i="2"/>
  <c r="S336" i="2"/>
  <c r="M334" i="2"/>
  <c r="P335" i="2"/>
  <c r="P327" i="2"/>
  <c r="S327" i="2"/>
  <c r="V327" i="2"/>
  <c r="X327" i="2"/>
  <c r="S330" i="2"/>
  <c r="V333" i="2"/>
  <c r="P329" i="2"/>
  <c r="S320" i="2"/>
  <c r="V320" i="2"/>
  <c r="X320" i="2"/>
  <c r="P320" i="2"/>
  <c r="S313" i="2"/>
  <c r="V313" i="2"/>
  <c r="M340" i="2"/>
  <c r="X340" i="2" s="1"/>
  <c r="P313" i="2"/>
  <c r="X313" i="2"/>
  <c r="S306" i="2"/>
  <c r="P306" i="2"/>
  <c r="V306" i="2"/>
  <c r="X306" i="2"/>
  <c r="S299" i="2"/>
  <c r="V299" i="2"/>
  <c r="X299" i="2"/>
  <c r="P299" i="2"/>
  <c r="P301" i="2"/>
  <c r="S302" i="2"/>
  <c r="V305" i="2"/>
  <c r="S292" i="2"/>
  <c r="P292" i="2"/>
  <c r="V292" i="2"/>
  <c r="X292" i="2"/>
  <c r="P285" i="2"/>
  <c r="S285" i="2"/>
  <c r="V285" i="2"/>
  <c r="X285" i="2"/>
  <c r="M312" i="2"/>
  <c r="X312" i="2" s="1"/>
  <c r="P278" i="2"/>
  <c r="X278" i="2"/>
  <c r="V278" i="2"/>
  <c r="S278" i="2"/>
  <c r="S271" i="2"/>
  <c r="V271" i="2"/>
  <c r="X271" i="2"/>
  <c r="P271" i="2"/>
  <c r="S264" i="2"/>
  <c r="V264" i="2"/>
  <c r="X264" i="2"/>
  <c r="P264" i="2"/>
  <c r="M284" i="2"/>
  <c r="X284" i="2" s="1"/>
  <c r="P257" i="2"/>
  <c r="P284" i="2" s="1"/>
  <c r="S257" i="2"/>
  <c r="S284" i="2" s="1"/>
  <c r="V257" i="2"/>
  <c r="X257" i="2"/>
  <c r="V255" i="2"/>
  <c r="S252" i="2"/>
  <c r="M250" i="2"/>
  <c r="M256" i="2" s="1"/>
  <c r="X256" i="2" s="1"/>
  <c r="P251" i="2"/>
  <c r="P243" i="2"/>
  <c r="S243" i="2"/>
  <c r="V243" i="2"/>
  <c r="X243" i="2"/>
  <c r="P236" i="2"/>
  <c r="S236" i="2"/>
  <c r="V236" i="2"/>
  <c r="X236" i="2"/>
  <c r="P229" i="2"/>
  <c r="S229" i="2"/>
  <c r="V229" i="2"/>
  <c r="X229" i="2"/>
  <c r="S222" i="2"/>
  <c r="P222" i="2"/>
  <c r="X222" i="2"/>
  <c r="V222" i="2"/>
  <c r="P215" i="2"/>
  <c r="S215" i="2"/>
  <c r="V215" i="2"/>
  <c r="X215" i="2"/>
  <c r="V221" i="2"/>
  <c r="S218" i="2"/>
  <c r="P217" i="2"/>
  <c r="P208" i="2"/>
  <c r="S208" i="2"/>
  <c r="V208" i="2"/>
  <c r="X208" i="2"/>
  <c r="P201" i="2"/>
  <c r="P228" i="2" s="1"/>
  <c r="S201" i="2"/>
  <c r="S228" i="2" s="1"/>
  <c r="V201" i="2"/>
  <c r="X201" i="2"/>
  <c r="M228" i="2"/>
  <c r="X228" i="2" s="1"/>
  <c r="P187" i="2"/>
  <c r="S187" i="2"/>
  <c r="V187" i="2"/>
  <c r="X187" i="2"/>
  <c r="P189" i="2"/>
  <c r="V193" i="2"/>
  <c r="S190" i="2"/>
  <c r="P180" i="2"/>
  <c r="S180" i="2"/>
  <c r="V180" i="2"/>
  <c r="X180" i="2"/>
  <c r="P173" i="2"/>
  <c r="S173" i="2"/>
  <c r="V173" i="2"/>
  <c r="X173" i="2"/>
  <c r="M200" i="2"/>
  <c r="X200" i="2" s="1"/>
  <c r="V171" i="2"/>
  <c r="P167" i="2"/>
  <c r="S168" i="2"/>
  <c r="M166" i="2"/>
  <c r="P159" i="2"/>
  <c r="S159" i="2"/>
  <c r="V159" i="2"/>
  <c r="X159" i="2"/>
  <c r="S162" i="2"/>
  <c r="V165" i="2"/>
  <c r="P161" i="2"/>
  <c r="P152" i="2"/>
  <c r="S152" i="2"/>
  <c r="V152" i="2"/>
  <c r="X152" i="2"/>
  <c r="P145" i="2"/>
  <c r="S145" i="2"/>
  <c r="V145" i="2"/>
  <c r="X145" i="2"/>
  <c r="M172" i="2"/>
  <c r="X172" i="2" s="1"/>
  <c r="X138" i="2"/>
  <c r="P138" i="2"/>
  <c r="V138" i="2"/>
  <c r="S138" i="2"/>
  <c r="P131" i="2"/>
  <c r="S131" i="2"/>
  <c r="V131" i="2"/>
  <c r="X131" i="2"/>
  <c r="P124" i="2"/>
  <c r="S124" i="2"/>
  <c r="V124" i="2"/>
  <c r="X124" i="2"/>
  <c r="P117" i="2"/>
  <c r="S117" i="2"/>
  <c r="V117" i="2"/>
  <c r="X117" i="2"/>
  <c r="M144" i="2"/>
  <c r="X144" i="2" s="1"/>
  <c r="X110" i="2"/>
  <c r="V110" i="2"/>
  <c r="P110" i="2"/>
  <c r="S110" i="2"/>
  <c r="S103" i="2"/>
  <c r="V103" i="2"/>
  <c r="X103" i="2"/>
  <c r="P103" i="2"/>
  <c r="V109" i="2"/>
  <c r="S106" i="2"/>
  <c r="P105" i="2"/>
  <c r="S96" i="2"/>
  <c r="P96" i="2"/>
  <c r="V96" i="2"/>
  <c r="X96" i="2"/>
  <c r="M116" i="2"/>
  <c r="X116" i="2" s="1"/>
  <c r="P89" i="2"/>
  <c r="P116" i="2" s="1"/>
  <c r="V89" i="2"/>
  <c r="S89" i="2"/>
  <c r="S116" i="2" s="1"/>
  <c r="X89" i="2"/>
  <c r="S82" i="2"/>
  <c r="X82" i="2"/>
  <c r="P82" i="2"/>
  <c r="V82" i="2"/>
  <c r="P77" i="2"/>
  <c r="V81" i="2"/>
  <c r="S78" i="2"/>
  <c r="V68" i="2"/>
  <c r="S68" i="2"/>
  <c r="P68" i="2"/>
  <c r="X68" i="2"/>
  <c r="V61" i="2"/>
  <c r="P61" i="2"/>
  <c r="X61" i="2"/>
  <c r="S61" i="2"/>
  <c r="M88" i="2"/>
  <c r="X88" i="2" s="1"/>
  <c r="P47" i="2"/>
  <c r="S47" i="2"/>
  <c r="V47" i="2"/>
  <c r="X47" i="2"/>
  <c r="P49" i="2"/>
  <c r="V53" i="2"/>
  <c r="S50" i="2"/>
  <c r="P40" i="2"/>
  <c r="S40" i="2"/>
  <c r="V40" i="2"/>
  <c r="X40" i="2"/>
  <c r="P33" i="2"/>
  <c r="P60" i="2" s="1"/>
  <c r="S33" i="2"/>
  <c r="S60" i="2" s="1"/>
  <c r="V33" i="2"/>
  <c r="X33" i="2"/>
  <c r="M60" i="2"/>
  <c r="X60" i="2" s="1"/>
  <c r="M26" i="2"/>
  <c r="M32" i="2" s="1"/>
  <c r="X32" i="2" s="1"/>
  <c r="P27" i="2"/>
  <c r="S28" i="2"/>
  <c r="V31" i="2"/>
  <c r="P19" i="2"/>
  <c r="S19" i="2"/>
  <c r="V19" i="2"/>
  <c r="X19" i="2"/>
  <c r="V25" i="2"/>
  <c r="S22" i="2"/>
  <c r="P21" i="2"/>
  <c r="P12" i="2"/>
  <c r="S12" i="2"/>
  <c r="V12" i="2"/>
  <c r="X12" i="2"/>
  <c r="P5" i="2"/>
  <c r="S5" i="2"/>
  <c r="V5" i="2"/>
  <c r="X5" i="2"/>
  <c r="AE255" i="1"/>
  <c r="AH255" i="1" s="1"/>
  <c r="Y254" i="1"/>
  <c r="AH254" i="1" s="1"/>
  <c r="V253" i="1"/>
  <c r="AH253" i="1" s="1"/>
  <c r="S252" i="1"/>
  <c r="AH252" i="1" s="1"/>
  <c r="P251" i="1"/>
  <c r="AH251" i="1" s="1"/>
  <c r="AH9" i="1"/>
  <c r="AH8" i="1"/>
  <c r="AH7" i="1"/>
  <c r="AH6" i="1"/>
  <c r="P278" i="1"/>
  <c r="V278" i="1"/>
  <c r="Y278" i="1"/>
  <c r="AB278" i="1"/>
  <c r="S278" i="1"/>
  <c r="P312" i="2" l="1"/>
  <c r="V75" i="2"/>
  <c r="P75" i="2"/>
  <c r="X75" i="2"/>
  <c r="S75" i="2"/>
  <c r="S312" i="2"/>
  <c r="P200" i="2"/>
  <c r="P88" i="2"/>
  <c r="S88" i="2"/>
  <c r="S362" i="2"/>
  <c r="S368" i="2" s="1"/>
  <c r="X362" i="2"/>
  <c r="P362" i="2"/>
  <c r="P368" i="2" s="1"/>
  <c r="V362" i="2"/>
  <c r="V368" i="2"/>
  <c r="X368" i="2"/>
  <c r="M369" i="2"/>
  <c r="X369" i="2" s="1"/>
  <c r="S334" i="2"/>
  <c r="S340" i="2" s="1"/>
  <c r="P334" i="2"/>
  <c r="P340" i="2" s="1"/>
  <c r="V334" i="2"/>
  <c r="X334" i="2"/>
  <c r="V312" i="2"/>
  <c r="V284" i="2"/>
  <c r="S250" i="2"/>
  <c r="S256" i="2" s="1"/>
  <c r="P250" i="2"/>
  <c r="P256" i="2" s="1"/>
  <c r="V250" i="2"/>
  <c r="X250" i="2"/>
  <c r="V256" i="2"/>
  <c r="V228" i="2"/>
  <c r="V200" i="2"/>
  <c r="P166" i="2"/>
  <c r="P172" i="2" s="1"/>
  <c r="S166" i="2"/>
  <c r="S172" i="2" s="1"/>
  <c r="V166" i="2"/>
  <c r="X166" i="2"/>
  <c r="V172" i="2"/>
  <c r="V144" i="2"/>
  <c r="V116" i="2"/>
  <c r="V88" i="2"/>
  <c r="V60" i="2"/>
  <c r="P26" i="2"/>
  <c r="P32" i="2" s="1"/>
  <c r="S26" i="2"/>
  <c r="S32" i="2" s="1"/>
  <c r="V26" i="2"/>
  <c r="X26" i="2"/>
  <c r="S200" i="2"/>
  <c r="P144" i="2"/>
  <c r="S144" i="2"/>
  <c r="AG278" i="1"/>
  <c r="AF138" i="1"/>
  <c r="M54" i="1"/>
  <c r="AE54" i="1" s="1"/>
  <c r="M306" i="1"/>
  <c r="AE306" i="1" s="1"/>
  <c r="M250" i="1"/>
  <c r="AE250" i="1" s="1"/>
  <c r="M222" i="1"/>
  <c r="AE222" i="1" s="1"/>
  <c r="M138" i="1"/>
  <c r="AE138" i="1" s="1"/>
  <c r="M110" i="1"/>
  <c r="AE110" i="1" s="1"/>
  <c r="M82" i="1"/>
  <c r="AE82" i="1" s="1"/>
  <c r="J26" i="1"/>
  <c r="J166" i="1"/>
  <c r="J362" i="1"/>
  <c r="J334" i="1"/>
  <c r="I355" i="1"/>
  <c r="I327" i="1"/>
  <c r="I299" i="1"/>
  <c r="AF368" i="1"/>
  <c r="AF362" i="1"/>
  <c r="AF355" i="1"/>
  <c r="L355" i="1"/>
  <c r="AF348" i="1"/>
  <c r="M348" i="1"/>
  <c r="AE348" i="1" s="1"/>
  <c r="AF341" i="1"/>
  <c r="M341" i="1"/>
  <c r="AE341" i="1" s="1"/>
  <c r="AF340" i="1"/>
  <c r="AF334" i="1"/>
  <c r="AF327" i="1"/>
  <c r="L327" i="1"/>
  <c r="AF320" i="1"/>
  <c r="M320" i="1"/>
  <c r="AE320" i="1" s="1"/>
  <c r="AF313" i="1"/>
  <c r="M313" i="1"/>
  <c r="AF312" i="1"/>
  <c r="AF306" i="1"/>
  <c r="AF299" i="1"/>
  <c r="L299" i="1"/>
  <c r="AF292" i="1"/>
  <c r="M292" i="1"/>
  <c r="AE292" i="1" s="1"/>
  <c r="AF285" i="1"/>
  <c r="M285" i="1"/>
  <c r="AF12" i="1"/>
  <c r="AF19" i="1"/>
  <c r="AF26" i="1"/>
  <c r="AF32" i="1"/>
  <c r="AF33" i="1"/>
  <c r="AF40" i="1"/>
  <c r="AF47" i="1"/>
  <c r="AF54" i="1"/>
  <c r="AF60" i="1"/>
  <c r="AF75" i="1"/>
  <c r="AF82" i="1"/>
  <c r="AF88" i="1"/>
  <c r="AF89" i="1"/>
  <c r="AF96" i="1"/>
  <c r="AF103" i="1"/>
  <c r="AF110" i="1"/>
  <c r="AF116" i="1"/>
  <c r="AF117" i="1"/>
  <c r="AF124" i="1"/>
  <c r="AF131" i="1"/>
  <c r="AF144" i="1"/>
  <c r="AF145" i="1"/>
  <c r="AF152" i="1"/>
  <c r="AF159" i="1"/>
  <c r="AF166" i="1"/>
  <c r="AF172" i="1"/>
  <c r="AF173" i="1"/>
  <c r="AF180" i="1"/>
  <c r="AF187" i="1"/>
  <c r="AF194" i="1"/>
  <c r="AG194" i="1"/>
  <c r="AF200" i="1"/>
  <c r="AF201" i="1"/>
  <c r="AF208" i="1"/>
  <c r="AF215" i="1"/>
  <c r="AF222" i="1"/>
  <c r="AF228" i="1"/>
  <c r="AF229" i="1"/>
  <c r="AF236" i="1"/>
  <c r="AF243" i="1"/>
  <c r="AF250" i="1"/>
  <c r="AF256" i="1"/>
  <c r="AF257" i="1"/>
  <c r="AF264" i="1"/>
  <c r="AF271" i="1"/>
  <c r="AF278" i="1"/>
  <c r="AF284" i="1"/>
  <c r="M264" i="1"/>
  <c r="AE264" i="1" s="1"/>
  <c r="M236" i="1"/>
  <c r="AE236" i="1" s="1"/>
  <c r="M208" i="1"/>
  <c r="AE208" i="1" s="1"/>
  <c r="M180" i="1"/>
  <c r="AE180" i="1" s="1"/>
  <c r="M124" i="1"/>
  <c r="AE124" i="1" s="1"/>
  <c r="M96" i="1"/>
  <c r="AE96" i="1" s="1"/>
  <c r="M68" i="1"/>
  <c r="AE68" i="1" s="1"/>
  <c r="M40" i="1"/>
  <c r="AE40" i="1" s="1"/>
  <c r="M12" i="1"/>
  <c r="M152" i="1"/>
  <c r="AE152" i="1" s="1"/>
  <c r="M257" i="1"/>
  <c r="M229" i="1"/>
  <c r="M201" i="1"/>
  <c r="M173" i="1"/>
  <c r="M145" i="1"/>
  <c r="M117" i="1"/>
  <c r="M89" i="1"/>
  <c r="L271" i="1"/>
  <c r="M271" i="1" s="1"/>
  <c r="AE271" i="1" s="1"/>
  <c r="L243" i="1"/>
  <c r="I243" i="1"/>
  <c r="I215" i="1"/>
  <c r="I187" i="1"/>
  <c r="I159" i="1"/>
  <c r="I103" i="1"/>
  <c r="L215" i="1"/>
  <c r="L187" i="1"/>
  <c r="L159" i="1"/>
  <c r="L131" i="1"/>
  <c r="M131" i="1" s="1"/>
  <c r="AE131" i="1" s="1"/>
  <c r="L103" i="1"/>
  <c r="L75" i="1"/>
  <c r="L61" i="1"/>
  <c r="M61" i="1" s="1"/>
  <c r="L33" i="1"/>
  <c r="M33" i="1" s="1"/>
  <c r="L47" i="1"/>
  <c r="L19" i="1"/>
  <c r="I75" i="1"/>
  <c r="P77" i="1" s="1"/>
  <c r="I47" i="1"/>
  <c r="P49" i="1" s="1"/>
  <c r="I19" i="1"/>
  <c r="P21" i="1" s="1"/>
  <c r="AF5" i="1"/>
  <c r="V340" i="2" l="1"/>
  <c r="S369" i="2"/>
  <c r="P369" i="2"/>
  <c r="V32" i="2"/>
  <c r="M362" i="1"/>
  <c r="AE362" i="1" s="1"/>
  <c r="AE367" i="1"/>
  <c r="AH367" i="1" s="1"/>
  <c r="AH366" i="1"/>
  <c r="V365" i="1"/>
  <c r="AH365" i="1" s="1"/>
  <c r="AH364" i="1"/>
  <c r="P363" i="1"/>
  <c r="AH363" i="1" s="1"/>
  <c r="AE361" i="1"/>
  <c r="AH361" i="1" s="1"/>
  <c r="AH360" i="1"/>
  <c r="V359" i="1"/>
  <c r="AH359" i="1" s="1"/>
  <c r="AH358" i="1"/>
  <c r="P357" i="1"/>
  <c r="AH357" i="1" s="1"/>
  <c r="AB356" i="1"/>
  <c r="AH356" i="1" s="1"/>
  <c r="AE313" i="1"/>
  <c r="M334" i="1"/>
  <c r="Y338" i="1"/>
  <c r="AH338" i="1" s="1"/>
  <c r="S336" i="1"/>
  <c r="AH336" i="1" s="1"/>
  <c r="AE339" i="1"/>
  <c r="AH339" i="1" s="1"/>
  <c r="V337" i="1"/>
  <c r="AH337" i="1" s="1"/>
  <c r="P335" i="1"/>
  <c r="AH335" i="1" s="1"/>
  <c r="AE333" i="1"/>
  <c r="AH333" i="1" s="1"/>
  <c r="Y332" i="1"/>
  <c r="AH332" i="1" s="1"/>
  <c r="V331" i="1"/>
  <c r="AH331" i="1" s="1"/>
  <c r="S330" i="1"/>
  <c r="AH330" i="1" s="1"/>
  <c r="P329" i="1"/>
  <c r="AH329" i="1" s="1"/>
  <c r="AB328" i="1"/>
  <c r="AH328" i="1" s="1"/>
  <c r="AE285" i="1"/>
  <c r="AE305" i="1"/>
  <c r="AH305" i="1" s="1"/>
  <c r="Y304" i="1"/>
  <c r="AH304" i="1" s="1"/>
  <c r="V303" i="1"/>
  <c r="AH303" i="1" s="1"/>
  <c r="S302" i="1"/>
  <c r="AH302" i="1" s="1"/>
  <c r="AB300" i="1"/>
  <c r="AH300" i="1" s="1"/>
  <c r="AH301" i="1"/>
  <c r="AE257" i="1"/>
  <c r="AE284" i="1" s="1"/>
  <c r="M284" i="1"/>
  <c r="AE229" i="1"/>
  <c r="AE249" i="1"/>
  <c r="AH249" i="1" s="1"/>
  <c r="Y248" i="1"/>
  <c r="AH248" i="1" s="1"/>
  <c r="V247" i="1"/>
  <c r="AH247" i="1" s="1"/>
  <c r="S246" i="1"/>
  <c r="AH246" i="1" s="1"/>
  <c r="P245" i="1"/>
  <c r="AH245" i="1" s="1"/>
  <c r="AB244" i="1"/>
  <c r="AH244" i="1" s="1"/>
  <c r="AE201" i="1"/>
  <c r="AE221" i="1"/>
  <c r="AH221" i="1" s="1"/>
  <c r="Y220" i="1"/>
  <c r="AH220" i="1" s="1"/>
  <c r="V219" i="1"/>
  <c r="AH219" i="1" s="1"/>
  <c r="S218" i="1"/>
  <c r="AH218" i="1" s="1"/>
  <c r="P217" i="1"/>
  <c r="AH217" i="1" s="1"/>
  <c r="AB216" i="1"/>
  <c r="AH216" i="1" s="1"/>
  <c r="AE173" i="1"/>
  <c r="AE193" i="1"/>
  <c r="AH193" i="1" s="1"/>
  <c r="Y192" i="1"/>
  <c r="AH192" i="1" s="1"/>
  <c r="V191" i="1"/>
  <c r="AH191" i="1" s="1"/>
  <c r="S190" i="1"/>
  <c r="AH190" i="1" s="1"/>
  <c r="P189" i="1"/>
  <c r="AH189" i="1" s="1"/>
  <c r="AB188" i="1"/>
  <c r="AH188" i="1" s="1"/>
  <c r="AE145" i="1"/>
  <c r="M166" i="1"/>
  <c r="V169" i="1"/>
  <c r="AH169" i="1" s="1"/>
  <c r="P167" i="1"/>
  <c r="AH167" i="1" s="1"/>
  <c r="AE171" i="1"/>
  <c r="AH171" i="1" s="1"/>
  <c r="Y170" i="1"/>
  <c r="AH170" i="1" s="1"/>
  <c r="S168" i="1"/>
  <c r="AH168" i="1" s="1"/>
  <c r="Y164" i="1"/>
  <c r="AH164" i="1" s="1"/>
  <c r="V163" i="1"/>
  <c r="AH163" i="1" s="1"/>
  <c r="AE165" i="1"/>
  <c r="AH165" i="1" s="1"/>
  <c r="S162" i="1"/>
  <c r="AH162" i="1" s="1"/>
  <c r="P161" i="1"/>
  <c r="AH161" i="1" s="1"/>
  <c r="AB160" i="1"/>
  <c r="AH160" i="1" s="1"/>
  <c r="AE117" i="1"/>
  <c r="AE144" i="1" s="1"/>
  <c r="M144" i="1"/>
  <c r="AE89" i="1"/>
  <c r="AE109" i="1"/>
  <c r="AH109" i="1" s="1"/>
  <c r="Y108" i="1"/>
  <c r="AH108" i="1" s="1"/>
  <c r="V107" i="1"/>
  <c r="AH107" i="1" s="1"/>
  <c r="P105" i="1"/>
  <c r="AH105" i="1" s="1"/>
  <c r="AB104" i="1"/>
  <c r="AH104" i="1" s="1"/>
  <c r="S106" i="1"/>
  <c r="AH106" i="1" s="1"/>
  <c r="AE61" i="1"/>
  <c r="Y80" i="1"/>
  <c r="AH80" i="1" s="1"/>
  <c r="V79" i="1"/>
  <c r="AH79" i="1" s="1"/>
  <c r="S78" i="1"/>
  <c r="AH78" i="1" s="1"/>
  <c r="AE81" i="1"/>
  <c r="AH81" i="1" s="1"/>
  <c r="AH77" i="1"/>
  <c r="AB76" i="1"/>
  <c r="AH76" i="1" s="1"/>
  <c r="AE33" i="1"/>
  <c r="AE53" i="1"/>
  <c r="AH53" i="1" s="1"/>
  <c r="S50" i="1"/>
  <c r="AH50" i="1" s="1"/>
  <c r="AH49" i="1"/>
  <c r="Y52" i="1"/>
  <c r="AH52" i="1" s="1"/>
  <c r="V51" i="1"/>
  <c r="AH51" i="1" s="1"/>
  <c r="AB48" i="1"/>
  <c r="AH48" i="1" s="1"/>
  <c r="M26" i="1"/>
  <c r="AE31" i="1"/>
  <c r="AH31" i="1" s="1"/>
  <c r="V29" i="1"/>
  <c r="AH29" i="1" s="1"/>
  <c r="S28" i="1"/>
  <c r="AH28" i="1" s="1"/>
  <c r="Y30" i="1"/>
  <c r="AH30" i="1" s="1"/>
  <c r="P27" i="1"/>
  <c r="AH27" i="1" s="1"/>
  <c r="AB20" i="1"/>
  <c r="AH20" i="1" s="1"/>
  <c r="V23" i="1"/>
  <c r="AH23" i="1" s="1"/>
  <c r="S22" i="1"/>
  <c r="AH22" i="1" s="1"/>
  <c r="AH21" i="1"/>
  <c r="AE25" i="1"/>
  <c r="AH25" i="1" s="1"/>
  <c r="Y24" i="1"/>
  <c r="AH24" i="1" s="1"/>
  <c r="AB110" i="1"/>
  <c r="Y110" i="1"/>
  <c r="P110" i="1"/>
  <c r="V110" i="1"/>
  <c r="S110" i="1"/>
  <c r="V138" i="1"/>
  <c r="S138" i="1"/>
  <c r="P138" i="1"/>
  <c r="AB138" i="1"/>
  <c r="Y138" i="1"/>
  <c r="AB341" i="1"/>
  <c r="Y341" i="1"/>
  <c r="V341" i="1"/>
  <c r="S341" i="1"/>
  <c r="P341" i="1"/>
  <c r="V320" i="1"/>
  <c r="Y320" i="1"/>
  <c r="S320" i="1"/>
  <c r="P320" i="1"/>
  <c r="AB320" i="1"/>
  <c r="S348" i="1"/>
  <c r="AB348" i="1"/>
  <c r="Y348" i="1"/>
  <c r="P348" i="1"/>
  <c r="V348" i="1"/>
  <c r="AE5" i="1"/>
  <c r="AB5" i="1"/>
  <c r="V5" i="1"/>
  <c r="S5" i="1"/>
  <c r="Y5" i="1"/>
  <c r="AB271" i="1"/>
  <c r="Y271" i="1"/>
  <c r="V271" i="1"/>
  <c r="S271" i="1"/>
  <c r="P271" i="1"/>
  <c r="V152" i="1"/>
  <c r="S152" i="1"/>
  <c r="P152" i="1"/>
  <c r="AB152" i="1"/>
  <c r="Y152" i="1"/>
  <c r="V96" i="1"/>
  <c r="S96" i="1"/>
  <c r="P96" i="1"/>
  <c r="AB96" i="1"/>
  <c r="Y96" i="1"/>
  <c r="V250" i="1"/>
  <c r="S250" i="1"/>
  <c r="AB250" i="1"/>
  <c r="P250" i="1"/>
  <c r="Y250" i="1"/>
  <c r="P313" i="1"/>
  <c r="S313" i="1"/>
  <c r="Y313" i="1"/>
  <c r="V313" i="1"/>
  <c r="AB313" i="1"/>
  <c r="S292" i="1"/>
  <c r="AB292" i="1"/>
  <c r="Y292" i="1"/>
  <c r="P292" i="1"/>
  <c r="V292" i="1"/>
  <c r="S222" i="1"/>
  <c r="AB222" i="1"/>
  <c r="Y222" i="1"/>
  <c r="V222" i="1"/>
  <c r="P222" i="1"/>
  <c r="P89" i="1"/>
  <c r="Y89" i="1"/>
  <c r="V89" i="1"/>
  <c r="AB89" i="1"/>
  <c r="S89" i="1"/>
  <c r="AB12" i="1"/>
  <c r="V12" i="1"/>
  <c r="P12" i="1"/>
  <c r="AE12" i="1"/>
  <c r="Y12" i="1"/>
  <c r="S12" i="1"/>
  <c r="P124" i="1"/>
  <c r="AB124" i="1"/>
  <c r="Y124" i="1"/>
  <c r="S124" i="1"/>
  <c r="V124" i="1"/>
  <c r="V362" i="1"/>
  <c r="S362" i="1"/>
  <c r="P362" i="1"/>
  <c r="AB362" i="1"/>
  <c r="Y362" i="1"/>
  <c r="V306" i="1"/>
  <c r="S306" i="1"/>
  <c r="P306" i="1"/>
  <c r="AB306" i="1"/>
  <c r="Y306" i="1"/>
  <c r="V264" i="1"/>
  <c r="Y264" i="1"/>
  <c r="S264" i="1"/>
  <c r="P264" i="1"/>
  <c r="AB264" i="1"/>
  <c r="P61" i="1"/>
  <c r="Y61" i="1"/>
  <c r="V61" i="1"/>
  <c r="AB61" i="1"/>
  <c r="S61" i="1"/>
  <c r="V54" i="1"/>
  <c r="S54" i="1"/>
  <c r="P54" i="1"/>
  <c r="AB54" i="1"/>
  <c r="Y54" i="1"/>
  <c r="P131" i="1"/>
  <c r="Y131" i="1"/>
  <c r="V131" i="1"/>
  <c r="AB131" i="1"/>
  <c r="S131" i="1"/>
  <c r="AB117" i="1"/>
  <c r="Y117" i="1"/>
  <c r="V117" i="1"/>
  <c r="S117" i="1"/>
  <c r="P117" i="1"/>
  <c r="P145" i="1"/>
  <c r="Y145" i="1"/>
  <c r="S145" i="1"/>
  <c r="V145" i="1"/>
  <c r="AB145" i="1"/>
  <c r="V68" i="1"/>
  <c r="S68" i="1"/>
  <c r="P68" i="1"/>
  <c r="AB68" i="1"/>
  <c r="Y68" i="1"/>
  <c r="V208" i="1"/>
  <c r="Y208" i="1"/>
  <c r="S208" i="1"/>
  <c r="AB208" i="1"/>
  <c r="P208" i="1"/>
  <c r="P201" i="1"/>
  <c r="S201" i="1"/>
  <c r="Y201" i="1"/>
  <c r="V201" i="1"/>
  <c r="AB201" i="1"/>
  <c r="AB285" i="1"/>
  <c r="Y285" i="1"/>
  <c r="V285" i="1"/>
  <c r="S285" i="1"/>
  <c r="P285" i="1"/>
  <c r="S33" i="1"/>
  <c r="Y33" i="1"/>
  <c r="AB33" i="1"/>
  <c r="P33" i="1"/>
  <c r="V33" i="1"/>
  <c r="AB229" i="1"/>
  <c r="Y229" i="1"/>
  <c r="V229" i="1"/>
  <c r="S229" i="1"/>
  <c r="P229" i="1"/>
  <c r="P257" i="1"/>
  <c r="S257" i="1"/>
  <c r="V257" i="1"/>
  <c r="AB257" i="1"/>
  <c r="Y257" i="1"/>
  <c r="V40" i="1"/>
  <c r="Y40" i="1"/>
  <c r="S40" i="1"/>
  <c r="AB40" i="1"/>
  <c r="P40" i="1"/>
  <c r="AB180" i="1"/>
  <c r="Y180" i="1"/>
  <c r="P180" i="1"/>
  <c r="V180" i="1"/>
  <c r="S180" i="1"/>
  <c r="AB173" i="1"/>
  <c r="Y173" i="1"/>
  <c r="V173" i="1"/>
  <c r="S173" i="1"/>
  <c r="P173" i="1"/>
  <c r="S236" i="1"/>
  <c r="AB236" i="1"/>
  <c r="Y236" i="1"/>
  <c r="V236" i="1"/>
  <c r="P236" i="1"/>
  <c r="AB82" i="1"/>
  <c r="Y82" i="1"/>
  <c r="S82" i="1"/>
  <c r="V82" i="1"/>
  <c r="P82" i="1"/>
  <c r="M327" i="1"/>
  <c r="M299" i="1"/>
  <c r="M355" i="1"/>
  <c r="AE355" i="1" s="1"/>
  <c r="AF68" i="1"/>
  <c r="AF61" i="1"/>
  <c r="M159" i="1"/>
  <c r="M75" i="1"/>
  <c r="M243" i="1"/>
  <c r="M215" i="1"/>
  <c r="M187" i="1"/>
  <c r="M103" i="1"/>
  <c r="M47" i="1"/>
  <c r="M19" i="1"/>
  <c r="V369" i="2" l="1"/>
  <c r="AE327" i="1"/>
  <c r="AE334" i="1"/>
  <c r="AE340" i="1" s="1"/>
  <c r="AB334" i="1"/>
  <c r="Y334" i="1"/>
  <c r="S334" i="1"/>
  <c r="V334" i="1"/>
  <c r="P334" i="1"/>
  <c r="AE299" i="1"/>
  <c r="AE312" i="1" s="1"/>
  <c r="AB284" i="1"/>
  <c r="V284" i="1"/>
  <c r="Y284" i="1"/>
  <c r="AE243" i="1"/>
  <c r="AE256" i="1" s="1"/>
  <c r="M256" i="1"/>
  <c r="AE215" i="1"/>
  <c r="AE228" i="1" s="1"/>
  <c r="M228" i="1"/>
  <c r="AE187" i="1"/>
  <c r="AE200" i="1" s="1"/>
  <c r="M200" i="1"/>
  <c r="Y144" i="1"/>
  <c r="AE166" i="1"/>
  <c r="S166" i="1"/>
  <c r="AB166" i="1"/>
  <c r="Y166" i="1"/>
  <c r="P166" i="1"/>
  <c r="V166" i="1"/>
  <c r="AE159" i="1"/>
  <c r="AE172" i="1" s="1"/>
  <c r="M172" i="1"/>
  <c r="AB144" i="1"/>
  <c r="V144" i="1"/>
  <c r="P144" i="1"/>
  <c r="S144" i="1"/>
  <c r="AE103" i="1"/>
  <c r="AE116" i="1" s="1"/>
  <c r="M116" i="1"/>
  <c r="AE75" i="1"/>
  <c r="M88" i="1"/>
  <c r="AE47" i="1"/>
  <c r="AE60" i="1" s="1"/>
  <c r="M60" i="1"/>
  <c r="M32" i="1"/>
  <c r="AE26" i="1"/>
  <c r="Y26" i="1"/>
  <c r="S26" i="1"/>
  <c r="V26" i="1"/>
  <c r="P26" i="1"/>
  <c r="AH229" i="1"/>
  <c r="AH5" i="1"/>
  <c r="AH12" i="1"/>
  <c r="AH61" i="1"/>
  <c r="AH145" i="1"/>
  <c r="AH173" i="1"/>
  <c r="AH110" i="1"/>
  <c r="AH138" i="1"/>
  <c r="AH152" i="1"/>
  <c r="AH96" i="1"/>
  <c r="AH222" i="1"/>
  <c r="AH89" i="1"/>
  <c r="AH124" i="1"/>
  <c r="AH54" i="1"/>
  <c r="AH131" i="1"/>
  <c r="AH117" i="1"/>
  <c r="AH68" i="1"/>
  <c r="AH208" i="1"/>
  <c r="AH201" i="1"/>
  <c r="AH33" i="1"/>
  <c r="AH40" i="1"/>
  <c r="AH180" i="1"/>
  <c r="AH82" i="1"/>
  <c r="AG110" i="1"/>
  <c r="P299" i="1"/>
  <c r="Y299" i="1"/>
  <c r="Y312" i="1" s="1"/>
  <c r="V299" i="1"/>
  <c r="V312" i="1" s="1"/>
  <c r="AB299" i="1"/>
  <c r="AB312" i="1" s="1"/>
  <c r="S299" i="1"/>
  <c r="AG82" i="1"/>
  <c r="AG306" i="1"/>
  <c r="AB215" i="1"/>
  <c r="AB228" i="1" s="1"/>
  <c r="Y215" i="1"/>
  <c r="Y228" i="1" s="1"/>
  <c r="V215" i="1"/>
  <c r="V228" i="1" s="1"/>
  <c r="S215" i="1"/>
  <c r="S228" i="1" s="1"/>
  <c r="P215" i="1"/>
  <c r="P228" i="1" s="1"/>
  <c r="AB159" i="1"/>
  <c r="Y159" i="1"/>
  <c r="V159" i="1"/>
  <c r="S159" i="1"/>
  <c r="P159" i="1"/>
  <c r="AG166" i="1"/>
  <c r="AG26" i="1"/>
  <c r="AE19" i="1"/>
  <c r="Y19" i="1"/>
  <c r="S19" i="1"/>
  <c r="AB19" i="1"/>
  <c r="AB32" i="1" s="1"/>
  <c r="V19" i="1"/>
  <c r="P19" i="1"/>
  <c r="AB75" i="1"/>
  <c r="AB88" i="1" s="1"/>
  <c r="Y75" i="1"/>
  <c r="Y88" i="1" s="1"/>
  <c r="V75" i="1"/>
  <c r="V88" i="1" s="1"/>
  <c r="S75" i="1"/>
  <c r="S88" i="1" s="1"/>
  <c r="P75" i="1"/>
  <c r="P88" i="1" s="1"/>
  <c r="AG54" i="1"/>
  <c r="P47" i="1"/>
  <c r="P60" i="1" s="1"/>
  <c r="V47" i="1"/>
  <c r="V60" i="1" s="1"/>
  <c r="AB47" i="1"/>
  <c r="AB60" i="1" s="1"/>
  <c r="Y47" i="1"/>
  <c r="Y60" i="1" s="1"/>
  <c r="S47" i="1"/>
  <c r="S60" i="1" s="1"/>
  <c r="P243" i="1"/>
  <c r="P256" i="1" s="1"/>
  <c r="P369" i="1" s="1"/>
  <c r="Y243" i="1"/>
  <c r="Y256" i="1" s="1"/>
  <c r="V243" i="1"/>
  <c r="V256" i="1" s="1"/>
  <c r="AB243" i="1"/>
  <c r="AB256" i="1" s="1"/>
  <c r="S243" i="1"/>
  <c r="S256" i="1" s="1"/>
  <c r="AB327" i="1"/>
  <c r="Y327" i="1"/>
  <c r="Y340" i="1" s="1"/>
  <c r="V327" i="1"/>
  <c r="V340" i="1" s="1"/>
  <c r="S327" i="1"/>
  <c r="S340" i="1" s="1"/>
  <c r="P327" i="1"/>
  <c r="P340" i="1" s="1"/>
  <c r="P187" i="1"/>
  <c r="P200" i="1" s="1"/>
  <c r="AB187" i="1"/>
  <c r="AB200" i="1" s="1"/>
  <c r="Y187" i="1"/>
  <c r="Y200" i="1" s="1"/>
  <c r="V187" i="1"/>
  <c r="V200" i="1" s="1"/>
  <c r="S187" i="1"/>
  <c r="S200" i="1" s="1"/>
  <c r="AB103" i="1"/>
  <c r="AB116" i="1" s="1"/>
  <c r="Y103" i="1"/>
  <c r="Y116" i="1" s="1"/>
  <c r="V103" i="1"/>
  <c r="V116" i="1" s="1"/>
  <c r="S103" i="1"/>
  <c r="S116" i="1" s="1"/>
  <c r="P103" i="1"/>
  <c r="P116" i="1" s="1"/>
  <c r="P355" i="1"/>
  <c r="V355" i="1"/>
  <c r="AB355" i="1"/>
  <c r="Y355" i="1"/>
  <c r="S355" i="1"/>
  <c r="AG362" i="1"/>
  <c r="AG250" i="1"/>
  <c r="AG138" i="1"/>
  <c r="AG222" i="1"/>
  <c r="AG334" i="1"/>
  <c r="AG348" i="1"/>
  <c r="AG341" i="1"/>
  <c r="AG320" i="1"/>
  <c r="AG292" i="1"/>
  <c r="AG285" i="1"/>
  <c r="AG313" i="1"/>
  <c r="AG131" i="1"/>
  <c r="AG124" i="1"/>
  <c r="AG61" i="1"/>
  <c r="AG40" i="1"/>
  <c r="AG229" i="1"/>
  <c r="AG264" i="1"/>
  <c r="AG180" i="1"/>
  <c r="AG152" i="1"/>
  <c r="AG33" i="1"/>
  <c r="AG257" i="1"/>
  <c r="AG117" i="1"/>
  <c r="AG12" i="1"/>
  <c r="AG96" i="1"/>
  <c r="AG208" i="1"/>
  <c r="AG201" i="1"/>
  <c r="AG271" i="1"/>
  <c r="AG145" i="1"/>
  <c r="AG173" i="1"/>
  <c r="AG89" i="1"/>
  <c r="AG236" i="1"/>
  <c r="AG68" i="1"/>
  <c r="AG5" i="1"/>
  <c r="AB340" i="1" l="1"/>
  <c r="AH166" i="1"/>
  <c r="AB172" i="1"/>
  <c r="Y172" i="1"/>
  <c r="V172" i="1"/>
  <c r="S172" i="1"/>
  <c r="P172" i="1"/>
  <c r="AE88" i="1"/>
  <c r="AH88" i="1" s="1"/>
  <c r="AH75" i="1"/>
  <c r="AH159" i="1"/>
  <c r="AH228" i="1"/>
  <c r="AH26" i="1"/>
  <c r="AE32" i="1"/>
  <c r="Y32" i="1"/>
  <c r="S32" i="1"/>
  <c r="V32" i="1"/>
  <c r="P32" i="1"/>
  <c r="AH194" i="1"/>
  <c r="AH250" i="1"/>
  <c r="AH256" i="1"/>
  <c r="AH264" i="1"/>
  <c r="AH257" i="1"/>
  <c r="AH243" i="1"/>
  <c r="AH144" i="1"/>
  <c r="AH215" i="1"/>
  <c r="AH187" i="1"/>
  <c r="AH103" i="1"/>
  <c r="M369" i="1"/>
  <c r="AH19" i="1"/>
  <c r="AH60" i="1"/>
  <c r="AH47" i="1"/>
  <c r="AH116" i="1"/>
  <c r="AH200" i="1"/>
  <c r="AG327" i="1"/>
  <c r="AG299" i="1"/>
  <c r="AG340" i="1"/>
  <c r="AG355" i="1"/>
  <c r="AG368" i="1"/>
  <c r="AG312" i="1"/>
  <c r="AG187" i="1"/>
  <c r="AG284" i="1"/>
  <c r="AG103" i="1"/>
  <c r="AG215" i="1"/>
  <c r="AG144" i="1"/>
  <c r="AG19" i="1"/>
  <c r="AG243" i="1"/>
  <c r="AG88" i="1"/>
  <c r="AG75" i="1"/>
  <c r="AG60" i="1"/>
  <c r="AG47" i="1"/>
  <c r="AG159" i="1"/>
  <c r="AG200" i="1"/>
  <c r="AG228" i="1"/>
  <c r="AG116" i="1"/>
  <c r="AG256" i="1"/>
  <c r="AG172" i="1"/>
  <c r="Y369" i="1" l="1"/>
  <c r="V369" i="1"/>
  <c r="S369" i="1"/>
  <c r="AE369" i="1"/>
  <c r="AH172" i="1"/>
  <c r="AB369" i="1"/>
  <c r="AH32" i="1"/>
  <c r="AH236" i="1"/>
  <c r="AH278" i="1"/>
  <c r="AH292" i="1"/>
  <c r="AH285" i="1"/>
  <c r="AG32" i="1"/>
  <c r="AH299" i="1" l="1"/>
  <c r="AH334" i="1"/>
  <c r="AH271" i="1"/>
  <c r="AH284" i="1"/>
  <c r="AH313" i="1"/>
  <c r="AG369" i="1"/>
  <c r="AH306" i="1" l="1"/>
  <c r="AH341" i="1"/>
  <c r="AH362" i="1"/>
  <c r="AH320" i="1"/>
  <c r="AH355" i="1"/>
  <c r="AH312" i="1"/>
  <c r="AH348" i="1"/>
  <c r="AH327" i="1"/>
  <c r="AH368" i="1"/>
  <c r="AH369" i="1" l="1"/>
  <c r="AH340" i="1"/>
</calcChain>
</file>

<file path=xl/sharedStrings.xml><?xml version="1.0" encoding="utf-8"?>
<sst xmlns="http://schemas.openxmlformats.org/spreadsheetml/2006/main" count="1550" uniqueCount="68">
  <si>
    <t>190-1225-КЭФ-ДРТ54/Н</t>
  </si>
  <si>
    <t>МКР. 1,14,18</t>
  </si>
  <si>
    <t>СМР со сносом</t>
  </si>
  <si>
    <t>Сумма</t>
  </si>
  <si>
    <t>Зона № 22.1</t>
  </si>
  <si>
    <t>Зона № 4.1</t>
  </si>
  <si>
    <t>Зона № 7.1</t>
  </si>
  <si>
    <t>Зона № 3.1</t>
  </si>
  <si>
    <t>Зона № 13.2</t>
  </si>
  <si>
    <t>СМР</t>
  </si>
  <si>
    <t>ул. Ленская, земельный участок 12/1</t>
  </si>
  <si>
    <t>ул. Коминтерна, земельный участок 2</t>
  </si>
  <si>
    <t>191-1225-КЭФ-ДРТ55/Н</t>
  </si>
  <si>
    <t>МКР. 10,13</t>
  </si>
  <si>
    <t>7-0126-КЭФ-ДРТ57</t>
  </si>
  <si>
    <t xml:space="preserve">ул. Летчика Бабушкина, земельный участок 33/2/1 </t>
  </si>
  <si>
    <t>ул. Летчика Бабушкина, земельный участок 33/2/2</t>
  </si>
  <si>
    <t>улица Лётчика Бабушкина, земельный участок 35А</t>
  </si>
  <si>
    <t>Общая площадь (СПП), кв м</t>
  </si>
  <si>
    <t>общая площадь квартир, кв м</t>
  </si>
  <si>
    <t>расценка</t>
  </si>
  <si>
    <t>1-1-1-1</t>
  </si>
  <si>
    <t>1-1-1-3</t>
  </si>
  <si>
    <t>общая стоимость на 1 кв м</t>
  </si>
  <si>
    <t>доля в %</t>
  </si>
  <si>
    <t>1-1-2-1</t>
  </si>
  <si>
    <t>ед цена за м2 в руб.</t>
  </si>
  <si>
    <t>кол-во машиномест * площадь 1 м/м</t>
  </si>
  <si>
    <t>стоянка</t>
  </si>
  <si>
    <t>снос</t>
  </si>
  <si>
    <t>нежилые части жилых зданий</t>
  </si>
  <si>
    <t>ОБЪЕКТ</t>
  </si>
  <si>
    <t>Зона № 2.1</t>
  </si>
  <si>
    <t xml:space="preserve"> Зона 14.1</t>
  </si>
  <si>
    <t>Зона №14.1</t>
  </si>
  <si>
    <t>Зона №11.1</t>
  </si>
  <si>
    <t>Строительный объем, м3</t>
  </si>
  <si>
    <t>1-1-4-2</t>
  </si>
  <si>
    <t>ИТОГО</t>
  </si>
  <si>
    <t>проектные и изыскательские работы, экспертиза, в том числе</t>
  </si>
  <si>
    <t>затраты по проектным работам (стадия П)</t>
  </si>
  <si>
    <t>затраты по проектным работам (стадия Р)</t>
  </si>
  <si>
    <t>затраты по проведению изыскательских работ</t>
  </si>
  <si>
    <t>затраты по оплате услуг за проведение государственной экспертизы проектной документации и результатов инженерных изысканий</t>
  </si>
  <si>
    <t>затраты по ведению авторского надзора за строитльством зданий и сооружений</t>
  </si>
  <si>
    <t>затраты на согласование проектной документации</t>
  </si>
  <si>
    <t>проверка итога</t>
  </si>
  <si>
    <t>проверка ПИР</t>
  </si>
  <si>
    <t>Поправка табл. 3.1</t>
  </si>
  <si>
    <t>1-2-1-2</t>
  </si>
  <si>
    <t>Стоимость, тыс. рубл./м2</t>
  </si>
  <si>
    <t>1-2-1-3</t>
  </si>
  <si>
    <t>1-2-1-4</t>
  </si>
  <si>
    <t>1-2-1-5</t>
  </si>
  <si>
    <t>1-2-1-6</t>
  </si>
  <si>
    <t>1-2-1-7</t>
  </si>
  <si>
    <t>Поправка табл. 3.2</t>
  </si>
  <si>
    <t>1-2-4-1</t>
  </si>
  <si>
    <t>1-2-4-2</t>
  </si>
  <si>
    <t>1-2-4-3</t>
  </si>
  <si>
    <t>1-2-4-4</t>
  </si>
  <si>
    <t>1-2-4-5</t>
  </si>
  <si>
    <t>1-2-4-6</t>
  </si>
  <si>
    <t>1-2-5-1</t>
  </si>
  <si>
    <t>1-2-5-2</t>
  </si>
  <si>
    <t>1-2-5-3</t>
  </si>
  <si>
    <t>1-2-5-4</t>
  </si>
  <si>
    <t>1-2-5-5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</si>
</sst>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.00_);_(* \(#,##0.00\);_(* &quot;-&quot;_);_(@_)"/>
    <numFmt numFmtId="165" formatCode="_-* #,##0.00\ _₽_-;\-* #,##0.00\ _₽_-;_-* &quot;-&quot;??\ _₽_-;_-@_-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9">
    <xf numFmtId="0" fontId="0" fillId="0" borderId="0" xfId="0"/>
    <xf numFmtId="4" fontId="0" fillId="0" borderId="0" xfId="0" applyNumberFormat="1"/>
    <xf numFmtId="0" fontId="0" fillId="0" borderId="1" xfId="0" applyBorder="1"/>
    <xf numFmtId="4" fontId="0" fillId="0" borderId="1" xfId="0" applyNumberFormat="1" applyBorder="1"/>
    <xf numFmtId="164" fontId="0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0" fontId="0" fillId="0" borderId="1" xfId="0" applyNumberFormat="1" applyBorder="1"/>
    <xf numFmtId="10" fontId="0" fillId="0" borderId="0" xfId="0" applyNumberFormat="1"/>
    <xf numFmtId="0" fontId="0" fillId="0" borderId="2" xfId="0" applyBorder="1"/>
    <xf numFmtId="164" fontId="0" fillId="0" borderId="2" xfId="1" applyNumberFormat="1" applyFont="1" applyFill="1" applyBorder="1" applyAlignment="1">
      <alignment horizontal="center" vertical="center"/>
    </xf>
    <xf numFmtId="10" fontId="0" fillId="0" borderId="2" xfId="0" applyNumberFormat="1" applyBorder="1"/>
    <xf numFmtId="0" fontId="0" fillId="0" borderId="3" xfId="0" applyBorder="1"/>
    <xf numFmtId="164" fontId="0" fillId="0" borderId="3" xfId="1" applyNumberFormat="1" applyFont="1" applyFill="1" applyBorder="1" applyAlignment="1">
      <alignment horizontal="center" vertical="center"/>
    </xf>
    <xf numFmtId="10" fontId="0" fillId="0" borderId="3" xfId="0" applyNumberFormat="1" applyBorder="1"/>
    <xf numFmtId="4" fontId="0" fillId="0" borderId="3" xfId="0" applyNumberForma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4" fillId="2" borderId="4" xfId="0" applyFont="1" applyFill="1" applyBorder="1"/>
    <xf numFmtId="0" fontId="0" fillId="0" borderId="6" xfId="0" applyBorder="1" applyAlignment="1">
      <alignment horizontal="center" vertical="center"/>
    </xf>
    <xf numFmtId="164" fontId="0" fillId="0" borderId="7" xfId="1" applyNumberFormat="1" applyFont="1" applyFill="1" applyBorder="1" applyAlignment="1">
      <alignment horizontal="center" vertical="center"/>
    </xf>
    <xf numFmtId="10" fontId="0" fillId="0" borderId="7" xfId="0" applyNumberFormat="1" applyBorder="1"/>
    <xf numFmtId="4" fontId="0" fillId="0" borderId="7" xfId="0" applyNumberFormat="1" applyBorder="1"/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4" fontId="4" fillId="2" borderId="11" xfId="1" applyNumberFormat="1" applyFont="1" applyFill="1" applyBorder="1" applyAlignment="1">
      <alignment horizontal="center" vertical="center"/>
    </xf>
    <xf numFmtId="10" fontId="4" fillId="2" borderId="11" xfId="0" applyNumberFormat="1" applyFont="1" applyFill="1" applyBorder="1"/>
    <xf numFmtId="0" fontId="0" fillId="0" borderId="12" xfId="0" applyBorder="1"/>
    <xf numFmtId="0" fontId="4" fillId="2" borderId="1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64" fontId="5" fillId="2" borderId="11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11" xfId="0" applyFont="1" applyFill="1" applyBorder="1"/>
    <xf numFmtId="41" fontId="3" fillId="0" borderId="6" xfId="1" applyFont="1" applyBorder="1" applyAlignment="1">
      <alignment horizontal="center" vertical="center" wrapText="1"/>
    </xf>
    <xf numFmtId="41" fontId="3" fillId="0" borderId="7" xfId="1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0" fillId="0" borderId="7" xfId="0" applyBorder="1"/>
    <xf numFmtId="0" fontId="6" fillId="0" borderId="1" xfId="0" applyFont="1" applyBorder="1"/>
    <xf numFmtId="0" fontId="7" fillId="0" borderId="9" xfId="0" applyFont="1" applyBorder="1" applyAlignment="1">
      <alignment horizontal="center" vertical="center"/>
    </xf>
    <xf numFmtId="0" fontId="4" fillId="2" borderId="15" xfId="0" applyFont="1" applyFill="1" applyBorder="1"/>
    <xf numFmtId="164" fontId="4" fillId="2" borderId="15" xfId="1" applyNumberFormat="1" applyFont="1" applyFill="1" applyBorder="1" applyAlignment="1">
      <alignment horizontal="center" vertical="center"/>
    </xf>
    <xf numFmtId="2" fontId="4" fillId="2" borderId="15" xfId="0" applyNumberFormat="1" applyFont="1" applyFill="1" applyBorder="1"/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vertical="center"/>
    </xf>
    <xf numFmtId="164" fontId="4" fillId="4" borderId="17" xfId="1" applyNumberFormat="1" applyFont="1" applyFill="1" applyBorder="1" applyAlignment="1">
      <alignment horizontal="center" vertical="center"/>
    </xf>
    <xf numFmtId="2" fontId="4" fillId="4" borderId="17" xfId="0" applyNumberFormat="1" applyFont="1" applyFill="1" applyBorder="1" applyAlignment="1">
      <alignment vertical="center"/>
    </xf>
    <xf numFmtId="4" fontId="0" fillId="0" borderId="1" xfId="1" applyNumberFormat="1" applyFont="1" applyFill="1" applyBorder="1" applyAlignment="1">
      <alignment horizontal="center" vertical="center"/>
    </xf>
    <xf numFmtId="4" fontId="4" fillId="2" borderId="11" xfId="1" applyNumberFormat="1" applyFont="1" applyFill="1" applyBorder="1" applyAlignment="1">
      <alignment horizontal="center" vertical="center"/>
    </xf>
    <xf numFmtId="4" fontId="0" fillId="0" borderId="7" xfId="1" applyNumberFormat="1" applyFont="1" applyFill="1" applyBorder="1" applyAlignment="1">
      <alignment horizontal="center" vertical="center"/>
    </xf>
    <xf numFmtId="4" fontId="0" fillId="0" borderId="3" xfId="1" applyNumberFormat="1" applyFont="1" applyFill="1" applyBorder="1" applyAlignment="1">
      <alignment horizontal="center" vertical="center"/>
    </xf>
    <xf numFmtId="4" fontId="4" fillId="2" borderId="11" xfId="0" applyNumberFormat="1" applyFont="1" applyFill="1" applyBorder="1"/>
    <xf numFmtId="4" fontId="0" fillId="0" borderId="2" xfId="1" applyNumberFormat="1" applyFont="1" applyFill="1" applyBorder="1" applyAlignment="1">
      <alignment horizontal="center" vertical="center"/>
    </xf>
    <xf numFmtId="10" fontId="4" fillId="2" borderId="21" xfId="0" applyNumberFormat="1" applyFont="1" applyFill="1" applyBorder="1"/>
    <xf numFmtId="164" fontId="4" fillId="5" borderId="17" xfId="1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4" fillId="2" borderId="21" xfId="1" applyNumberFormat="1" applyFont="1" applyFill="1" applyBorder="1" applyAlignment="1">
      <alignment horizontal="center" vertical="center"/>
    </xf>
    <xf numFmtId="164" fontId="8" fillId="2" borderId="11" xfId="1" applyNumberFormat="1" applyFont="1" applyFill="1" applyBorder="1" applyAlignment="1">
      <alignment horizontal="center" vertical="center"/>
    </xf>
    <xf numFmtId="4" fontId="4" fillId="2" borderId="0" xfId="0" applyNumberFormat="1" applyFont="1" applyFill="1"/>
    <xf numFmtId="4" fontId="4" fillId="0" borderId="0" xfId="0" applyNumberFormat="1" applyFont="1"/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64" fontId="7" fillId="0" borderId="3" xfId="1" applyNumberFormat="1" applyFont="1" applyFill="1" applyBorder="1" applyAlignment="1">
      <alignment horizontal="center" vertical="center"/>
    </xf>
    <xf numFmtId="10" fontId="7" fillId="0" borderId="3" xfId="0" applyNumberFormat="1" applyFont="1" applyBorder="1"/>
    <xf numFmtId="4" fontId="7" fillId="0" borderId="3" xfId="0" applyNumberFormat="1" applyFont="1" applyBorder="1"/>
    <xf numFmtId="4" fontId="7" fillId="0" borderId="1" xfId="0" applyNumberFormat="1" applyFont="1" applyBorder="1"/>
    <xf numFmtId="164" fontId="7" fillId="0" borderId="1" xfId="1" applyNumberFormat="1" applyFont="1" applyFill="1" applyBorder="1" applyAlignment="1">
      <alignment horizontal="center" vertical="center"/>
    </xf>
    <xf numFmtId="10" fontId="7" fillId="0" borderId="1" xfId="0" applyNumberFormat="1" applyFont="1" applyBorder="1"/>
    <xf numFmtId="165" fontId="0" fillId="0" borderId="0" xfId="0" applyNumberFormat="1"/>
    <xf numFmtId="4" fontId="3" fillId="2" borderId="0" xfId="0" applyNumberFormat="1" applyFont="1" applyFill="1"/>
    <xf numFmtId="0" fontId="4" fillId="5" borderId="18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 [0]" xfId="1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24C8-9913-0C48-8911-2E8D116A0406}">
  <dimension ref="C2:AH374"/>
  <sheetViews>
    <sheetView zoomScale="55" zoomScaleNormal="55" workbookViewId="0">
      <pane xSplit="9" ySplit="4" topLeftCell="J17" activePane="bottomRight" state="frozen"/>
      <selection pane="topRight" activeCell="J1" sqref="J1"/>
      <selection pane="bottomLeft" activeCell="A5" sqref="A5"/>
      <selection pane="bottomRight" activeCell="O37" sqref="O37"/>
    </sheetView>
  </sheetViews>
  <sheetFormatPr defaultColWidth="11.5" defaultRowHeight="15.75" outlineLevelCol="1" x14ac:dyDescent="0.25"/>
  <cols>
    <col min="1" max="1" width="5.625" customWidth="1"/>
    <col min="2" max="2" width="2.625" customWidth="1"/>
    <col min="3" max="3" width="23.625" hidden="1" customWidth="1" outlineLevel="1"/>
    <col min="4" max="4" width="11.125" hidden="1" customWidth="1" outlineLevel="1"/>
    <col min="5" max="5" width="12.125" hidden="1" customWidth="1" outlineLevel="1"/>
    <col min="6" max="6" width="19.5" customWidth="1" collapsed="1"/>
    <col min="7" max="7" width="14" customWidth="1"/>
    <col min="8" max="8" width="12.75" customWidth="1"/>
    <col min="9" max="9" width="12.125" customWidth="1"/>
    <col min="10" max="10" width="15" customWidth="1"/>
    <col min="11" max="12" width="12.125" customWidth="1"/>
    <col min="13" max="13" width="22.75" customWidth="1"/>
    <col min="14" max="14" width="10.375" customWidth="1"/>
    <col min="15" max="15" width="13" customWidth="1" outlineLevel="1"/>
    <col min="16" max="16" width="19.125" customWidth="1" outlineLevel="1"/>
    <col min="17" max="17" width="10.375" customWidth="1"/>
    <col min="18" max="18" width="15.375" customWidth="1" outlineLevel="1"/>
    <col min="19" max="19" width="25" customWidth="1" outlineLevel="1"/>
    <col min="20" max="20" width="10.375" customWidth="1"/>
    <col min="21" max="21" width="15.375" customWidth="1" outlineLevel="1"/>
    <col min="22" max="22" width="19.25" customWidth="1" outlineLevel="1"/>
    <col min="23" max="23" width="10.375" customWidth="1"/>
    <col min="24" max="25" width="15.375" customWidth="1" outlineLevel="1"/>
    <col min="26" max="26" width="10.375" customWidth="1"/>
    <col min="27" max="28" width="15.375" customWidth="1" outlineLevel="1"/>
    <col min="29" max="29" width="17" customWidth="1"/>
    <col min="30" max="31" width="15.375" customWidth="1" outlineLevel="1"/>
    <col min="32" max="32" width="11.5" hidden="1" customWidth="1"/>
    <col min="33" max="33" width="18.375" hidden="1" customWidth="1"/>
    <col min="34" max="34" width="20.75" customWidth="1"/>
  </cols>
  <sheetData>
    <row r="2" spans="3:34" ht="16.5" thickBot="1" x14ac:dyDescent="0.3">
      <c r="O2" s="83" t="s">
        <v>39</v>
      </c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3:34" ht="207" customHeight="1" x14ac:dyDescent="0.25">
      <c r="C3" s="2"/>
      <c r="D3" s="2"/>
      <c r="E3" s="17"/>
      <c r="F3" s="37" t="s">
        <v>31</v>
      </c>
      <c r="G3" s="38" t="s">
        <v>18</v>
      </c>
      <c r="H3" s="38" t="s">
        <v>19</v>
      </c>
      <c r="I3" s="38" t="s">
        <v>27</v>
      </c>
      <c r="J3" s="38" t="s">
        <v>36</v>
      </c>
      <c r="K3" s="38" t="s">
        <v>20</v>
      </c>
      <c r="L3" s="87" t="s">
        <v>23</v>
      </c>
      <c r="M3" s="87"/>
      <c r="N3" s="84" t="s">
        <v>40</v>
      </c>
      <c r="O3" s="85"/>
      <c r="P3" s="86"/>
      <c r="Q3" s="84" t="s">
        <v>41</v>
      </c>
      <c r="R3" s="85"/>
      <c r="S3" s="86"/>
      <c r="T3" s="84" t="s">
        <v>42</v>
      </c>
      <c r="U3" s="85"/>
      <c r="V3" s="86"/>
      <c r="W3" s="84" t="s">
        <v>43</v>
      </c>
      <c r="X3" s="85"/>
      <c r="Y3" s="86"/>
      <c r="Z3" s="84" t="s">
        <v>44</v>
      </c>
      <c r="AA3" s="85"/>
      <c r="AB3" s="86"/>
      <c r="AC3" s="84" t="s">
        <v>45</v>
      </c>
      <c r="AD3" s="85"/>
      <c r="AE3" s="86"/>
      <c r="AG3" t="s">
        <v>46</v>
      </c>
      <c r="AH3" t="s">
        <v>47</v>
      </c>
    </row>
    <row r="4" spans="3:34" ht="49.5" customHeight="1" thickBot="1" x14ac:dyDescent="0.3">
      <c r="C4" s="2"/>
      <c r="D4" s="2"/>
      <c r="E4" s="17"/>
      <c r="F4" s="39"/>
      <c r="G4" s="40"/>
      <c r="H4" s="40"/>
      <c r="I4" s="40"/>
      <c r="J4" s="40"/>
      <c r="K4" s="40"/>
      <c r="L4" s="41" t="s">
        <v>26</v>
      </c>
      <c r="M4" s="41" t="s">
        <v>3</v>
      </c>
      <c r="N4" s="41" t="s">
        <v>50</v>
      </c>
      <c r="O4" s="41" t="s">
        <v>24</v>
      </c>
      <c r="P4" s="41" t="s">
        <v>3</v>
      </c>
      <c r="Q4" s="41" t="s">
        <v>50</v>
      </c>
      <c r="R4" s="41" t="s">
        <v>24</v>
      </c>
      <c r="S4" s="41" t="s">
        <v>3</v>
      </c>
      <c r="T4" s="41" t="s">
        <v>50</v>
      </c>
      <c r="U4" s="41" t="s">
        <v>24</v>
      </c>
      <c r="V4" s="41" t="s">
        <v>3</v>
      </c>
      <c r="W4" s="41" t="s">
        <v>50</v>
      </c>
      <c r="X4" s="41" t="s">
        <v>24</v>
      </c>
      <c r="Y4" s="41" t="s">
        <v>3</v>
      </c>
      <c r="Z4" s="41" t="s">
        <v>50</v>
      </c>
      <c r="AA4" s="41" t="s">
        <v>24</v>
      </c>
      <c r="AB4" s="41" t="s">
        <v>3</v>
      </c>
      <c r="AC4" s="41" t="s">
        <v>50</v>
      </c>
      <c r="AD4" s="41" t="s">
        <v>24</v>
      </c>
      <c r="AE4" s="41" t="s">
        <v>3</v>
      </c>
    </row>
    <row r="5" spans="3:34" x14ac:dyDescent="0.25">
      <c r="C5" s="2" t="s">
        <v>0</v>
      </c>
      <c r="D5" s="2" t="s">
        <v>1</v>
      </c>
      <c r="E5" s="17" t="s">
        <v>2</v>
      </c>
      <c r="F5" s="71" t="s">
        <v>4</v>
      </c>
      <c r="G5" s="21">
        <v>15760.8</v>
      </c>
      <c r="H5" s="21">
        <v>10048</v>
      </c>
      <c r="I5" s="21"/>
      <c r="J5" s="21"/>
      <c r="K5" s="21" t="s">
        <v>22</v>
      </c>
      <c r="L5" s="58">
        <f>183.27*1000</f>
        <v>183270</v>
      </c>
      <c r="M5" s="21">
        <f>L5*H5</f>
        <v>1841496960</v>
      </c>
      <c r="N5" s="21"/>
      <c r="O5" s="22">
        <v>1.55E-2</v>
      </c>
      <c r="P5" s="23">
        <f>O5*$M5</f>
        <v>28543202.879999999</v>
      </c>
      <c r="Q5" s="21"/>
      <c r="R5" s="22">
        <v>2.1600000000000001E-2</v>
      </c>
      <c r="S5" s="23">
        <f t="shared" ref="P5:AE12" si="0">R5*$M5</f>
        <v>39776334.336000003</v>
      </c>
      <c r="T5" s="21"/>
      <c r="U5" s="22">
        <v>5.3E-3</v>
      </c>
      <c r="V5" s="23">
        <f t="shared" si="0"/>
        <v>9759933.8880000003</v>
      </c>
      <c r="W5" s="21"/>
      <c r="X5" s="22">
        <v>5.9999999999999995E-4</v>
      </c>
      <c r="Y5" s="23">
        <f t="shared" si="0"/>
        <v>1104898.176</v>
      </c>
      <c r="Z5" s="21"/>
      <c r="AA5" s="22">
        <v>1E-3</v>
      </c>
      <c r="AB5" s="23">
        <f t="shared" si="0"/>
        <v>1841496.96</v>
      </c>
      <c r="AC5" s="21"/>
      <c r="AD5" s="22">
        <v>1.4E-3</v>
      </c>
      <c r="AE5" s="23">
        <f t="shared" si="0"/>
        <v>2578095.7439999999</v>
      </c>
      <c r="AF5" s="7" t="e">
        <f>#REF!+#REF!+#REF!+#REF!+#REF!+#REF!+#REF!+#REF!+#REF!+#REF!+#REF!+#REF!</f>
        <v>#REF!</v>
      </c>
      <c r="AG5" s="1" t="e">
        <f>#REF!+#REF!+#REF!+#REF!+#REF!+#REF!+#REF!+#REF!+#REF!+#REF!+#REF!+#REF!-M5</f>
        <v>#REF!</v>
      </c>
      <c r="AH5" s="1">
        <f>AE5+AB5+Y5+V5+S5+P5</f>
        <v>83603961.983999997</v>
      </c>
    </row>
    <row r="6" spans="3:34" x14ac:dyDescent="0.25">
      <c r="C6" s="2"/>
      <c r="D6" s="2"/>
      <c r="E6" s="17"/>
      <c r="F6" s="66" t="s">
        <v>48</v>
      </c>
      <c r="G6" s="12"/>
      <c r="H6" s="12"/>
      <c r="I6" s="12"/>
      <c r="J6" s="12"/>
      <c r="K6" s="12" t="s">
        <v>49</v>
      </c>
      <c r="L6" s="58"/>
      <c r="M6" s="12"/>
      <c r="N6" s="12"/>
      <c r="O6" s="13"/>
      <c r="P6" s="14"/>
      <c r="Q6" s="12"/>
      <c r="R6" s="13"/>
      <c r="S6" s="14"/>
      <c r="T6" s="12"/>
      <c r="U6" s="13"/>
      <c r="V6" s="14"/>
      <c r="W6" s="12"/>
      <c r="X6" s="13"/>
      <c r="Y6" s="14"/>
      <c r="Z6" s="75">
        <v>0.22</v>
      </c>
      <c r="AA6" s="13"/>
      <c r="AB6" s="14">
        <f>Z6*H5</f>
        <v>2210.56</v>
      </c>
      <c r="AC6" s="12"/>
      <c r="AD6" s="13"/>
      <c r="AE6" s="14"/>
      <c r="AF6" s="7"/>
      <c r="AG6" s="1"/>
      <c r="AH6" s="1">
        <f t="shared" ref="AH6:AH11" si="1">AE6+AB6+Y6+V6+S6+P6</f>
        <v>2210.56</v>
      </c>
    </row>
    <row r="7" spans="3:34" x14ac:dyDescent="0.25">
      <c r="C7" s="2"/>
      <c r="D7" s="2"/>
      <c r="E7" s="17"/>
      <c r="F7" s="66" t="s">
        <v>48</v>
      </c>
      <c r="G7" s="12"/>
      <c r="H7" s="12"/>
      <c r="I7" s="12"/>
      <c r="J7" s="12"/>
      <c r="K7" s="12" t="s">
        <v>51</v>
      </c>
      <c r="L7" s="58"/>
      <c r="M7" s="12"/>
      <c r="N7" s="75">
        <v>3.29</v>
      </c>
      <c r="O7" s="76"/>
      <c r="P7" s="77">
        <f>N7*H5</f>
        <v>33057.919999999998</v>
      </c>
      <c r="Q7" s="75"/>
      <c r="R7" s="76"/>
      <c r="S7" s="77"/>
      <c r="T7" s="75"/>
      <c r="U7" s="76"/>
      <c r="V7" s="77"/>
      <c r="W7" s="75"/>
      <c r="X7" s="76"/>
      <c r="Y7" s="77"/>
      <c r="Z7" s="75"/>
      <c r="AA7" s="76"/>
      <c r="AB7" s="77"/>
      <c r="AC7" s="75"/>
      <c r="AD7" s="13"/>
      <c r="AE7" s="14"/>
      <c r="AF7" s="7"/>
      <c r="AG7" s="1"/>
      <c r="AH7" s="1">
        <f t="shared" si="1"/>
        <v>33057.919999999998</v>
      </c>
    </row>
    <row r="8" spans="3:34" x14ac:dyDescent="0.25">
      <c r="C8" s="2"/>
      <c r="D8" s="2"/>
      <c r="E8" s="17"/>
      <c r="F8" s="66" t="s">
        <v>48</v>
      </c>
      <c r="G8" s="12"/>
      <c r="H8" s="12"/>
      <c r="I8" s="12"/>
      <c r="J8" s="12"/>
      <c r="K8" s="12" t="s">
        <v>52</v>
      </c>
      <c r="L8" s="58"/>
      <c r="M8" s="12"/>
      <c r="N8" s="75"/>
      <c r="O8" s="76"/>
      <c r="P8" s="77"/>
      <c r="Q8" s="75">
        <v>4.7300000000000004</v>
      </c>
      <c r="R8" s="76"/>
      <c r="S8" s="77">
        <f>Q8*H5</f>
        <v>47527.040000000001</v>
      </c>
      <c r="T8" s="75"/>
      <c r="U8" s="76"/>
      <c r="V8" s="77"/>
      <c r="W8" s="75"/>
      <c r="X8" s="76"/>
      <c r="Y8" s="77"/>
      <c r="Z8" s="75"/>
      <c r="AA8" s="76"/>
      <c r="AB8" s="77"/>
      <c r="AC8" s="75"/>
      <c r="AD8" s="13"/>
      <c r="AE8" s="14"/>
      <c r="AF8" s="7"/>
      <c r="AG8" s="1"/>
      <c r="AH8" s="1">
        <f t="shared" si="1"/>
        <v>47527.040000000001</v>
      </c>
    </row>
    <row r="9" spans="3:34" x14ac:dyDescent="0.25">
      <c r="C9" s="2"/>
      <c r="D9" s="2"/>
      <c r="E9" s="17"/>
      <c r="F9" s="66" t="s">
        <v>48</v>
      </c>
      <c r="G9" s="12"/>
      <c r="H9" s="12"/>
      <c r="I9" s="12"/>
      <c r="J9" s="12"/>
      <c r="K9" s="12" t="s">
        <v>53</v>
      </c>
      <c r="L9" s="58"/>
      <c r="M9" s="12"/>
      <c r="N9" s="75"/>
      <c r="O9" s="76"/>
      <c r="P9" s="77"/>
      <c r="Q9" s="75"/>
      <c r="R9" s="76"/>
      <c r="S9" s="77"/>
      <c r="T9" s="75">
        <v>1.4</v>
      </c>
      <c r="U9" s="76"/>
      <c r="V9" s="77">
        <f>T9*H5</f>
        <v>14067.199999999999</v>
      </c>
      <c r="W9" s="75"/>
      <c r="X9" s="76"/>
      <c r="Y9" s="77"/>
      <c r="Z9" s="75"/>
      <c r="AA9" s="76"/>
      <c r="AB9" s="77"/>
      <c r="AC9" s="75"/>
      <c r="AD9" s="13"/>
      <c r="AE9" s="14"/>
      <c r="AF9" s="7"/>
      <c r="AG9" s="1"/>
      <c r="AH9" s="1">
        <f t="shared" si="1"/>
        <v>14067.199999999999</v>
      </c>
    </row>
    <row r="10" spans="3:34" x14ac:dyDescent="0.25">
      <c r="C10" s="2"/>
      <c r="D10" s="2"/>
      <c r="E10" s="17"/>
      <c r="F10" s="66" t="s">
        <v>48</v>
      </c>
      <c r="G10" s="12"/>
      <c r="H10" s="12"/>
      <c r="I10" s="12"/>
      <c r="J10" s="12"/>
      <c r="K10" s="12" t="s">
        <v>54</v>
      </c>
      <c r="L10" s="58"/>
      <c r="M10" s="12"/>
      <c r="N10" s="75"/>
      <c r="O10" s="76"/>
      <c r="P10" s="77"/>
      <c r="Q10" s="75"/>
      <c r="R10" s="76"/>
      <c r="S10" s="77"/>
      <c r="T10" s="75"/>
      <c r="U10" s="76"/>
      <c r="V10" s="77"/>
      <c r="W10" s="75">
        <v>0.15</v>
      </c>
      <c r="X10" s="76"/>
      <c r="Y10" s="77">
        <f>W10*H5</f>
        <v>1507.2</v>
      </c>
      <c r="Z10" s="75"/>
      <c r="AA10" s="76"/>
      <c r="AB10" s="77"/>
      <c r="AC10" s="75"/>
      <c r="AD10" s="13"/>
      <c r="AE10" s="14"/>
      <c r="AF10" s="7"/>
      <c r="AG10" s="1"/>
      <c r="AH10" s="1">
        <f t="shared" si="1"/>
        <v>1507.2</v>
      </c>
    </row>
    <row r="11" spans="3:34" x14ac:dyDescent="0.25">
      <c r="C11" s="2"/>
      <c r="D11" s="2"/>
      <c r="E11" s="17"/>
      <c r="F11" s="66" t="s">
        <v>48</v>
      </c>
      <c r="G11" s="12"/>
      <c r="H11" s="12"/>
      <c r="I11" s="12"/>
      <c r="J11" s="12"/>
      <c r="K11" s="12" t="s">
        <v>55</v>
      </c>
      <c r="L11" s="58"/>
      <c r="M11" s="12"/>
      <c r="N11" s="75"/>
      <c r="O11" s="76"/>
      <c r="P11" s="77"/>
      <c r="Q11" s="75"/>
      <c r="R11" s="76"/>
      <c r="S11" s="77"/>
      <c r="T11" s="75"/>
      <c r="U11" s="76"/>
      <c r="V11" s="77"/>
      <c r="W11" s="75"/>
      <c r="X11" s="76"/>
      <c r="Y11" s="77"/>
      <c r="Z11" s="75"/>
      <c r="AA11" s="76"/>
      <c r="AB11" s="77"/>
      <c r="AC11" s="75">
        <v>0.25</v>
      </c>
      <c r="AD11" s="13"/>
      <c r="AE11" s="14">
        <f>AC11*H5</f>
        <v>2512</v>
      </c>
      <c r="AF11" s="7"/>
      <c r="AG11" s="1"/>
      <c r="AH11" s="1">
        <f t="shared" si="1"/>
        <v>2512</v>
      </c>
    </row>
    <row r="12" spans="3:34" ht="31.5" x14ac:dyDescent="0.25">
      <c r="C12" s="2"/>
      <c r="D12" s="2"/>
      <c r="E12" s="17"/>
      <c r="F12" s="72" t="s">
        <v>30</v>
      </c>
      <c r="G12" s="4"/>
      <c r="H12" s="4">
        <v>303</v>
      </c>
      <c r="I12" s="4"/>
      <c r="J12" s="4"/>
      <c r="K12" s="4" t="s">
        <v>22</v>
      </c>
      <c r="L12" s="58">
        <f>126.27*1000</f>
        <v>126270</v>
      </c>
      <c r="M12" s="4">
        <f>L12*H12</f>
        <v>38259810</v>
      </c>
      <c r="N12" s="75"/>
      <c r="O12" s="76">
        <v>1.55E-2</v>
      </c>
      <c r="P12" s="78">
        <f t="shared" si="0"/>
        <v>593027.05500000005</v>
      </c>
      <c r="Q12" s="75"/>
      <c r="R12" s="76">
        <v>2.1600000000000001E-2</v>
      </c>
      <c r="S12" s="78">
        <f t="shared" si="0"/>
        <v>826411.89600000007</v>
      </c>
      <c r="T12" s="75"/>
      <c r="U12" s="76">
        <v>5.3E-3</v>
      </c>
      <c r="V12" s="78">
        <f t="shared" si="0"/>
        <v>202776.99299999999</v>
      </c>
      <c r="W12" s="75"/>
      <c r="X12" s="76">
        <v>5.9999999999999995E-4</v>
      </c>
      <c r="Y12" s="78">
        <f t="shared" si="0"/>
        <v>22955.885999999999</v>
      </c>
      <c r="Z12" s="75"/>
      <c r="AA12" s="76">
        <v>1E-3</v>
      </c>
      <c r="AB12" s="78">
        <f t="shared" si="0"/>
        <v>38259.81</v>
      </c>
      <c r="AC12" s="75"/>
      <c r="AD12" s="13">
        <v>1.4E-3</v>
      </c>
      <c r="AE12" s="3">
        <f t="shared" si="0"/>
        <v>53563.733999999997</v>
      </c>
      <c r="AF12" s="7" t="e">
        <f>#REF!+#REF!+#REF!+#REF!+#REF!+#REF!+#REF!+#REF!+#REF!+#REF!+#REF!+#REF!</f>
        <v>#REF!</v>
      </c>
      <c r="AG12" s="1" t="e">
        <f>#REF!+#REF!+#REF!+#REF!+#REF!+#REF!+#REF!+#REF!+#REF!+#REF!+#REF!+#REF!-M12</f>
        <v>#REF!</v>
      </c>
      <c r="AH12" s="1">
        <f>AE12+AB12+Y12+V12+S12+P12</f>
        <v>1736995.3740000003</v>
      </c>
    </row>
    <row r="13" spans="3:34" x14ac:dyDescent="0.25">
      <c r="C13" s="2"/>
      <c r="D13" s="2"/>
      <c r="E13" s="17"/>
      <c r="F13" s="66" t="s">
        <v>48</v>
      </c>
      <c r="G13" s="12"/>
      <c r="H13" s="12"/>
      <c r="I13" s="12"/>
      <c r="J13" s="12"/>
      <c r="K13" s="12" t="s">
        <v>49</v>
      </c>
      <c r="L13" s="58"/>
      <c r="M13" s="12"/>
      <c r="N13" s="75"/>
      <c r="O13" s="76"/>
      <c r="P13" s="77"/>
      <c r="Q13" s="75"/>
      <c r="R13" s="76"/>
      <c r="S13" s="77"/>
      <c r="T13" s="75"/>
      <c r="U13" s="76"/>
      <c r="V13" s="77"/>
      <c r="W13" s="75"/>
      <c r="X13" s="76"/>
      <c r="Y13" s="77"/>
      <c r="Z13" s="75">
        <v>0.14000000000000001</v>
      </c>
      <c r="AA13" s="76"/>
      <c r="AB13" s="77">
        <f>Z13*H12</f>
        <v>42.42</v>
      </c>
      <c r="AC13" s="75"/>
      <c r="AD13" s="13"/>
      <c r="AE13" s="14"/>
      <c r="AF13" s="7"/>
      <c r="AG13" s="1"/>
      <c r="AH13" s="1">
        <f t="shared" ref="AH13:AH18" si="2">AE13+AB13+Y13+V13+S13+P13</f>
        <v>42.42</v>
      </c>
    </row>
    <row r="14" spans="3:34" x14ac:dyDescent="0.25">
      <c r="C14" s="2"/>
      <c r="D14" s="2"/>
      <c r="E14" s="17"/>
      <c r="F14" s="66" t="s">
        <v>48</v>
      </c>
      <c r="G14" s="12"/>
      <c r="H14" s="12"/>
      <c r="I14" s="12"/>
      <c r="J14" s="12"/>
      <c r="K14" s="12" t="s">
        <v>51</v>
      </c>
      <c r="L14" s="58"/>
      <c r="M14" s="12"/>
      <c r="N14" s="75">
        <v>2.25</v>
      </c>
      <c r="O14" s="76"/>
      <c r="P14" s="77">
        <f>N14*H12</f>
        <v>681.75</v>
      </c>
      <c r="Q14" s="75"/>
      <c r="R14" s="76"/>
      <c r="S14" s="77"/>
      <c r="T14" s="75"/>
      <c r="U14" s="76"/>
      <c r="V14" s="77"/>
      <c r="W14" s="75"/>
      <c r="X14" s="76"/>
      <c r="Y14" s="77"/>
      <c r="Z14" s="75"/>
      <c r="AA14" s="76"/>
      <c r="AB14" s="77"/>
      <c r="AC14" s="75"/>
      <c r="AD14" s="13"/>
      <c r="AE14" s="14"/>
      <c r="AF14" s="7"/>
      <c r="AG14" s="1"/>
      <c r="AH14" s="1">
        <f t="shared" si="2"/>
        <v>681.75</v>
      </c>
    </row>
    <row r="15" spans="3:34" x14ac:dyDescent="0.25">
      <c r="C15" s="2"/>
      <c r="D15" s="2"/>
      <c r="E15" s="17"/>
      <c r="F15" s="66" t="s">
        <v>48</v>
      </c>
      <c r="G15" s="12"/>
      <c r="H15" s="12"/>
      <c r="I15" s="12"/>
      <c r="J15" s="12"/>
      <c r="K15" s="12" t="s">
        <v>52</v>
      </c>
      <c r="L15" s="58"/>
      <c r="M15" s="12"/>
      <c r="N15" s="75"/>
      <c r="O15" s="76"/>
      <c r="P15" s="77"/>
      <c r="Q15" s="75">
        <v>3.24</v>
      </c>
      <c r="R15" s="76"/>
      <c r="S15" s="77">
        <f>Q15*H12</f>
        <v>981.72</v>
      </c>
      <c r="T15" s="75"/>
      <c r="U15" s="76"/>
      <c r="V15" s="77"/>
      <c r="W15" s="75"/>
      <c r="X15" s="76"/>
      <c r="Y15" s="77"/>
      <c r="Z15" s="75"/>
      <c r="AA15" s="76"/>
      <c r="AB15" s="77"/>
      <c r="AC15" s="75"/>
      <c r="AD15" s="13"/>
      <c r="AE15" s="14"/>
      <c r="AF15" s="7"/>
      <c r="AG15" s="1"/>
      <c r="AH15" s="1">
        <f t="shared" si="2"/>
        <v>981.72</v>
      </c>
    </row>
    <row r="16" spans="3:34" x14ac:dyDescent="0.25">
      <c r="C16" s="2"/>
      <c r="D16" s="2"/>
      <c r="E16" s="17"/>
      <c r="F16" s="66" t="s">
        <v>48</v>
      </c>
      <c r="G16" s="12"/>
      <c r="H16" s="12"/>
      <c r="I16" s="12"/>
      <c r="J16" s="12"/>
      <c r="K16" s="12" t="s">
        <v>53</v>
      </c>
      <c r="L16" s="58"/>
      <c r="M16" s="12"/>
      <c r="N16" s="75"/>
      <c r="O16" s="76"/>
      <c r="P16" s="77"/>
      <c r="Q16" s="75"/>
      <c r="R16" s="76"/>
      <c r="S16" s="77"/>
      <c r="T16" s="75">
        <v>0.95</v>
      </c>
      <c r="U16" s="76"/>
      <c r="V16" s="77">
        <f>T16*H12</f>
        <v>287.84999999999997</v>
      </c>
      <c r="W16" s="75"/>
      <c r="X16" s="76"/>
      <c r="Y16" s="77"/>
      <c r="Z16" s="75"/>
      <c r="AA16" s="76"/>
      <c r="AB16" s="77"/>
      <c r="AC16" s="75"/>
      <c r="AD16" s="13"/>
      <c r="AE16" s="14"/>
      <c r="AF16" s="7"/>
      <c r="AG16" s="1"/>
      <c r="AH16" s="1">
        <f t="shared" si="2"/>
        <v>287.84999999999997</v>
      </c>
    </row>
    <row r="17" spans="3:34" x14ac:dyDescent="0.25">
      <c r="C17" s="2"/>
      <c r="D17" s="2"/>
      <c r="E17" s="17"/>
      <c r="F17" s="66" t="s">
        <v>48</v>
      </c>
      <c r="G17" s="12"/>
      <c r="H17" s="12"/>
      <c r="I17" s="12"/>
      <c r="J17" s="12"/>
      <c r="K17" s="12" t="s">
        <v>54</v>
      </c>
      <c r="L17" s="58"/>
      <c r="M17" s="12"/>
      <c r="N17" s="75"/>
      <c r="O17" s="76"/>
      <c r="P17" s="77"/>
      <c r="Q17" s="75"/>
      <c r="R17" s="76"/>
      <c r="S17" s="77"/>
      <c r="T17" s="75"/>
      <c r="U17" s="76"/>
      <c r="V17" s="77"/>
      <c r="W17" s="75">
        <v>0.1</v>
      </c>
      <c r="X17" s="76"/>
      <c r="Y17" s="77">
        <f>W17*H12</f>
        <v>30.3</v>
      </c>
      <c r="Z17" s="75"/>
      <c r="AA17" s="76"/>
      <c r="AB17" s="77"/>
      <c r="AC17" s="75"/>
      <c r="AD17" s="13"/>
      <c r="AE17" s="14"/>
      <c r="AF17" s="7"/>
      <c r="AG17" s="1"/>
      <c r="AH17" s="1">
        <f t="shared" si="2"/>
        <v>30.3</v>
      </c>
    </row>
    <row r="18" spans="3:34" x14ac:dyDescent="0.25">
      <c r="C18" s="2"/>
      <c r="D18" s="2"/>
      <c r="E18" s="17"/>
      <c r="F18" s="66" t="s">
        <v>48</v>
      </c>
      <c r="G18" s="12"/>
      <c r="H18" s="12"/>
      <c r="I18" s="12"/>
      <c r="J18" s="12"/>
      <c r="K18" s="12" t="s">
        <v>55</v>
      </c>
      <c r="L18" s="58"/>
      <c r="M18" s="12"/>
      <c r="N18" s="75"/>
      <c r="O18" s="76"/>
      <c r="P18" s="77"/>
      <c r="Q18" s="75"/>
      <c r="R18" s="76"/>
      <c r="S18" s="77"/>
      <c r="T18" s="75"/>
      <c r="U18" s="76"/>
      <c r="V18" s="77"/>
      <c r="W18" s="75"/>
      <c r="X18" s="76"/>
      <c r="Y18" s="77"/>
      <c r="Z18" s="75"/>
      <c r="AA18" s="76"/>
      <c r="AB18" s="77"/>
      <c r="AC18" s="75">
        <v>0.17</v>
      </c>
      <c r="AD18" s="13"/>
      <c r="AE18" s="14">
        <f>AC18*H12</f>
        <v>51.510000000000005</v>
      </c>
      <c r="AF18" s="7"/>
      <c r="AG18" s="1"/>
      <c r="AH18" s="1">
        <f t="shared" si="2"/>
        <v>51.510000000000005</v>
      </c>
    </row>
    <row r="19" spans="3:34" x14ac:dyDescent="0.25">
      <c r="C19" s="2"/>
      <c r="D19" s="2"/>
      <c r="E19" s="17"/>
      <c r="F19" s="73" t="s">
        <v>28</v>
      </c>
      <c r="G19" s="4"/>
      <c r="H19" s="4"/>
      <c r="I19" s="4">
        <f>52*3*6</f>
        <v>936</v>
      </c>
      <c r="J19" s="4"/>
      <c r="K19" s="4" t="s">
        <v>25</v>
      </c>
      <c r="L19" s="58">
        <f>276.67*1000</f>
        <v>276670</v>
      </c>
      <c r="M19" s="4">
        <f>L19*I19</f>
        <v>258963120</v>
      </c>
      <c r="N19" s="79"/>
      <c r="O19" s="80">
        <v>1.5900000000000001E-2</v>
      </c>
      <c r="P19" s="78">
        <f t="shared" ref="P19:AE26" si="3">O19*$M19</f>
        <v>4117513.6080000005</v>
      </c>
      <c r="Q19" s="79"/>
      <c r="R19" s="80">
        <v>2.4500000000000001E-2</v>
      </c>
      <c r="S19" s="78">
        <f t="shared" si="3"/>
        <v>6344596.4400000004</v>
      </c>
      <c r="T19" s="79"/>
      <c r="U19" s="80">
        <v>2.8999999999999998E-3</v>
      </c>
      <c r="V19" s="78">
        <f t="shared" si="3"/>
        <v>750993.04799999995</v>
      </c>
      <c r="W19" s="79"/>
      <c r="X19" s="80">
        <v>5.0000000000000001E-4</v>
      </c>
      <c r="Y19" s="78">
        <f t="shared" si="3"/>
        <v>129481.56</v>
      </c>
      <c r="Z19" s="79"/>
      <c r="AA19" s="80">
        <v>1.1000000000000001E-3</v>
      </c>
      <c r="AB19" s="78">
        <f t="shared" si="3"/>
        <v>284859.43200000003</v>
      </c>
      <c r="AC19" s="79"/>
      <c r="AD19" s="6">
        <v>1.4E-3</v>
      </c>
      <c r="AE19" s="3">
        <f t="shared" si="3"/>
        <v>362548.36800000002</v>
      </c>
      <c r="AF19" s="7" t="e">
        <f>#REF!+#REF!+#REF!+#REF!+#REF!+#REF!+#REF!+#REF!+#REF!+#REF!+#REF!+#REF!</f>
        <v>#REF!</v>
      </c>
      <c r="AG19" s="1" t="e">
        <f>#REF!+#REF!+#REF!+#REF!+#REF!+#REF!+#REF!+#REF!+#REF!+#REF!+#REF!+#REF!-M19</f>
        <v>#REF!</v>
      </c>
      <c r="AH19" s="1">
        <f t="shared" ref="AH19:AH369" si="4">AE19+AB19+Y19+V19+S19+P19</f>
        <v>11989992.456</v>
      </c>
    </row>
    <row r="20" spans="3:34" x14ac:dyDescent="0.25">
      <c r="C20" s="2"/>
      <c r="D20" s="2"/>
      <c r="E20" s="17"/>
      <c r="F20" s="66" t="s">
        <v>56</v>
      </c>
      <c r="G20" s="12"/>
      <c r="H20" s="12"/>
      <c r="I20" s="12"/>
      <c r="J20" s="12"/>
      <c r="K20" s="12" t="s">
        <v>57</v>
      </c>
      <c r="L20" s="58"/>
      <c r="M20" s="12"/>
      <c r="N20" s="75"/>
      <c r="O20" s="76"/>
      <c r="P20" s="77"/>
      <c r="Q20" s="75"/>
      <c r="R20" s="76"/>
      <c r="S20" s="77"/>
      <c r="T20" s="75"/>
      <c r="U20" s="76"/>
      <c r="V20" s="77"/>
      <c r="W20" s="75"/>
      <c r="X20" s="76"/>
      <c r="Y20" s="77"/>
      <c r="Z20" s="75">
        <v>0.3</v>
      </c>
      <c r="AA20" s="76"/>
      <c r="AB20" s="77">
        <f>Z20*I19</f>
        <v>280.8</v>
      </c>
      <c r="AC20" s="75"/>
      <c r="AD20" s="13"/>
      <c r="AE20" s="14"/>
      <c r="AF20" s="7"/>
      <c r="AG20" s="1"/>
      <c r="AH20" s="1">
        <f t="shared" si="4"/>
        <v>280.8</v>
      </c>
    </row>
    <row r="21" spans="3:34" x14ac:dyDescent="0.25">
      <c r="C21" s="2"/>
      <c r="D21" s="2"/>
      <c r="E21" s="17"/>
      <c r="F21" s="66" t="s">
        <v>56</v>
      </c>
      <c r="G21" s="12"/>
      <c r="H21" s="12"/>
      <c r="I21" s="12"/>
      <c r="J21" s="12"/>
      <c r="K21" s="12" t="s">
        <v>58</v>
      </c>
      <c r="L21" s="58"/>
      <c r="M21" s="12"/>
      <c r="N21" s="75">
        <v>4.58</v>
      </c>
      <c r="O21" s="76"/>
      <c r="P21" s="77">
        <f>N21*I19</f>
        <v>4286.88</v>
      </c>
      <c r="Q21" s="75"/>
      <c r="R21" s="76"/>
      <c r="S21" s="77"/>
      <c r="T21" s="75"/>
      <c r="U21" s="76"/>
      <c r="V21" s="77"/>
      <c r="W21" s="75"/>
      <c r="X21" s="76"/>
      <c r="Y21" s="77"/>
      <c r="Z21" s="75"/>
      <c r="AA21" s="76"/>
      <c r="AB21" s="77"/>
      <c r="AC21" s="75"/>
      <c r="AD21" s="13"/>
      <c r="AE21" s="14"/>
      <c r="AF21" s="7"/>
      <c r="AG21" s="1"/>
      <c r="AH21" s="1">
        <f t="shared" si="4"/>
        <v>4286.88</v>
      </c>
    </row>
    <row r="22" spans="3:34" x14ac:dyDescent="0.25">
      <c r="C22" s="2"/>
      <c r="D22" s="2"/>
      <c r="E22" s="17"/>
      <c r="F22" s="66" t="s">
        <v>56</v>
      </c>
      <c r="G22" s="12"/>
      <c r="H22" s="12"/>
      <c r="I22" s="12"/>
      <c r="J22" s="12"/>
      <c r="K22" s="12" t="s">
        <v>59</v>
      </c>
      <c r="L22" s="58"/>
      <c r="M22" s="12"/>
      <c r="N22" s="75"/>
      <c r="O22" s="76"/>
      <c r="P22" s="77"/>
      <c r="Q22" s="75">
        <v>6.59</v>
      </c>
      <c r="R22" s="76"/>
      <c r="S22" s="77">
        <f>Q22*I19</f>
        <v>6168.24</v>
      </c>
      <c r="T22" s="75"/>
      <c r="U22" s="76"/>
      <c r="V22" s="77"/>
      <c r="W22" s="75"/>
      <c r="X22" s="76"/>
      <c r="Y22" s="77"/>
      <c r="Z22" s="75"/>
      <c r="AA22" s="76"/>
      <c r="AB22" s="77"/>
      <c r="AC22" s="75"/>
      <c r="AD22" s="13"/>
      <c r="AE22" s="14"/>
      <c r="AF22" s="7"/>
      <c r="AG22" s="1"/>
      <c r="AH22" s="1">
        <f t="shared" si="4"/>
        <v>6168.24</v>
      </c>
    </row>
    <row r="23" spans="3:34" x14ac:dyDescent="0.25">
      <c r="C23" s="2"/>
      <c r="D23" s="2"/>
      <c r="E23" s="17"/>
      <c r="F23" s="66" t="s">
        <v>56</v>
      </c>
      <c r="G23" s="12"/>
      <c r="H23" s="12"/>
      <c r="I23" s="12"/>
      <c r="J23" s="12"/>
      <c r="K23" s="12" t="s">
        <v>60</v>
      </c>
      <c r="L23" s="58"/>
      <c r="M23" s="12"/>
      <c r="N23" s="75"/>
      <c r="O23" s="76"/>
      <c r="P23" s="77"/>
      <c r="Q23" s="75"/>
      <c r="R23" s="76"/>
      <c r="S23" s="77"/>
      <c r="T23" s="75">
        <v>0.87</v>
      </c>
      <c r="U23" s="76"/>
      <c r="V23" s="77">
        <f>T23*I19</f>
        <v>814.32</v>
      </c>
      <c r="W23" s="75"/>
      <c r="X23" s="76"/>
      <c r="Y23" s="77"/>
      <c r="Z23" s="75"/>
      <c r="AA23" s="76"/>
      <c r="AB23" s="77"/>
      <c r="AC23" s="75"/>
      <c r="AD23" s="13"/>
      <c r="AE23" s="14"/>
      <c r="AF23" s="7"/>
      <c r="AG23" s="1"/>
      <c r="AH23" s="1">
        <f t="shared" si="4"/>
        <v>814.32</v>
      </c>
    </row>
    <row r="24" spans="3:34" x14ac:dyDescent="0.25">
      <c r="C24" s="2"/>
      <c r="D24" s="2"/>
      <c r="E24" s="17"/>
      <c r="F24" s="66" t="s">
        <v>56</v>
      </c>
      <c r="G24" s="12"/>
      <c r="H24" s="12"/>
      <c r="I24" s="12"/>
      <c r="J24" s="12"/>
      <c r="K24" s="12" t="s">
        <v>61</v>
      </c>
      <c r="L24" s="58"/>
      <c r="M24" s="12"/>
      <c r="N24" s="75"/>
      <c r="O24" s="76"/>
      <c r="P24" s="77"/>
      <c r="Q24" s="75"/>
      <c r="R24" s="76"/>
      <c r="S24" s="77"/>
      <c r="T24" s="75"/>
      <c r="U24" s="76"/>
      <c r="V24" s="77"/>
      <c r="W24" s="75">
        <v>0.13</v>
      </c>
      <c r="X24" s="76"/>
      <c r="Y24" s="77">
        <f>W24*I19</f>
        <v>121.68</v>
      </c>
      <c r="Z24" s="75"/>
      <c r="AA24" s="76"/>
      <c r="AB24" s="77"/>
      <c r="AC24" s="75"/>
      <c r="AD24" s="13"/>
      <c r="AE24" s="14"/>
      <c r="AF24" s="7"/>
      <c r="AG24" s="1"/>
      <c r="AH24" s="1">
        <f t="shared" si="4"/>
        <v>121.68</v>
      </c>
    </row>
    <row r="25" spans="3:34" x14ac:dyDescent="0.25">
      <c r="C25" s="2"/>
      <c r="D25" s="2"/>
      <c r="E25" s="17"/>
      <c r="F25" s="66" t="s">
        <v>56</v>
      </c>
      <c r="G25" s="12"/>
      <c r="H25" s="12"/>
      <c r="I25" s="12"/>
      <c r="J25" s="12"/>
      <c r="K25" s="12" t="s">
        <v>62</v>
      </c>
      <c r="L25" s="58"/>
      <c r="M25" s="12"/>
      <c r="N25" s="75"/>
      <c r="O25" s="76"/>
      <c r="P25" s="77"/>
      <c r="Q25" s="75"/>
      <c r="R25" s="76"/>
      <c r="S25" s="77"/>
      <c r="T25" s="75"/>
      <c r="U25" s="76"/>
      <c r="V25" s="77"/>
      <c r="W25" s="75"/>
      <c r="X25" s="76"/>
      <c r="Y25" s="77"/>
      <c r="Z25" s="75"/>
      <c r="AA25" s="76"/>
      <c r="AB25" s="77"/>
      <c r="AC25" s="75">
        <v>0.39</v>
      </c>
      <c r="AD25" s="13"/>
      <c r="AE25" s="14">
        <f>AC25*I19</f>
        <v>365.04</v>
      </c>
      <c r="AF25" s="7"/>
      <c r="AG25" s="1"/>
      <c r="AH25" s="1">
        <f t="shared" si="4"/>
        <v>365.04</v>
      </c>
    </row>
    <row r="26" spans="3:34" x14ac:dyDescent="0.25">
      <c r="C26" s="8"/>
      <c r="D26" s="8"/>
      <c r="E26" s="18"/>
      <c r="F26" s="74" t="s">
        <v>29</v>
      </c>
      <c r="G26" s="4"/>
      <c r="H26" s="4"/>
      <c r="I26" s="4"/>
      <c r="J26" s="4">
        <f>2*9500</f>
        <v>19000</v>
      </c>
      <c r="K26" s="4" t="s">
        <v>37</v>
      </c>
      <c r="L26" s="58">
        <v>382230</v>
      </c>
      <c r="M26" s="4">
        <f>J26*L26/100</f>
        <v>72623700</v>
      </c>
      <c r="N26" s="79"/>
      <c r="O26" s="80">
        <v>1.8100000000000002E-2</v>
      </c>
      <c r="P26" s="78">
        <f t="shared" si="3"/>
        <v>1314488.9700000002</v>
      </c>
      <c r="Q26" s="79"/>
      <c r="R26" s="80">
        <v>3.0000000000000001E-3</v>
      </c>
      <c r="S26" s="78">
        <f t="shared" si="3"/>
        <v>217871.1</v>
      </c>
      <c r="T26" s="79"/>
      <c r="U26" s="80">
        <v>7.6E-3</v>
      </c>
      <c r="V26" s="78">
        <f t="shared" si="3"/>
        <v>551940.12</v>
      </c>
      <c r="W26" s="79"/>
      <c r="X26" s="80">
        <v>5.1000000000000004E-3</v>
      </c>
      <c r="Y26" s="78">
        <f t="shared" si="3"/>
        <v>370380.87000000005</v>
      </c>
      <c r="Z26" s="79"/>
      <c r="AA26" s="80"/>
      <c r="AB26" s="78"/>
      <c r="AC26" s="79"/>
      <c r="AD26" s="6">
        <v>1.4E-3</v>
      </c>
      <c r="AE26" s="3">
        <f t="shared" si="3"/>
        <v>101673.18</v>
      </c>
      <c r="AF26" s="7" t="e">
        <f>#REF!+#REF!+#REF!+#REF!+#REF!+#REF!+#REF!+#REF!+#REF!+#REF!+#REF!+#REF!</f>
        <v>#REF!</v>
      </c>
      <c r="AG26" s="1" t="e">
        <f>#REF!+#REF!+#REF!+#REF!+#REF!+#REF!+#REF!+#REF!+#REF!+#REF!+#REF!+#REF!-M26</f>
        <v>#REF!</v>
      </c>
      <c r="AH26" s="1">
        <f t="shared" si="4"/>
        <v>2556354.2400000002</v>
      </c>
    </row>
    <row r="27" spans="3:34" x14ac:dyDescent="0.25">
      <c r="C27" s="2"/>
      <c r="D27" s="2"/>
      <c r="E27" s="17"/>
      <c r="F27" s="66" t="s">
        <v>56</v>
      </c>
      <c r="G27" s="4"/>
      <c r="H27" s="4"/>
      <c r="I27" s="4"/>
      <c r="J27" s="4"/>
      <c r="K27" s="4" t="s">
        <v>63</v>
      </c>
      <c r="L27" s="58"/>
      <c r="M27" s="4"/>
      <c r="N27" s="79">
        <v>4.67</v>
      </c>
      <c r="O27" s="80"/>
      <c r="P27" s="78">
        <f>N27*J26</f>
        <v>88730</v>
      </c>
      <c r="Q27" s="79"/>
      <c r="R27" s="80"/>
      <c r="S27" s="78"/>
      <c r="T27" s="79"/>
      <c r="U27" s="80"/>
      <c r="V27" s="78"/>
      <c r="W27" s="79"/>
      <c r="X27" s="80"/>
      <c r="Y27" s="78"/>
      <c r="Z27" s="79"/>
      <c r="AA27" s="80"/>
      <c r="AB27" s="78"/>
      <c r="AC27" s="79"/>
      <c r="AD27" s="6"/>
      <c r="AE27" s="3"/>
      <c r="AF27" s="7"/>
      <c r="AG27" s="1"/>
      <c r="AH27" s="1">
        <f t="shared" ref="AH27:AH31" si="5">AE27+AB27+Y27+V27+S27+P27</f>
        <v>88730</v>
      </c>
    </row>
    <row r="28" spans="3:34" x14ac:dyDescent="0.25">
      <c r="C28" s="2"/>
      <c r="D28" s="2"/>
      <c r="E28" s="17"/>
      <c r="F28" s="66" t="s">
        <v>56</v>
      </c>
      <c r="G28" s="4"/>
      <c r="H28" s="4"/>
      <c r="I28" s="4"/>
      <c r="J28" s="4"/>
      <c r="K28" s="4" t="s">
        <v>64</v>
      </c>
      <c r="L28" s="58"/>
      <c r="M28" s="4"/>
      <c r="N28" s="79"/>
      <c r="O28" s="80"/>
      <c r="P28" s="78"/>
      <c r="Q28" s="79">
        <v>0.86</v>
      </c>
      <c r="R28" s="80"/>
      <c r="S28" s="78">
        <f>Q28*J26</f>
        <v>16340</v>
      </c>
      <c r="T28" s="79"/>
      <c r="U28" s="80"/>
      <c r="V28" s="78"/>
      <c r="W28" s="79"/>
      <c r="X28" s="80"/>
      <c r="Y28" s="78"/>
      <c r="Z28" s="79"/>
      <c r="AA28" s="80"/>
      <c r="AB28" s="78"/>
      <c r="AC28" s="79"/>
      <c r="AD28" s="6"/>
      <c r="AE28" s="3"/>
      <c r="AF28" s="7"/>
      <c r="AG28" s="1"/>
      <c r="AH28" s="1">
        <f t="shared" si="5"/>
        <v>16340</v>
      </c>
    </row>
    <row r="29" spans="3:34" x14ac:dyDescent="0.25">
      <c r="C29" s="2"/>
      <c r="D29" s="2"/>
      <c r="E29" s="17"/>
      <c r="F29" s="66" t="s">
        <v>56</v>
      </c>
      <c r="G29" s="12"/>
      <c r="H29" s="12"/>
      <c r="I29" s="12"/>
      <c r="J29" s="12"/>
      <c r="K29" s="12" t="s">
        <v>65</v>
      </c>
      <c r="L29" s="58"/>
      <c r="M29" s="12"/>
      <c r="N29" s="75"/>
      <c r="O29" s="76"/>
      <c r="P29" s="77"/>
      <c r="Q29" s="75"/>
      <c r="R29" s="76"/>
      <c r="S29" s="77"/>
      <c r="T29" s="75">
        <v>1.94</v>
      </c>
      <c r="U29" s="76"/>
      <c r="V29" s="77">
        <f>T29*J26</f>
        <v>36860</v>
      </c>
      <c r="W29" s="75"/>
      <c r="X29" s="76"/>
      <c r="Y29" s="77"/>
      <c r="Z29" s="75"/>
      <c r="AA29" s="76"/>
      <c r="AB29" s="77"/>
      <c r="AC29" s="75"/>
      <c r="AD29" s="13"/>
      <c r="AE29" s="14"/>
      <c r="AF29" s="7"/>
      <c r="AG29" s="1"/>
      <c r="AH29" s="1">
        <f t="shared" si="5"/>
        <v>36860</v>
      </c>
    </row>
    <row r="30" spans="3:34" x14ac:dyDescent="0.25">
      <c r="C30" s="2"/>
      <c r="D30" s="2"/>
      <c r="E30" s="17"/>
      <c r="F30" s="66" t="s">
        <v>56</v>
      </c>
      <c r="G30" s="12"/>
      <c r="H30" s="12"/>
      <c r="I30" s="12"/>
      <c r="J30" s="12"/>
      <c r="K30" s="12" t="s">
        <v>66</v>
      </c>
      <c r="L30" s="58"/>
      <c r="M30" s="12"/>
      <c r="N30" s="75"/>
      <c r="O30" s="76"/>
      <c r="P30" s="77"/>
      <c r="Q30" s="75"/>
      <c r="R30" s="76"/>
      <c r="S30" s="77"/>
      <c r="T30" s="75"/>
      <c r="U30" s="76"/>
      <c r="V30" s="77"/>
      <c r="W30" s="75">
        <v>1.32</v>
      </c>
      <c r="X30" s="76"/>
      <c r="Y30" s="77">
        <f>W30*J26</f>
        <v>25080</v>
      </c>
      <c r="Z30" s="75"/>
      <c r="AA30" s="76"/>
      <c r="AB30" s="77"/>
      <c r="AC30" s="75"/>
      <c r="AD30" s="13"/>
      <c r="AE30" s="14"/>
      <c r="AF30" s="7"/>
      <c r="AG30" s="1"/>
      <c r="AH30" s="1">
        <f t="shared" si="5"/>
        <v>25080</v>
      </c>
    </row>
    <row r="31" spans="3:34" x14ac:dyDescent="0.25">
      <c r="C31" s="2"/>
      <c r="D31" s="2"/>
      <c r="E31" s="17"/>
      <c r="F31" s="66" t="s">
        <v>56</v>
      </c>
      <c r="G31" s="12"/>
      <c r="H31" s="12"/>
      <c r="I31" s="12"/>
      <c r="J31" s="12"/>
      <c r="K31" s="12" t="s">
        <v>67</v>
      </c>
      <c r="L31" s="58"/>
      <c r="M31" s="12"/>
      <c r="N31" s="75"/>
      <c r="O31" s="76"/>
      <c r="P31" s="77"/>
      <c r="Q31" s="75"/>
      <c r="R31" s="76"/>
      <c r="S31" s="77"/>
      <c r="T31" s="75"/>
      <c r="U31" s="76"/>
      <c r="V31" s="77"/>
      <c r="W31" s="75"/>
      <c r="X31" s="76"/>
      <c r="Y31" s="77"/>
      <c r="Z31" s="75"/>
      <c r="AA31" s="76"/>
      <c r="AB31" s="77"/>
      <c r="AC31" s="75">
        <v>0.53</v>
      </c>
      <c r="AD31" s="13"/>
      <c r="AE31" s="14">
        <f>AC31*J26</f>
        <v>10070</v>
      </c>
      <c r="AF31" s="7"/>
      <c r="AG31" s="1"/>
      <c r="AH31" s="1">
        <f t="shared" si="5"/>
        <v>10070</v>
      </c>
    </row>
    <row r="32" spans="3:34" ht="16.5" thickBot="1" x14ac:dyDescent="0.3">
      <c r="C32" s="15"/>
      <c r="D32" s="15"/>
      <c r="E32" s="19"/>
      <c r="F32" s="26" t="s">
        <v>4</v>
      </c>
      <c r="G32" s="27"/>
      <c r="H32" s="27"/>
      <c r="I32" s="27"/>
      <c r="J32" s="27"/>
      <c r="K32" s="27"/>
      <c r="L32" s="27"/>
      <c r="M32" s="27">
        <f>SUM(M5:M31)</f>
        <v>2211343590</v>
      </c>
      <c r="N32" s="27"/>
      <c r="O32" s="28"/>
      <c r="P32" s="27">
        <f>SUM(P5:P31)</f>
        <v>34694989.063000001</v>
      </c>
      <c r="Q32" s="27"/>
      <c r="R32" s="28"/>
      <c r="S32" s="27">
        <f>SUM(S5:S31)</f>
        <v>47236230.772</v>
      </c>
      <c r="T32" s="27"/>
      <c r="U32" s="28"/>
      <c r="V32" s="27">
        <f>SUM(V5:V31)</f>
        <v>11317673.419</v>
      </c>
      <c r="W32" s="27"/>
      <c r="X32" s="28"/>
      <c r="Y32" s="27">
        <f>SUM(Y5:Y31)</f>
        <v>1654455.672</v>
      </c>
      <c r="Z32" s="27"/>
      <c r="AA32" s="28"/>
      <c r="AB32" s="27">
        <f>SUM(AB5:AB31)</f>
        <v>2167149.9819999998</v>
      </c>
      <c r="AC32" s="27"/>
      <c r="AD32" s="28"/>
      <c r="AE32" s="27">
        <f>SUM(AE5:AE31)</f>
        <v>3108879.5759999999</v>
      </c>
      <c r="AF32" s="7" t="e">
        <f>#REF!+#REF!+#REF!+#REF!+#REF!+#REF!+#REF!+#REF!+#REF!+#REF!+#REF!+#REF!</f>
        <v>#REF!</v>
      </c>
      <c r="AG32" s="1" t="e">
        <f>#REF!+#REF!+#REF!+#REF!+#REF!+#REF!+#REF!+#REF!+#REF!+#REF!+#REF!+#REF!-M32</f>
        <v>#REF!</v>
      </c>
      <c r="AH32" s="69">
        <f>AE32+AB32+Y32+V32+S32+P32</f>
        <v>100179378.484</v>
      </c>
    </row>
    <row r="33" spans="3:34" x14ac:dyDescent="0.25">
      <c r="C33" s="11" t="s">
        <v>0</v>
      </c>
      <c r="D33" s="11" t="s">
        <v>1</v>
      </c>
      <c r="E33" s="29" t="s">
        <v>2</v>
      </c>
      <c r="F33" s="20" t="s">
        <v>5</v>
      </c>
      <c r="G33" s="21">
        <v>17615.8</v>
      </c>
      <c r="H33" s="21">
        <v>11230</v>
      </c>
      <c r="I33" s="48"/>
      <c r="J33" s="48"/>
      <c r="K33" s="21" t="s">
        <v>21</v>
      </c>
      <c r="L33" s="58">
        <f>179.64*1000</f>
        <v>179640</v>
      </c>
      <c r="M33" s="21">
        <f>L33*H33</f>
        <v>2017357200</v>
      </c>
      <c r="N33" s="21"/>
      <c r="O33" s="22">
        <v>1.6E-2</v>
      </c>
      <c r="P33" s="23">
        <f t="shared" ref="P33:P54" si="6">O33*$M33</f>
        <v>32277715.199999999</v>
      </c>
      <c r="Q33" s="21"/>
      <c r="R33" s="22">
        <v>2.3300000000000001E-2</v>
      </c>
      <c r="S33" s="3">
        <f t="shared" ref="S33:S54" si="7">R33*$M33</f>
        <v>47004422.760000005</v>
      </c>
      <c r="T33" s="21"/>
      <c r="U33" s="22">
        <v>7.0000000000000001E-3</v>
      </c>
      <c r="V33" s="3">
        <f t="shared" ref="V33:V54" si="8">U33*$M33</f>
        <v>14121500.4</v>
      </c>
      <c r="W33" s="21"/>
      <c r="X33" s="22">
        <v>6.9999999999999999E-4</v>
      </c>
      <c r="Y33" s="3">
        <f t="shared" ref="Y33:Y54" si="9">X33*$M33</f>
        <v>1412150.04</v>
      </c>
      <c r="Z33" s="21"/>
      <c r="AA33" s="22">
        <v>1E-3</v>
      </c>
      <c r="AB33" s="3">
        <f t="shared" ref="AB33:AB54" si="10">AA33*$M33</f>
        <v>2017357.2</v>
      </c>
      <c r="AC33" s="21"/>
      <c r="AD33" s="22">
        <v>1.4E-3</v>
      </c>
      <c r="AE33" s="3">
        <f t="shared" ref="AE33:AE54" si="11">AD33*$M33</f>
        <v>2824300.08</v>
      </c>
      <c r="AF33" s="7" t="e">
        <f>#REF!+#REF!+#REF!+#REF!+#REF!+#REF!+#REF!+#REF!+#REF!+#REF!+#REF!+#REF!</f>
        <v>#REF!</v>
      </c>
      <c r="AG33" s="1" t="e">
        <f>#REF!+#REF!+#REF!+#REF!+#REF!+#REF!+#REF!+#REF!+#REF!+#REF!+#REF!+#REF!-M33</f>
        <v>#REF!</v>
      </c>
      <c r="AH33" s="1">
        <f t="shared" si="4"/>
        <v>99657445.680000007</v>
      </c>
    </row>
    <row r="34" spans="3:34" x14ac:dyDescent="0.25">
      <c r="C34" s="2"/>
      <c r="D34" s="2"/>
      <c r="E34" s="17"/>
      <c r="F34" s="66" t="s">
        <v>48</v>
      </c>
      <c r="G34" s="12"/>
      <c r="H34" s="12"/>
      <c r="I34" s="12"/>
      <c r="J34" s="12"/>
      <c r="K34" s="12" t="s">
        <v>49</v>
      </c>
      <c r="L34" s="58"/>
      <c r="M34" s="12"/>
      <c r="N34" s="12"/>
      <c r="O34" s="13"/>
      <c r="P34" s="14"/>
      <c r="Q34" s="12"/>
      <c r="R34" s="13"/>
      <c r="S34" s="14"/>
      <c r="T34" s="12"/>
      <c r="U34" s="13"/>
      <c r="V34" s="14"/>
      <c r="W34" s="12"/>
      <c r="X34" s="13"/>
      <c r="Y34" s="14"/>
      <c r="Z34" s="12">
        <v>0.22</v>
      </c>
      <c r="AA34" s="13"/>
      <c r="AB34" s="14">
        <f>Z34*H33</f>
        <v>2470.6</v>
      </c>
      <c r="AC34" s="12"/>
      <c r="AD34" s="13"/>
      <c r="AE34" s="14"/>
      <c r="AF34" s="7"/>
      <c r="AG34" s="1"/>
      <c r="AH34" s="1">
        <f t="shared" si="4"/>
        <v>2470.6</v>
      </c>
    </row>
    <row r="35" spans="3:34" x14ac:dyDescent="0.25">
      <c r="C35" s="2"/>
      <c r="D35" s="2"/>
      <c r="E35" s="17"/>
      <c r="F35" s="66" t="s">
        <v>48</v>
      </c>
      <c r="G35" s="12"/>
      <c r="H35" s="12"/>
      <c r="I35" s="12"/>
      <c r="J35" s="12"/>
      <c r="K35" s="12" t="s">
        <v>51</v>
      </c>
      <c r="L35" s="58"/>
      <c r="M35" s="12"/>
      <c r="N35" s="12">
        <v>3.29</v>
      </c>
      <c r="O35" s="13"/>
      <c r="P35" s="14">
        <f>N35*H33</f>
        <v>36946.699999999997</v>
      </c>
      <c r="Q35" s="12"/>
      <c r="R35" s="13"/>
      <c r="S35" s="14"/>
      <c r="T35" s="12"/>
      <c r="U35" s="13"/>
      <c r="V35" s="14"/>
      <c r="W35" s="12"/>
      <c r="X35" s="13"/>
      <c r="Y35" s="14"/>
      <c r="Z35" s="12"/>
      <c r="AA35" s="13"/>
      <c r="AB35" s="14"/>
      <c r="AC35" s="12"/>
      <c r="AD35" s="13"/>
      <c r="AE35" s="14"/>
      <c r="AF35" s="7"/>
      <c r="AG35" s="1"/>
      <c r="AH35" s="1">
        <f t="shared" si="4"/>
        <v>36946.699999999997</v>
      </c>
    </row>
    <row r="36" spans="3:34" x14ac:dyDescent="0.25">
      <c r="C36" s="2"/>
      <c r="D36" s="2"/>
      <c r="E36" s="17"/>
      <c r="F36" s="66" t="s">
        <v>48</v>
      </c>
      <c r="G36" s="12"/>
      <c r="H36" s="12"/>
      <c r="I36" s="12"/>
      <c r="J36" s="12"/>
      <c r="K36" s="12" t="s">
        <v>52</v>
      </c>
      <c r="L36" s="58"/>
      <c r="M36" s="12"/>
      <c r="N36" s="12"/>
      <c r="O36" s="13"/>
      <c r="P36" s="14"/>
      <c r="Q36" s="12">
        <v>4.7300000000000004</v>
      </c>
      <c r="R36" s="13"/>
      <c r="S36" s="14">
        <f>Q36*H33</f>
        <v>53117.9</v>
      </c>
      <c r="T36" s="12"/>
      <c r="U36" s="13"/>
      <c r="V36" s="14"/>
      <c r="W36" s="12"/>
      <c r="X36" s="13"/>
      <c r="Y36" s="14"/>
      <c r="Z36" s="12"/>
      <c r="AA36" s="13"/>
      <c r="AB36" s="14"/>
      <c r="AC36" s="12"/>
      <c r="AD36" s="13"/>
      <c r="AE36" s="14"/>
      <c r="AF36" s="7"/>
      <c r="AG36" s="1"/>
      <c r="AH36" s="1">
        <f t="shared" si="4"/>
        <v>53117.9</v>
      </c>
    </row>
    <row r="37" spans="3:34" x14ac:dyDescent="0.25">
      <c r="C37" s="2"/>
      <c r="D37" s="2"/>
      <c r="E37" s="17"/>
      <c r="F37" s="66" t="s">
        <v>48</v>
      </c>
      <c r="G37" s="12"/>
      <c r="H37" s="12"/>
      <c r="I37" s="12"/>
      <c r="J37" s="12"/>
      <c r="K37" s="12" t="s">
        <v>53</v>
      </c>
      <c r="L37" s="58"/>
      <c r="M37" s="12"/>
      <c r="N37" s="12"/>
      <c r="O37" s="13"/>
      <c r="P37" s="14"/>
      <c r="Q37" s="12"/>
      <c r="R37" s="13"/>
      <c r="S37" s="14"/>
      <c r="T37" s="12">
        <v>1.4</v>
      </c>
      <c r="U37" s="13"/>
      <c r="V37" s="14">
        <f>T37*H33</f>
        <v>15721.999999999998</v>
      </c>
      <c r="W37" s="12"/>
      <c r="X37" s="13"/>
      <c r="Y37" s="14"/>
      <c r="Z37" s="12"/>
      <c r="AA37" s="13"/>
      <c r="AB37" s="14"/>
      <c r="AC37" s="12"/>
      <c r="AD37" s="13"/>
      <c r="AE37" s="14"/>
      <c r="AF37" s="7"/>
      <c r="AG37" s="1"/>
      <c r="AH37" s="1">
        <f t="shared" si="4"/>
        <v>15721.999999999998</v>
      </c>
    </row>
    <row r="38" spans="3:34" x14ac:dyDescent="0.25">
      <c r="C38" s="2"/>
      <c r="D38" s="2"/>
      <c r="E38" s="17"/>
      <c r="F38" s="66" t="s">
        <v>48</v>
      </c>
      <c r="G38" s="12"/>
      <c r="H38" s="12"/>
      <c r="I38" s="12"/>
      <c r="J38" s="12"/>
      <c r="K38" s="12" t="s">
        <v>54</v>
      </c>
      <c r="L38" s="58"/>
      <c r="M38" s="12"/>
      <c r="N38" s="12"/>
      <c r="O38" s="13"/>
      <c r="P38" s="14"/>
      <c r="Q38" s="12"/>
      <c r="R38" s="13"/>
      <c r="S38" s="14"/>
      <c r="T38" s="12"/>
      <c r="U38" s="13"/>
      <c r="V38" s="14"/>
      <c r="W38" s="12">
        <v>0.15</v>
      </c>
      <c r="X38" s="13"/>
      <c r="Y38" s="14">
        <f>W38*H33</f>
        <v>1684.5</v>
      </c>
      <c r="Z38" s="12"/>
      <c r="AA38" s="13"/>
      <c r="AB38" s="14"/>
      <c r="AC38" s="12"/>
      <c r="AD38" s="13"/>
      <c r="AE38" s="14"/>
      <c r="AF38" s="7"/>
      <c r="AG38" s="1"/>
      <c r="AH38" s="1">
        <f t="shared" si="4"/>
        <v>1684.5</v>
      </c>
    </row>
    <row r="39" spans="3:34" x14ac:dyDescent="0.25">
      <c r="C39" s="2"/>
      <c r="D39" s="2"/>
      <c r="E39" s="17"/>
      <c r="F39" s="66" t="s">
        <v>48</v>
      </c>
      <c r="G39" s="12"/>
      <c r="H39" s="12"/>
      <c r="I39" s="12"/>
      <c r="J39" s="12"/>
      <c r="K39" s="12" t="s">
        <v>55</v>
      </c>
      <c r="L39" s="58"/>
      <c r="M39" s="12"/>
      <c r="N39" s="12"/>
      <c r="O39" s="13"/>
      <c r="P39" s="14"/>
      <c r="Q39" s="12"/>
      <c r="R39" s="13"/>
      <c r="S39" s="14"/>
      <c r="T39" s="12"/>
      <c r="U39" s="13"/>
      <c r="V39" s="14"/>
      <c r="W39" s="12"/>
      <c r="X39" s="13"/>
      <c r="Y39" s="14"/>
      <c r="Z39" s="12"/>
      <c r="AA39" s="13"/>
      <c r="AB39" s="14"/>
      <c r="AC39" s="12">
        <v>0.25</v>
      </c>
      <c r="AD39" s="13"/>
      <c r="AE39" s="14">
        <f>AC39*H33</f>
        <v>2807.5</v>
      </c>
      <c r="AF39" s="7"/>
      <c r="AG39" s="1"/>
      <c r="AH39" s="1">
        <f t="shared" si="4"/>
        <v>2807.5</v>
      </c>
    </row>
    <row r="40" spans="3:34" ht="31.5" x14ac:dyDescent="0.25">
      <c r="C40" s="11"/>
      <c r="D40" s="11"/>
      <c r="E40" s="29"/>
      <c r="F40" s="24" t="s">
        <v>30</v>
      </c>
      <c r="G40" s="12"/>
      <c r="H40" s="12">
        <v>339</v>
      </c>
      <c r="I40" s="2"/>
      <c r="J40" s="11"/>
      <c r="K40" s="12" t="s">
        <v>21</v>
      </c>
      <c r="L40" s="58">
        <f>125.81*1000</f>
        <v>125810</v>
      </c>
      <c r="M40" s="12">
        <f>L40*H40</f>
        <v>42649590</v>
      </c>
      <c r="N40" s="12"/>
      <c r="O40" s="13">
        <v>1.6E-2</v>
      </c>
      <c r="P40" s="14">
        <f t="shared" si="6"/>
        <v>682393.44000000006</v>
      </c>
      <c r="Q40" s="12"/>
      <c r="R40" s="13">
        <v>2.3300000000000001E-2</v>
      </c>
      <c r="S40" s="3">
        <f t="shared" si="7"/>
        <v>993735.44700000004</v>
      </c>
      <c r="T40" s="12"/>
      <c r="U40" s="13">
        <v>7.0000000000000001E-3</v>
      </c>
      <c r="V40" s="3">
        <f t="shared" si="8"/>
        <v>298547.13</v>
      </c>
      <c r="W40" s="12"/>
      <c r="X40" s="13">
        <v>6.9999999999999999E-4</v>
      </c>
      <c r="Y40" s="3">
        <f t="shared" si="9"/>
        <v>29854.713</v>
      </c>
      <c r="Z40" s="12"/>
      <c r="AA40" s="13">
        <v>1E-3</v>
      </c>
      <c r="AB40" s="3">
        <f t="shared" si="10"/>
        <v>42649.590000000004</v>
      </c>
      <c r="AC40" s="12"/>
      <c r="AD40" s="13">
        <v>1.4E-3</v>
      </c>
      <c r="AE40" s="3">
        <f t="shared" si="11"/>
        <v>59709.425999999999</v>
      </c>
      <c r="AF40" s="7" t="e">
        <f>#REF!+#REF!+#REF!+#REF!+#REF!+#REF!+#REF!+#REF!+#REF!+#REF!+#REF!+#REF!</f>
        <v>#REF!</v>
      </c>
      <c r="AG40" s="1" t="e">
        <f>#REF!+#REF!+#REF!+#REF!+#REF!+#REF!+#REF!+#REF!+#REF!+#REF!+#REF!+#REF!-M40</f>
        <v>#REF!</v>
      </c>
      <c r="AH40" s="1">
        <f t="shared" si="4"/>
        <v>2106889.7460000003</v>
      </c>
    </row>
    <row r="41" spans="3:34" x14ac:dyDescent="0.25">
      <c r="C41" s="2"/>
      <c r="D41" s="2"/>
      <c r="E41" s="17"/>
      <c r="F41" s="66" t="s">
        <v>48</v>
      </c>
      <c r="G41" s="12"/>
      <c r="H41" s="12"/>
      <c r="I41" s="12"/>
      <c r="J41" s="12"/>
      <c r="K41" s="12" t="s">
        <v>49</v>
      </c>
      <c r="L41" s="58"/>
      <c r="M41" s="12"/>
      <c r="N41" s="12"/>
      <c r="O41" s="13"/>
      <c r="P41" s="14"/>
      <c r="Q41" s="12"/>
      <c r="R41" s="13"/>
      <c r="S41" s="14"/>
      <c r="T41" s="12"/>
      <c r="U41" s="13"/>
      <c r="V41" s="14"/>
      <c r="W41" s="12"/>
      <c r="X41" s="13"/>
      <c r="Y41" s="14"/>
      <c r="Z41" s="12">
        <v>0.14000000000000001</v>
      </c>
      <c r="AA41" s="13"/>
      <c r="AB41" s="14">
        <f>Z41*H40</f>
        <v>47.460000000000008</v>
      </c>
      <c r="AC41" s="12"/>
      <c r="AD41" s="13"/>
      <c r="AE41" s="14"/>
      <c r="AF41" s="7"/>
      <c r="AG41" s="1"/>
      <c r="AH41" s="1">
        <f t="shared" si="4"/>
        <v>47.460000000000008</v>
      </c>
    </row>
    <row r="42" spans="3:34" x14ac:dyDescent="0.25">
      <c r="C42" s="2"/>
      <c r="D42" s="2"/>
      <c r="E42" s="17"/>
      <c r="F42" s="66" t="s">
        <v>48</v>
      </c>
      <c r="G42" s="12"/>
      <c r="H42" s="12"/>
      <c r="I42" s="12"/>
      <c r="J42" s="12"/>
      <c r="K42" s="12" t="s">
        <v>51</v>
      </c>
      <c r="L42" s="58"/>
      <c r="M42" s="12"/>
      <c r="N42" s="12">
        <v>2.25</v>
      </c>
      <c r="O42" s="13"/>
      <c r="P42" s="14">
        <f>N42*H40</f>
        <v>762.75</v>
      </c>
      <c r="Q42" s="12"/>
      <c r="R42" s="13"/>
      <c r="S42" s="14"/>
      <c r="T42" s="12"/>
      <c r="U42" s="13"/>
      <c r="V42" s="14"/>
      <c r="W42" s="12"/>
      <c r="X42" s="13"/>
      <c r="Y42" s="14"/>
      <c r="Z42" s="12"/>
      <c r="AA42" s="13"/>
      <c r="AB42" s="14"/>
      <c r="AC42" s="12"/>
      <c r="AD42" s="13"/>
      <c r="AE42" s="14"/>
      <c r="AF42" s="7"/>
      <c r="AG42" s="1"/>
      <c r="AH42" s="1">
        <f t="shared" si="4"/>
        <v>762.75</v>
      </c>
    </row>
    <row r="43" spans="3:34" x14ac:dyDescent="0.25">
      <c r="C43" s="2"/>
      <c r="D43" s="2"/>
      <c r="E43" s="17"/>
      <c r="F43" s="66" t="s">
        <v>48</v>
      </c>
      <c r="G43" s="12"/>
      <c r="H43" s="12"/>
      <c r="I43" s="12"/>
      <c r="J43" s="12"/>
      <c r="K43" s="12" t="s">
        <v>52</v>
      </c>
      <c r="L43" s="58"/>
      <c r="M43" s="12"/>
      <c r="N43" s="12"/>
      <c r="O43" s="13"/>
      <c r="P43" s="14"/>
      <c r="Q43" s="12">
        <v>3.24</v>
      </c>
      <c r="R43" s="13"/>
      <c r="S43" s="14">
        <f>Q43*H40</f>
        <v>1098.3600000000001</v>
      </c>
      <c r="T43" s="12"/>
      <c r="U43" s="13"/>
      <c r="V43" s="14"/>
      <c r="W43" s="12"/>
      <c r="X43" s="13"/>
      <c r="Y43" s="14"/>
      <c r="Z43" s="12"/>
      <c r="AA43" s="13"/>
      <c r="AB43" s="14"/>
      <c r="AC43" s="12"/>
      <c r="AD43" s="13"/>
      <c r="AE43" s="14"/>
      <c r="AF43" s="7"/>
      <c r="AG43" s="1"/>
      <c r="AH43" s="1">
        <f t="shared" si="4"/>
        <v>1098.3600000000001</v>
      </c>
    </row>
    <row r="44" spans="3:34" x14ac:dyDescent="0.25">
      <c r="C44" s="2"/>
      <c r="D44" s="2"/>
      <c r="E44" s="17"/>
      <c r="F44" s="66" t="s">
        <v>48</v>
      </c>
      <c r="G44" s="12"/>
      <c r="H44" s="12"/>
      <c r="I44" s="12"/>
      <c r="J44" s="12"/>
      <c r="K44" s="12" t="s">
        <v>53</v>
      </c>
      <c r="L44" s="58"/>
      <c r="M44" s="12"/>
      <c r="N44" s="12"/>
      <c r="O44" s="13"/>
      <c r="P44" s="14"/>
      <c r="Q44" s="12"/>
      <c r="R44" s="13"/>
      <c r="S44" s="14"/>
      <c r="T44" s="12">
        <v>0.95</v>
      </c>
      <c r="U44" s="13"/>
      <c r="V44" s="14">
        <f>T44*H40</f>
        <v>322.05</v>
      </c>
      <c r="W44" s="12"/>
      <c r="X44" s="13"/>
      <c r="Y44" s="14"/>
      <c r="Z44" s="12"/>
      <c r="AA44" s="13"/>
      <c r="AB44" s="14"/>
      <c r="AC44" s="12"/>
      <c r="AD44" s="13"/>
      <c r="AE44" s="14"/>
      <c r="AF44" s="7"/>
      <c r="AG44" s="1"/>
      <c r="AH44" s="1">
        <f t="shared" si="4"/>
        <v>322.05</v>
      </c>
    </row>
    <row r="45" spans="3:34" x14ac:dyDescent="0.25">
      <c r="C45" s="2"/>
      <c r="D45" s="2"/>
      <c r="E45" s="17"/>
      <c r="F45" s="66" t="s">
        <v>48</v>
      </c>
      <c r="G45" s="12"/>
      <c r="H45" s="12"/>
      <c r="I45" s="12"/>
      <c r="J45" s="12"/>
      <c r="K45" s="12" t="s">
        <v>54</v>
      </c>
      <c r="L45" s="58"/>
      <c r="M45" s="12"/>
      <c r="N45" s="12"/>
      <c r="O45" s="13"/>
      <c r="P45" s="14"/>
      <c r="Q45" s="12"/>
      <c r="R45" s="13"/>
      <c r="S45" s="14"/>
      <c r="T45" s="12"/>
      <c r="U45" s="13"/>
      <c r="V45" s="14"/>
      <c r="W45" s="12">
        <v>0.1</v>
      </c>
      <c r="X45" s="13"/>
      <c r="Y45" s="14">
        <f>W45*H40</f>
        <v>33.9</v>
      </c>
      <c r="Z45" s="12"/>
      <c r="AA45" s="13"/>
      <c r="AB45" s="14"/>
      <c r="AC45" s="12"/>
      <c r="AD45" s="13"/>
      <c r="AE45" s="14"/>
      <c r="AF45" s="7"/>
      <c r="AG45" s="1"/>
      <c r="AH45" s="1">
        <f t="shared" si="4"/>
        <v>33.9</v>
      </c>
    </row>
    <row r="46" spans="3:34" x14ac:dyDescent="0.25">
      <c r="C46" s="2"/>
      <c r="D46" s="2"/>
      <c r="E46" s="17"/>
      <c r="F46" s="66" t="s">
        <v>48</v>
      </c>
      <c r="G46" s="12"/>
      <c r="H46" s="12"/>
      <c r="I46" s="12"/>
      <c r="J46" s="12"/>
      <c r="K46" s="12" t="s">
        <v>55</v>
      </c>
      <c r="L46" s="58"/>
      <c r="M46" s="12"/>
      <c r="N46" s="12"/>
      <c r="O46" s="13"/>
      <c r="P46" s="14"/>
      <c r="Q46" s="12"/>
      <c r="R46" s="13"/>
      <c r="S46" s="14"/>
      <c r="T46" s="12"/>
      <c r="U46" s="13"/>
      <c r="V46" s="14"/>
      <c r="W46" s="12"/>
      <c r="X46" s="13"/>
      <c r="Y46" s="14"/>
      <c r="Z46" s="12"/>
      <c r="AA46" s="13"/>
      <c r="AB46" s="14"/>
      <c r="AC46" s="12">
        <v>0.17</v>
      </c>
      <c r="AD46" s="13"/>
      <c r="AE46" s="14">
        <f>AC46*H40</f>
        <v>57.63</v>
      </c>
      <c r="AF46" s="7"/>
      <c r="AG46" s="1"/>
      <c r="AH46" s="1">
        <f t="shared" si="4"/>
        <v>57.63</v>
      </c>
    </row>
    <row r="47" spans="3:34" x14ac:dyDescent="0.25">
      <c r="C47" s="2"/>
      <c r="D47" s="2"/>
      <c r="E47" s="17"/>
      <c r="F47" s="25" t="s">
        <v>28</v>
      </c>
      <c r="G47" s="4"/>
      <c r="H47" s="4"/>
      <c r="I47" s="4">
        <f>49*3*6</f>
        <v>882</v>
      </c>
      <c r="J47" s="4"/>
      <c r="K47" s="4" t="s">
        <v>25</v>
      </c>
      <c r="L47" s="58">
        <f>276.67*1000</f>
        <v>276670</v>
      </c>
      <c r="M47" s="4">
        <f>L47*I47</f>
        <v>244022940</v>
      </c>
      <c r="N47" s="4"/>
      <c r="O47" s="6">
        <v>1.5900000000000001E-2</v>
      </c>
      <c r="P47" s="3">
        <f t="shared" si="6"/>
        <v>3879964.7460000003</v>
      </c>
      <c r="Q47" s="4"/>
      <c r="R47" s="6">
        <v>2.4500000000000001E-2</v>
      </c>
      <c r="S47" s="3">
        <f t="shared" si="7"/>
        <v>5978562.0300000003</v>
      </c>
      <c r="T47" s="4"/>
      <c r="U47" s="6">
        <v>2.8999999999999998E-3</v>
      </c>
      <c r="V47" s="3">
        <f t="shared" si="8"/>
        <v>707666.52599999995</v>
      </c>
      <c r="W47" s="4"/>
      <c r="X47" s="6">
        <v>5.0000000000000001E-4</v>
      </c>
      <c r="Y47" s="3">
        <f t="shared" si="9"/>
        <v>122011.47</v>
      </c>
      <c r="Z47" s="4"/>
      <c r="AA47" s="6">
        <v>1.1000000000000001E-3</v>
      </c>
      <c r="AB47" s="3">
        <f t="shared" si="10"/>
        <v>268425.234</v>
      </c>
      <c r="AC47" s="4"/>
      <c r="AD47" s="6">
        <v>1.4E-3</v>
      </c>
      <c r="AE47" s="3">
        <f t="shared" si="11"/>
        <v>341632.11599999998</v>
      </c>
      <c r="AF47" s="7" t="e">
        <f>#REF!+#REF!+#REF!+#REF!+#REF!+#REF!+#REF!+#REF!+#REF!+#REF!+#REF!+#REF!</f>
        <v>#REF!</v>
      </c>
      <c r="AG47" s="1" t="e">
        <f>#REF!+#REF!+#REF!+#REF!+#REF!+#REF!+#REF!+#REF!+#REF!+#REF!+#REF!+#REF!-M47</f>
        <v>#REF!</v>
      </c>
      <c r="AH47" s="1">
        <f t="shared" si="4"/>
        <v>11298262.122000001</v>
      </c>
    </row>
    <row r="48" spans="3:34" x14ac:dyDescent="0.25">
      <c r="C48" s="2"/>
      <c r="D48" s="2"/>
      <c r="E48" s="17"/>
      <c r="F48" s="66" t="s">
        <v>56</v>
      </c>
      <c r="G48" s="12"/>
      <c r="H48" s="12"/>
      <c r="I48" s="12"/>
      <c r="J48" s="12"/>
      <c r="K48" s="12" t="s">
        <v>57</v>
      </c>
      <c r="L48" s="58"/>
      <c r="M48" s="12"/>
      <c r="N48" s="12"/>
      <c r="O48" s="13"/>
      <c r="P48" s="14"/>
      <c r="Q48" s="12"/>
      <c r="R48" s="13"/>
      <c r="S48" s="14"/>
      <c r="T48" s="12"/>
      <c r="U48" s="13"/>
      <c r="V48" s="14"/>
      <c r="W48" s="12"/>
      <c r="X48" s="13"/>
      <c r="Y48" s="14"/>
      <c r="Z48" s="12">
        <v>0.3</v>
      </c>
      <c r="AA48" s="13"/>
      <c r="AB48" s="14">
        <f>Z48*I47</f>
        <v>264.59999999999997</v>
      </c>
      <c r="AC48" s="12"/>
      <c r="AD48" s="13"/>
      <c r="AE48" s="14"/>
      <c r="AF48" s="7"/>
      <c r="AG48" s="1"/>
      <c r="AH48" s="1">
        <f t="shared" ref="AH48:AH53" si="12">AE48+AB48+Y48+V48+S48+P48</f>
        <v>264.59999999999997</v>
      </c>
    </row>
    <row r="49" spans="3:34" x14ac:dyDescent="0.25">
      <c r="C49" s="2"/>
      <c r="D49" s="2"/>
      <c r="E49" s="17"/>
      <c r="F49" s="66" t="s">
        <v>56</v>
      </c>
      <c r="G49" s="12"/>
      <c r="H49" s="12"/>
      <c r="I49" s="12"/>
      <c r="J49" s="12"/>
      <c r="K49" s="12" t="s">
        <v>58</v>
      </c>
      <c r="L49" s="58"/>
      <c r="M49" s="12"/>
      <c r="N49" s="12">
        <v>4.58</v>
      </c>
      <c r="O49" s="13"/>
      <c r="P49" s="14">
        <f>N49*I47</f>
        <v>4039.56</v>
      </c>
      <c r="Q49" s="12"/>
      <c r="R49" s="13"/>
      <c r="S49" s="14"/>
      <c r="T49" s="12"/>
      <c r="U49" s="13"/>
      <c r="V49" s="14"/>
      <c r="W49" s="12"/>
      <c r="X49" s="13"/>
      <c r="Y49" s="14"/>
      <c r="Z49" s="12"/>
      <c r="AA49" s="13"/>
      <c r="AB49" s="14"/>
      <c r="AC49" s="12"/>
      <c r="AD49" s="13"/>
      <c r="AE49" s="14"/>
      <c r="AF49" s="7"/>
      <c r="AG49" s="1"/>
      <c r="AH49" s="1">
        <f t="shared" si="12"/>
        <v>4039.56</v>
      </c>
    </row>
    <row r="50" spans="3:34" x14ac:dyDescent="0.25">
      <c r="C50" s="2"/>
      <c r="D50" s="2"/>
      <c r="E50" s="17"/>
      <c r="F50" s="66" t="s">
        <v>56</v>
      </c>
      <c r="G50" s="12"/>
      <c r="H50" s="12"/>
      <c r="I50" s="12"/>
      <c r="J50" s="12"/>
      <c r="K50" s="12" t="s">
        <v>59</v>
      </c>
      <c r="L50" s="58"/>
      <c r="M50" s="12"/>
      <c r="N50" s="12"/>
      <c r="O50" s="13"/>
      <c r="P50" s="14"/>
      <c r="Q50" s="12">
        <v>6.59</v>
      </c>
      <c r="R50" s="13"/>
      <c r="S50" s="14">
        <f>Q50*I47</f>
        <v>5812.38</v>
      </c>
      <c r="T50" s="12"/>
      <c r="U50" s="13"/>
      <c r="V50" s="14"/>
      <c r="W50" s="12"/>
      <c r="X50" s="13"/>
      <c r="Y50" s="14"/>
      <c r="Z50" s="12"/>
      <c r="AA50" s="13"/>
      <c r="AB50" s="14"/>
      <c r="AC50" s="12"/>
      <c r="AD50" s="13"/>
      <c r="AE50" s="14"/>
      <c r="AF50" s="7"/>
      <c r="AG50" s="1"/>
      <c r="AH50" s="1">
        <f t="shared" si="12"/>
        <v>5812.38</v>
      </c>
    </row>
    <row r="51" spans="3:34" x14ac:dyDescent="0.25">
      <c r="C51" s="2"/>
      <c r="D51" s="2"/>
      <c r="E51" s="17"/>
      <c r="F51" s="66" t="s">
        <v>56</v>
      </c>
      <c r="G51" s="12"/>
      <c r="H51" s="12"/>
      <c r="I51" s="12"/>
      <c r="J51" s="12"/>
      <c r="K51" s="12" t="s">
        <v>60</v>
      </c>
      <c r="L51" s="58"/>
      <c r="M51" s="12"/>
      <c r="N51" s="12"/>
      <c r="O51" s="13"/>
      <c r="P51" s="14"/>
      <c r="Q51" s="12"/>
      <c r="R51" s="13"/>
      <c r="S51" s="14"/>
      <c r="T51" s="12">
        <v>0.87</v>
      </c>
      <c r="U51" s="13"/>
      <c r="V51" s="14">
        <f>T51*I47</f>
        <v>767.34</v>
      </c>
      <c r="W51" s="12"/>
      <c r="X51" s="13"/>
      <c r="Y51" s="14"/>
      <c r="Z51" s="12"/>
      <c r="AA51" s="13"/>
      <c r="AB51" s="14"/>
      <c r="AC51" s="12"/>
      <c r="AD51" s="13"/>
      <c r="AE51" s="14"/>
      <c r="AF51" s="7"/>
      <c r="AG51" s="1"/>
      <c r="AH51" s="1">
        <f t="shared" si="12"/>
        <v>767.34</v>
      </c>
    </row>
    <row r="52" spans="3:34" x14ac:dyDescent="0.25">
      <c r="C52" s="2"/>
      <c r="D52" s="2"/>
      <c r="E52" s="17"/>
      <c r="F52" s="66" t="s">
        <v>56</v>
      </c>
      <c r="G52" s="12"/>
      <c r="H52" s="12"/>
      <c r="I52" s="12"/>
      <c r="J52" s="12"/>
      <c r="K52" s="12" t="s">
        <v>61</v>
      </c>
      <c r="L52" s="58"/>
      <c r="M52" s="12"/>
      <c r="N52" s="12"/>
      <c r="O52" s="13"/>
      <c r="P52" s="14"/>
      <c r="Q52" s="12"/>
      <c r="R52" s="13"/>
      <c r="S52" s="14"/>
      <c r="T52" s="12"/>
      <c r="U52" s="13"/>
      <c r="V52" s="14"/>
      <c r="W52" s="12">
        <v>0.13</v>
      </c>
      <c r="X52" s="13"/>
      <c r="Y52" s="14">
        <f>W52*I47</f>
        <v>114.66000000000001</v>
      </c>
      <c r="Z52" s="12"/>
      <c r="AA52" s="13"/>
      <c r="AB52" s="14"/>
      <c r="AC52" s="12"/>
      <c r="AD52" s="13"/>
      <c r="AE52" s="14"/>
      <c r="AF52" s="7"/>
      <c r="AG52" s="1"/>
      <c r="AH52" s="1">
        <f t="shared" si="12"/>
        <v>114.66000000000001</v>
      </c>
    </row>
    <row r="53" spans="3:34" x14ac:dyDescent="0.25">
      <c r="C53" s="2"/>
      <c r="D53" s="2"/>
      <c r="E53" s="17"/>
      <c r="F53" s="66" t="s">
        <v>56</v>
      </c>
      <c r="G53" s="12"/>
      <c r="H53" s="12"/>
      <c r="I53" s="12"/>
      <c r="J53" s="12"/>
      <c r="K53" s="12" t="s">
        <v>62</v>
      </c>
      <c r="L53" s="58"/>
      <c r="M53" s="12"/>
      <c r="N53" s="12"/>
      <c r="O53" s="13"/>
      <c r="P53" s="14"/>
      <c r="Q53" s="12"/>
      <c r="R53" s="13"/>
      <c r="S53" s="14"/>
      <c r="T53" s="12"/>
      <c r="U53" s="13"/>
      <c r="V53" s="14"/>
      <c r="W53" s="12"/>
      <c r="X53" s="13"/>
      <c r="Y53" s="14"/>
      <c r="Z53" s="12"/>
      <c r="AA53" s="13"/>
      <c r="AB53" s="14"/>
      <c r="AC53" s="12">
        <v>0.39</v>
      </c>
      <c r="AD53" s="13"/>
      <c r="AE53" s="14">
        <f>AC53*I47</f>
        <v>343.98</v>
      </c>
      <c r="AF53" s="7"/>
      <c r="AG53" s="1"/>
      <c r="AH53" s="1">
        <f t="shared" si="12"/>
        <v>343.98</v>
      </c>
    </row>
    <row r="54" spans="3:34" x14ac:dyDescent="0.25">
      <c r="C54" s="2"/>
      <c r="D54" s="2"/>
      <c r="E54" s="17"/>
      <c r="F54" s="44" t="s">
        <v>29</v>
      </c>
      <c r="G54" s="4"/>
      <c r="H54" s="4"/>
      <c r="I54" s="4"/>
      <c r="J54" s="4">
        <v>9500</v>
      </c>
      <c r="K54" s="4" t="s">
        <v>37</v>
      </c>
      <c r="L54" s="58">
        <v>382230</v>
      </c>
      <c r="M54" s="4">
        <f>J54*L54/100</f>
        <v>36311850</v>
      </c>
      <c r="N54" s="9"/>
      <c r="O54" s="10">
        <v>1.8100000000000002E-2</v>
      </c>
      <c r="P54" s="3">
        <f t="shared" si="6"/>
        <v>657244.4850000001</v>
      </c>
      <c r="Q54" s="9"/>
      <c r="R54" s="10">
        <v>3.0000000000000001E-3</v>
      </c>
      <c r="S54" s="3">
        <f t="shared" si="7"/>
        <v>108935.55</v>
      </c>
      <c r="T54" s="9"/>
      <c r="U54" s="10">
        <v>7.6E-3</v>
      </c>
      <c r="V54" s="3">
        <f t="shared" si="8"/>
        <v>275970.06</v>
      </c>
      <c r="W54" s="9"/>
      <c r="X54" s="10">
        <v>5.1000000000000004E-3</v>
      </c>
      <c r="Y54" s="3">
        <f t="shared" si="9"/>
        <v>185190.43500000003</v>
      </c>
      <c r="Z54" s="9"/>
      <c r="AA54" s="10"/>
      <c r="AB54" s="3">
        <f t="shared" si="10"/>
        <v>0</v>
      </c>
      <c r="AC54" s="9"/>
      <c r="AD54" s="10">
        <v>1.4E-3</v>
      </c>
      <c r="AE54" s="3">
        <f t="shared" si="11"/>
        <v>50836.59</v>
      </c>
      <c r="AF54" s="7" t="e">
        <f>#REF!+#REF!+#REF!+#REF!+#REF!+#REF!+#REF!+#REF!+#REF!+#REF!+#REF!+#REF!</f>
        <v>#REF!</v>
      </c>
      <c r="AG54" s="1" t="e">
        <f>#REF!+#REF!+#REF!+#REF!+#REF!+#REF!+#REF!+#REF!+#REF!+#REF!+#REF!+#REF!-M54</f>
        <v>#REF!</v>
      </c>
      <c r="AH54" s="1">
        <f t="shared" si="4"/>
        <v>1278177.1200000001</v>
      </c>
    </row>
    <row r="55" spans="3:34" x14ac:dyDescent="0.25">
      <c r="C55" s="2"/>
      <c r="D55" s="2"/>
      <c r="E55" s="17"/>
      <c r="F55" s="66" t="s">
        <v>56</v>
      </c>
      <c r="G55" s="4"/>
      <c r="H55" s="4"/>
      <c r="I55" s="4"/>
      <c r="J55" s="4"/>
      <c r="K55" s="4" t="s">
        <v>63</v>
      </c>
      <c r="L55" s="58"/>
      <c r="M55" s="4"/>
      <c r="N55" s="4">
        <v>4.67</v>
      </c>
      <c r="O55" s="6"/>
      <c r="P55" s="3">
        <f>N55*J54</f>
        <v>44365</v>
      </c>
      <c r="Q55" s="4"/>
      <c r="R55" s="6"/>
      <c r="S55" s="3"/>
      <c r="T55" s="4"/>
      <c r="U55" s="6"/>
      <c r="V55" s="3"/>
      <c r="W55" s="4"/>
      <c r="X55" s="6"/>
      <c r="Y55" s="3"/>
      <c r="Z55" s="4"/>
      <c r="AA55" s="6"/>
      <c r="AB55" s="3"/>
      <c r="AC55" s="4"/>
      <c r="AD55" s="6"/>
      <c r="AE55" s="3"/>
      <c r="AF55" s="7"/>
      <c r="AG55" s="1"/>
      <c r="AH55" s="1">
        <f t="shared" si="4"/>
        <v>44365</v>
      </c>
    </row>
    <row r="56" spans="3:34" x14ac:dyDescent="0.25">
      <c r="C56" s="2"/>
      <c r="D56" s="2"/>
      <c r="E56" s="17"/>
      <c r="F56" s="66" t="s">
        <v>56</v>
      </c>
      <c r="G56" s="4"/>
      <c r="H56" s="4"/>
      <c r="I56" s="4"/>
      <c r="J56" s="4"/>
      <c r="K56" s="4" t="s">
        <v>64</v>
      </c>
      <c r="L56" s="58"/>
      <c r="M56" s="4"/>
      <c r="N56" s="4"/>
      <c r="O56" s="6"/>
      <c r="P56" s="3"/>
      <c r="Q56" s="4">
        <v>0.86</v>
      </c>
      <c r="R56" s="6"/>
      <c r="S56" s="3">
        <f>Q56*J54</f>
        <v>8170</v>
      </c>
      <c r="T56" s="4"/>
      <c r="U56" s="6"/>
      <c r="V56" s="3"/>
      <c r="W56" s="4"/>
      <c r="X56" s="6"/>
      <c r="Y56" s="3"/>
      <c r="Z56" s="4"/>
      <c r="AA56" s="6"/>
      <c r="AB56" s="3"/>
      <c r="AC56" s="4"/>
      <c r="AD56" s="6"/>
      <c r="AE56" s="3"/>
      <c r="AF56" s="7"/>
      <c r="AG56" s="1"/>
      <c r="AH56" s="1">
        <f t="shared" si="4"/>
        <v>8170</v>
      </c>
    </row>
    <row r="57" spans="3:34" x14ac:dyDescent="0.25">
      <c r="C57" s="2"/>
      <c r="D57" s="2"/>
      <c r="E57" s="17"/>
      <c r="F57" s="66" t="s">
        <v>56</v>
      </c>
      <c r="G57" s="12"/>
      <c r="H57" s="12"/>
      <c r="I57" s="12"/>
      <c r="J57" s="12"/>
      <c r="K57" s="12" t="s">
        <v>65</v>
      </c>
      <c r="L57" s="58"/>
      <c r="M57" s="12"/>
      <c r="N57" s="12"/>
      <c r="O57" s="13"/>
      <c r="P57" s="14"/>
      <c r="Q57" s="12"/>
      <c r="R57" s="13"/>
      <c r="S57" s="14"/>
      <c r="T57" s="12">
        <v>1.94</v>
      </c>
      <c r="U57" s="13"/>
      <c r="V57" s="14">
        <f>T57*J54</f>
        <v>18430</v>
      </c>
      <c r="W57" s="12"/>
      <c r="X57" s="13"/>
      <c r="Y57" s="14"/>
      <c r="Z57" s="12"/>
      <c r="AA57" s="13"/>
      <c r="AB57" s="14"/>
      <c r="AC57" s="12"/>
      <c r="AD57" s="13"/>
      <c r="AE57" s="14"/>
      <c r="AF57" s="7"/>
      <c r="AG57" s="1"/>
      <c r="AH57" s="1">
        <f t="shared" si="4"/>
        <v>18430</v>
      </c>
    </row>
    <row r="58" spans="3:34" x14ac:dyDescent="0.25">
      <c r="C58" s="2"/>
      <c r="D58" s="2"/>
      <c r="E58" s="17"/>
      <c r="F58" s="66" t="s">
        <v>56</v>
      </c>
      <c r="G58" s="12"/>
      <c r="H58" s="12"/>
      <c r="I58" s="12"/>
      <c r="J58" s="12"/>
      <c r="K58" s="12" t="s">
        <v>66</v>
      </c>
      <c r="L58" s="58"/>
      <c r="M58" s="12"/>
      <c r="N58" s="12"/>
      <c r="O58" s="13"/>
      <c r="P58" s="14"/>
      <c r="Q58" s="12"/>
      <c r="R58" s="13"/>
      <c r="S58" s="14"/>
      <c r="T58" s="12"/>
      <c r="U58" s="13"/>
      <c r="V58" s="14"/>
      <c r="W58" s="12">
        <v>1.32</v>
      </c>
      <c r="X58" s="13"/>
      <c r="Y58" s="14">
        <f>W58*J54</f>
        <v>12540</v>
      </c>
      <c r="Z58" s="12"/>
      <c r="AA58" s="13"/>
      <c r="AB58" s="14"/>
      <c r="AC58" s="12"/>
      <c r="AD58" s="13"/>
      <c r="AE58" s="14"/>
      <c r="AF58" s="7"/>
      <c r="AG58" s="1"/>
      <c r="AH58" s="1">
        <f t="shared" si="4"/>
        <v>12540</v>
      </c>
    </row>
    <row r="59" spans="3:34" x14ac:dyDescent="0.25">
      <c r="C59" s="2"/>
      <c r="D59" s="2"/>
      <c r="E59" s="17"/>
      <c r="F59" s="66" t="s">
        <v>56</v>
      </c>
      <c r="G59" s="12"/>
      <c r="H59" s="12"/>
      <c r="I59" s="12"/>
      <c r="J59" s="12"/>
      <c r="K59" s="12" t="s">
        <v>67</v>
      </c>
      <c r="L59" s="58"/>
      <c r="M59" s="12"/>
      <c r="N59" s="12"/>
      <c r="O59" s="13"/>
      <c r="P59" s="14"/>
      <c r="Q59" s="12"/>
      <c r="R59" s="13"/>
      <c r="S59" s="14"/>
      <c r="T59" s="12"/>
      <c r="U59" s="13"/>
      <c r="V59" s="14"/>
      <c r="W59" s="12"/>
      <c r="X59" s="13"/>
      <c r="Y59" s="14"/>
      <c r="Z59" s="12"/>
      <c r="AA59" s="13"/>
      <c r="AB59" s="14"/>
      <c r="AC59" s="12">
        <v>0.53</v>
      </c>
      <c r="AD59" s="13"/>
      <c r="AE59" s="14">
        <f>AC59*J54</f>
        <v>5035</v>
      </c>
      <c r="AF59" s="7"/>
      <c r="AG59" s="1"/>
      <c r="AH59" s="1">
        <f t="shared" si="4"/>
        <v>5035</v>
      </c>
    </row>
    <row r="60" spans="3:34" ht="16.5" thickBot="1" x14ac:dyDescent="0.3">
      <c r="C60" s="15"/>
      <c r="D60" s="15"/>
      <c r="E60" s="19"/>
      <c r="F60" s="30" t="s">
        <v>5</v>
      </c>
      <c r="G60" s="27"/>
      <c r="H60" s="27"/>
      <c r="I60" s="27"/>
      <c r="J60" s="27"/>
      <c r="K60" s="27"/>
      <c r="L60" s="27"/>
      <c r="M60" s="27">
        <f>SUM(M33:M59)</f>
        <v>2340341580</v>
      </c>
      <c r="N60" s="27"/>
      <c r="O60" s="28"/>
      <c r="P60" s="27">
        <f>SUM(P33:P59)</f>
        <v>37583431.881000005</v>
      </c>
      <c r="Q60" s="27"/>
      <c r="R60" s="28"/>
      <c r="S60" s="27">
        <f>SUM(S33:S59)</f>
        <v>54153854.427000001</v>
      </c>
      <c r="T60" s="27"/>
      <c r="U60" s="28"/>
      <c r="V60" s="27">
        <f>SUM(V33:V59)</f>
        <v>15438925.506000003</v>
      </c>
      <c r="W60" s="27"/>
      <c r="X60" s="28"/>
      <c r="Y60" s="27">
        <f>SUM(Y33:Y59)</f>
        <v>1763579.7179999999</v>
      </c>
      <c r="Z60" s="27"/>
      <c r="AA60" s="28"/>
      <c r="AB60" s="27">
        <f>SUM(AB33:AB59)</f>
        <v>2331214.6840000004</v>
      </c>
      <c r="AC60" s="27"/>
      <c r="AD60" s="28"/>
      <c r="AE60" s="27">
        <f>SUM(AE33:AE59)</f>
        <v>3284722.3219999997</v>
      </c>
      <c r="AF60" s="7" t="e">
        <f>#REF!+#REF!+#REF!+#REF!+#REF!+#REF!+#REF!+#REF!+#REF!+#REF!+#REF!+#REF!</f>
        <v>#REF!</v>
      </c>
      <c r="AG60" s="1" t="e">
        <f>#REF!+#REF!+#REF!+#REF!+#REF!+#REF!+#REF!+#REF!+#REF!+#REF!+#REF!+#REF!-M60</f>
        <v>#REF!</v>
      </c>
      <c r="AH60" s="69">
        <f t="shared" si="4"/>
        <v>114555728.53800002</v>
      </c>
    </row>
    <row r="61" spans="3:34" x14ac:dyDescent="0.25">
      <c r="C61" s="2" t="s">
        <v>0</v>
      </c>
      <c r="D61" s="2" t="s">
        <v>1</v>
      </c>
      <c r="E61" s="17" t="s">
        <v>2</v>
      </c>
      <c r="F61" s="20" t="s">
        <v>6</v>
      </c>
      <c r="G61" s="21">
        <v>16202.7</v>
      </c>
      <c r="H61" s="21">
        <v>10329</v>
      </c>
      <c r="I61" s="48"/>
      <c r="J61" s="48"/>
      <c r="K61" s="21" t="s">
        <v>22</v>
      </c>
      <c r="L61" s="58">
        <f>183.27*1000</f>
        <v>183270</v>
      </c>
      <c r="M61" s="21">
        <f>L61*H61</f>
        <v>1892995830</v>
      </c>
      <c r="N61" s="21"/>
      <c r="O61" s="22">
        <v>1.55E-2</v>
      </c>
      <c r="P61" s="23">
        <f t="shared" ref="P61:P82" si="13">O61*$M61</f>
        <v>29341435.364999998</v>
      </c>
      <c r="Q61" s="21"/>
      <c r="R61" s="22">
        <v>2.1600000000000001E-2</v>
      </c>
      <c r="S61" s="23">
        <f t="shared" ref="S61:S82" si="14">R61*$M61</f>
        <v>40888709.928000003</v>
      </c>
      <c r="T61" s="21"/>
      <c r="U61" s="22">
        <v>5.3E-3</v>
      </c>
      <c r="V61" s="23">
        <f t="shared" ref="V61:V82" si="15">U61*$M61</f>
        <v>10032877.899</v>
      </c>
      <c r="W61" s="21"/>
      <c r="X61" s="22">
        <v>5.9999999999999995E-4</v>
      </c>
      <c r="Y61" s="23">
        <f t="shared" ref="Y61:Y82" si="16">X61*$M61</f>
        <v>1135797.4979999999</v>
      </c>
      <c r="Z61" s="21"/>
      <c r="AA61" s="22">
        <v>1E-3</v>
      </c>
      <c r="AB61" s="23">
        <f t="shared" ref="AB61:AB82" si="17">AA61*$M61</f>
        <v>1892995.83</v>
      </c>
      <c r="AC61" s="21"/>
      <c r="AD61" s="22">
        <v>1.4E-3</v>
      </c>
      <c r="AE61" s="23">
        <f t="shared" ref="AE61:AE82" si="18">AD61*$M61</f>
        <v>2650194.162</v>
      </c>
      <c r="AF61" s="7" t="e">
        <f>#REF!+#REF!+#REF!+#REF!+#REF!+#REF!+#REF!+#REF!+#REF!+#REF!+#REF!+#REF!</f>
        <v>#REF!</v>
      </c>
      <c r="AG61" s="1" t="e">
        <f>#REF!+#REF!+#REF!+#REF!+#REF!+#REF!+#REF!+#REF!+#REF!+#REF!+#REF!+#REF!-M61</f>
        <v>#REF!</v>
      </c>
      <c r="AH61" s="1">
        <f t="shared" si="4"/>
        <v>85942010.681999996</v>
      </c>
    </row>
    <row r="62" spans="3:34" x14ac:dyDescent="0.25">
      <c r="C62" s="2"/>
      <c r="D62" s="2"/>
      <c r="E62" s="17"/>
      <c r="F62" s="66" t="s">
        <v>48</v>
      </c>
      <c r="G62" s="12"/>
      <c r="H62" s="12"/>
      <c r="I62" s="12"/>
      <c r="J62" s="12"/>
      <c r="K62" s="12" t="s">
        <v>49</v>
      </c>
      <c r="L62" s="58"/>
      <c r="M62" s="12"/>
      <c r="N62" s="12"/>
      <c r="O62" s="13"/>
      <c r="P62" s="14"/>
      <c r="Q62" s="12"/>
      <c r="R62" s="13"/>
      <c r="S62" s="14"/>
      <c r="T62" s="12"/>
      <c r="U62" s="13"/>
      <c r="V62" s="14"/>
      <c r="W62" s="12"/>
      <c r="X62" s="13"/>
      <c r="Y62" s="14"/>
      <c r="Z62" s="12">
        <v>0.22</v>
      </c>
      <c r="AA62" s="13"/>
      <c r="AB62" s="14">
        <f>Z62*H61</f>
        <v>2272.38</v>
      </c>
      <c r="AC62" s="12"/>
      <c r="AD62" s="13"/>
      <c r="AE62" s="14"/>
      <c r="AF62" s="7"/>
      <c r="AG62" s="1"/>
      <c r="AH62" s="1">
        <f t="shared" ref="AH62:AH67" si="19">AE62+AB62+Y62+V62+S62+P62</f>
        <v>2272.38</v>
      </c>
    </row>
    <row r="63" spans="3:34" x14ac:dyDescent="0.25">
      <c r="C63" s="2"/>
      <c r="D63" s="2"/>
      <c r="E63" s="17"/>
      <c r="F63" s="66" t="s">
        <v>48</v>
      </c>
      <c r="G63" s="12"/>
      <c r="H63" s="12"/>
      <c r="I63" s="12"/>
      <c r="J63" s="12"/>
      <c r="K63" s="12" t="s">
        <v>51</v>
      </c>
      <c r="L63" s="58"/>
      <c r="M63" s="12"/>
      <c r="N63" s="12">
        <v>3.29</v>
      </c>
      <c r="O63" s="13"/>
      <c r="P63" s="14">
        <f>N63*H61</f>
        <v>33982.410000000003</v>
      </c>
      <c r="Q63" s="12"/>
      <c r="R63" s="13"/>
      <c r="S63" s="14"/>
      <c r="T63" s="12"/>
      <c r="U63" s="13"/>
      <c r="V63" s="14"/>
      <c r="W63" s="12"/>
      <c r="X63" s="13"/>
      <c r="Y63" s="14"/>
      <c r="Z63" s="12"/>
      <c r="AA63" s="13"/>
      <c r="AB63" s="14"/>
      <c r="AC63" s="12"/>
      <c r="AD63" s="13"/>
      <c r="AE63" s="14"/>
      <c r="AF63" s="7"/>
      <c r="AG63" s="1"/>
      <c r="AH63" s="1">
        <f t="shared" si="19"/>
        <v>33982.410000000003</v>
      </c>
    </row>
    <row r="64" spans="3:34" x14ac:dyDescent="0.25">
      <c r="C64" s="2"/>
      <c r="D64" s="2"/>
      <c r="E64" s="17"/>
      <c r="F64" s="66" t="s">
        <v>48</v>
      </c>
      <c r="G64" s="12"/>
      <c r="H64" s="12"/>
      <c r="I64" s="12"/>
      <c r="J64" s="12"/>
      <c r="K64" s="12" t="s">
        <v>52</v>
      </c>
      <c r="L64" s="58"/>
      <c r="M64" s="12"/>
      <c r="N64" s="12"/>
      <c r="O64" s="13"/>
      <c r="P64" s="14"/>
      <c r="Q64" s="12">
        <v>4.7300000000000004</v>
      </c>
      <c r="R64" s="13"/>
      <c r="S64" s="14">
        <f>Q64*H61</f>
        <v>48856.170000000006</v>
      </c>
      <c r="T64" s="12"/>
      <c r="U64" s="13"/>
      <c r="V64" s="14"/>
      <c r="W64" s="12"/>
      <c r="X64" s="13"/>
      <c r="Y64" s="14"/>
      <c r="Z64" s="12"/>
      <c r="AA64" s="13"/>
      <c r="AB64" s="14"/>
      <c r="AC64" s="12"/>
      <c r="AD64" s="13"/>
      <c r="AE64" s="14"/>
      <c r="AF64" s="7"/>
      <c r="AG64" s="1"/>
      <c r="AH64" s="1">
        <f t="shared" si="19"/>
        <v>48856.170000000006</v>
      </c>
    </row>
    <row r="65" spans="3:34" x14ac:dyDescent="0.25">
      <c r="C65" s="2"/>
      <c r="D65" s="2"/>
      <c r="E65" s="17"/>
      <c r="F65" s="66" t="s">
        <v>48</v>
      </c>
      <c r="G65" s="12"/>
      <c r="H65" s="12"/>
      <c r="I65" s="12"/>
      <c r="J65" s="12"/>
      <c r="K65" s="12" t="s">
        <v>53</v>
      </c>
      <c r="L65" s="58"/>
      <c r="M65" s="12"/>
      <c r="N65" s="12"/>
      <c r="O65" s="13"/>
      <c r="P65" s="14"/>
      <c r="Q65" s="12"/>
      <c r="R65" s="13"/>
      <c r="S65" s="14"/>
      <c r="T65" s="12">
        <v>1.4</v>
      </c>
      <c r="U65" s="13"/>
      <c r="V65" s="14">
        <f>T65*H61</f>
        <v>14460.599999999999</v>
      </c>
      <c r="W65" s="12"/>
      <c r="X65" s="13"/>
      <c r="Y65" s="14"/>
      <c r="Z65" s="12"/>
      <c r="AA65" s="13"/>
      <c r="AB65" s="14"/>
      <c r="AC65" s="12"/>
      <c r="AD65" s="13"/>
      <c r="AE65" s="14"/>
      <c r="AF65" s="7"/>
      <c r="AG65" s="1"/>
      <c r="AH65" s="1">
        <f t="shared" si="19"/>
        <v>14460.599999999999</v>
      </c>
    </row>
    <row r="66" spans="3:34" x14ac:dyDescent="0.25">
      <c r="C66" s="2"/>
      <c r="D66" s="2"/>
      <c r="E66" s="17"/>
      <c r="F66" s="66" t="s">
        <v>48</v>
      </c>
      <c r="G66" s="12"/>
      <c r="H66" s="12"/>
      <c r="I66" s="12"/>
      <c r="J66" s="12"/>
      <c r="K66" s="12" t="s">
        <v>54</v>
      </c>
      <c r="L66" s="58"/>
      <c r="M66" s="12"/>
      <c r="N66" s="12"/>
      <c r="O66" s="13"/>
      <c r="P66" s="14"/>
      <c r="Q66" s="12"/>
      <c r="R66" s="13"/>
      <c r="S66" s="14"/>
      <c r="T66" s="12"/>
      <c r="U66" s="13"/>
      <c r="V66" s="14"/>
      <c r="W66" s="12">
        <v>0.15</v>
      </c>
      <c r="X66" s="13"/>
      <c r="Y66" s="14">
        <f>W66*H61</f>
        <v>1549.35</v>
      </c>
      <c r="Z66" s="12"/>
      <c r="AA66" s="13"/>
      <c r="AB66" s="14"/>
      <c r="AC66" s="12"/>
      <c r="AD66" s="13"/>
      <c r="AE66" s="14"/>
      <c r="AF66" s="7"/>
      <c r="AG66" s="1"/>
      <c r="AH66" s="1">
        <f t="shared" si="19"/>
        <v>1549.35</v>
      </c>
    </row>
    <row r="67" spans="3:34" x14ac:dyDescent="0.25">
      <c r="C67" s="2"/>
      <c r="D67" s="2"/>
      <c r="E67" s="17"/>
      <c r="F67" s="66" t="s">
        <v>48</v>
      </c>
      <c r="G67" s="12"/>
      <c r="H67" s="12"/>
      <c r="I67" s="12"/>
      <c r="J67" s="12"/>
      <c r="K67" s="12" t="s">
        <v>55</v>
      </c>
      <c r="L67" s="58"/>
      <c r="M67" s="12"/>
      <c r="N67" s="12"/>
      <c r="O67" s="13"/>
      <c r="P67" s="14"/>
      <c r="Q67" s="12"/>
      <c r="R67" s="13"/>
      <c r="S67" s="14"/>
      <c r="T67" s="12"/>
      <c r="U67" s="13"/>
      <c r="V67" s="14"/>
      <c r="W67" s="12"/>
      <c r="X67" s="13"/>
      <c r="Y67" s="14"/>
      <c r="Z67" s="12"/>
      <c r="AA67" s="13"/>
      <c r="AB67" s="14"/>
      <c r="AC67" s="12">
        <v>0.25</v>
      </c>
      <c r="AD67" s="13"/>
      <c r="AE67" s="14">
        <f>AC67*H61</f>
        <v>2582.25</v>
      </c>
      <c r="AF67" s="7"/>
      <c r="AG67" s="1"/>
      <c r="AH67" s="1">
        <f t="shared" si="19"/>
        <v>2582.25</v>
      </c>
    </row>
    <row r="68" spans="3:34" ht="31.5" x14ac:dyDescent="0.25">
      <c r="C68" s="2"/>
      <c r="D68" s="2"/>
      <c r="E68" s="17"/>
      <c r="F68" s="24" t="s">
        <v>30</v>
      </c>
      <c r="G68" s="4"/>
      <c r="H68" s="4">
        <v>311.5</v>
      </c>
      <c r="I68" s="2"/>
      <c r="J68" s="2"/>
      <c r="K68" s="4" t="s">
        <v>22</v>
      </c>
      <c r="L68" s="58">
        <f>126.27*1000</f>
        <v>126270</v>
      </c>
      <c r="M68" s="4">
        <f>L68*H68</f>
        <v>39333105</v>
      </c>
      <c r="N68" s="12"/>
      <c r="O68" s="13">
        <v>1.55E-2</v>
      </c>
      <c r="P68" s="3">
        <f t="shared" si="13"/>
        <v>609663.12749999994</v>
      </c>
      <c r="Q68" s="12"/>
      <c r="R68" s="13">
        <v>2.1600000000000001E-2</v>
      </c>
      <c r="S68" s="3">
        <f t="shared" si="14"/>
        <v>849595.06800000009</v>
      </c>
      <c r="T68" s="12"/>
      <c r="U68" s="13">
        <v>5.3E-3</v>
      </c>
      <c r="V68" s="3">
        <f t="shared" si="15"/>
        <v>208465.4565</v>
      </c>
      <c r="W68" s="12"/>
      <c r="X68" s="13">
        <v>5.9999999999999995E-4</v>
      </c>
      <c r="Y68" s="3">
        <f t="shared" si="16"/>
        <v>23599.862999999998</v>
      </c>
      <c r="Z68" s="12"/>
      <c r="AA68" s="13">
        <v>1E-3</v>
      </c>
      <c r="AB68" s="3">
        <f t="shared" si="17"/>
        <v>39333.105000000003</v>
      </c>
      <c r="AC68" s="12"/>
      <c r="AD68" s="13">
        <v>1.4E-3</v>
      </c>
      <c r="AE68" s="3">
        <f t="shared" si="18"/>
        <v>55066.347000000002</v>
      </c>
      <c r="AF68" s="7" t="e">
        <f>#REF!+#REF!+#REF!+#REF!+#REF!+#REF!+#REF!+#REF!+#REF!+#REF!+#REF!+#REF!</f>
        <v>#REF!</v>
      </c>
      <c r="AG68" s="1" t="e">
        <f>#REF!+#REF!+#REF!+#REF!+#REF!+#REF!+#REF!+#REF!+#REF!+#REF!+#REF!+#REF!-M68</f>
        <v>#REF!</v>
      </c>
      <c r="AH68" s="1">
        <f t="shared" si="4"/>
        <v>1785722.9670000002</v>
      </c>
    </row>
    <row r="69" spans="3:34" x14ac:dyDescent="0.25">
      <c r="C69" s="2"/>
      <c r="D69" s="2"/>
      <c r="E69" s="17"/>
      <c r="F69" s="66" t="s">
        <v>48</v>
      </c>
      <c r="G69" s="12"/>
      <c r="H69" s="12"/>
      <c r="I69" s="12"/>
      <c r="J69" s="12"/>
      <c r="K69" s="12" t="s">
        <v>49</v>
      </c>
      <c r="L69" s="58"/>
      <c r="M69" s="12"/>
      <c r="N69" s="12"/>
      <c r="O69" s="13"/>
      <c r="P69" s="14"/>
      <c r="Q69" s="12"/>
      <c r="R69" s="13"/>
      <c r="S69" s="14"/>
      <c r="T69" s="12"/>
      <c r="U69" s="13"/>
      <c r="V69" s="14"/>
      <c r="W69" s="12"/>
      <c r="X69" s="13"/>
      <c r="Y69" s="14"/>
      <c r="Z69" s="12">
        <v>0.14000000000000001</v>
      </c>
      <c r="AA69" s="13"/>
      <c r="AB69" s="14">
        <f>Z69*H68</f>
        <v>43.610000000000007</v>
      </c>
      <c r="AC69" s="12"/>
      <c r="AD69" s="13"/>
      <c r="AE69" s="14"/>
      <c r="AF69" s="7"/>
      <c r="AG69" s="1"/>
      <c r="AH69" s="1">
        <f t="shared" ref="AH69:AH74" si="20">AE69+AB69+Y69+V69+S69+P69</f>
        <v>43.610000000000007</v>
      </c>
    </row>
    <row r="70" spans="3:34" x14ac:dyDescent="0.25">
      <c r="C70" s="2"/>
      <c r="D70" s="2"/>
      <c r="E70" s="17"/>
      <c r="F70" s="66" t="s">
        <v>48</v>
      </c>
      <c r="G70" s="12"/>
      <c r="H70" s="12"/>
      <c r="I70" s="12"/>
      <c r="J70" s="12"/>
      <c r="K70" s="12" t="s">
        <v>51</v>
      </c>
      <c r="L70" s="58"/>
      <c r="M70" s="12"/>
      <c r="N70" s="12">
        <v>2.25</v>
      </c>
      <c r="O70" s="13"/>
      <c r="P70" s="14">
        <f>N70*H68</f>
        <v>700.875</v>
      </c>
      <c r="Q70" s="12"/>
      <c r="R70" s="13"/>
      <c r="S70" s="14"/>
      <c r="T70" s="12"/>
      <c r="U70" s="13"/>
      <c r="V70" s="14"/>
      <c r="W70" s="12"/>
      <c r="X70" s="13"/>
      <c r="Y70" s="14"/>
      <c r="Z70" s="12"/>
      <c r="AA70" s="13"/>
      <c r="AB70" s="14"/>
      <c r="AC70" s="12"/>
      <c r="AD70" s="13"/>
      <c r="AE70" s="14"/>
      <c r="AF70" s="7"/>
      <c r="AG70" s="1"/>
      <c r="AH70" s="1">
        <f t="shared" si="20"/>
        <v>700.875</v>
      </c>
    </row>
    <row r="71" spans="3:34" x14ac:dyDescent="0.25">
      <c r="C71" s="2"/>
      <c r="D71" s="2"/>
      <c r="E71" s="17"/>
      <c r="F71" s="66" t="s">
        <v>48</v>
      </c>
      <c r="G71" s="12"/>
      <c r="H71" s="12"/>
      <c r="I71" s="12"/>
      <c r="J71" s="12"/>
      <c r="K71" s="12" t="s">
        <v>52</v>
      </c>
      <c r="L71" s="58"/>
      <c r="M71" s="12"/>
      <c r="N71" s="12"/>
      <c r="O71" s="13"/>
      <c r="P71" s="14"/>
      <c r="Q71" s="12">
        <v>3.24</v>
      </c>
      <c r="R71" s="13"/>
      <c r="S71" s="14">
        <f>Q71*H68</f>
        <v>1009.2600000000001</v>
      </c>
      <c r="T71" s="12"/>
      <c r="U71" s="13"/>
      <c r="V71" s="14"/>
      <c r="W71" s="12"/>
      <c r="X71" s="13"/>
      <c r="Y71" s="14"/>
      <c r="Z71" s="12"/>
      <c r="AA71" s="13"/>
      <c r="AB71" s="14"/>
      <c r="AC71" s="12"/>
      <c r="AD71" s="13"/>
      <c r="AE71" s="14"/>
      <c r="AF71" s="7"/>
      <c r="AG71" s="1"/>
      <c r="AH71" s="1">
        <f t="shared" si="20"/>
        <v>1009.2600000000001</v>
      </c>
    </row>
    <row r="72" spans="3:34" x14ac:dyDescent="0.25">
      <c r="C72" s="2"/>
      <c r="D72" s="2"/>
      <c r="E72" s="17"/>
      <c r="F72" s="66" t="s">
        <v>48</v>
      </c>
      <c r="G72" s="12"/>
      <c r="H72" s="12"/>
      <c r="I72" s="12"/>
      <c r="J72" s="12"/>
      <c r="K72" s="12" t="s">
        <v>53</v>
      </c>
      <c r="L72" s="58"/>
      <c r="M72" s="12"/>
      <c r="N72" s="12"/>
      <c r="O72" s="13"/>
      <c r="P72" s="14"/>
      <c r="Q72" s="12"/>
      <c r="R72" s="13"/>
      <c r="S72" s="14"/>
      <c r="T72" s="12">
        <v>0.95</v>
      </c>
      <c r="U72" s="13"/>
      <c r="V72" s="14">
        <f>T72*H68</f>
        <v>295.92500000000001</v>
      </c>
      <c r="W72" s="12"/>
      <c r="X72" s="13"/>
      <c r="Y72" s="14"/>
      <c r="Z72" s="12"/>
      <c r="AA72" s="13"/>
      <c r="AB72" s="14"/>
      <c r="AC72" s="12"/>
      <c r="AD72" s="13"/>
      <c r="AE72" s="14"/>
      <c r="AF72" s="7"/>
      <c r="AG72" s="1"/>
      <c r="AH72" s="1">
        <f t="shared" si="20"/>
        <v>295.92500000000001</v>
      </c>
    </row>
    <row r="73" spans="3:34" x14ac:dyDescent="0.25">
      <c r="C73" s="2"/>
      <c r="D73" s="2"/>
      <c r="E73" s="17"/>
      <c r="F73" s="66" t="s">
        <v>48</v>
      </c>
      <c r="G73" s="12"/>
      <c r="H73" s="12"/>
      <c r="I73" s="12"/>
      <c r="J73" s="12"/>
      <c r="K73" s="12" t="s">
        <v>54</v>
      </c>
      <c r="L73" s="58"/>
      <c r="M73" s="12"/>
      <c r="N73" s="12"/>
      <c r="O73" s="13"/>
      <c r="P73" s="14"/>
      <c r="Q73" s="12"/>
      <c r="R73" s="13"/>
      <c r="S73" s="14"/>
      <c r="T73" s="12"/>
      <c r="U73" s="13"/>
      <c r="V73" s="14"/>
      <c r="W73" s="12">
        <v>0.1</v>
      </c>
      <c r="X73" s="13"/>
      <c r="Y73" s="14">
        <f>W73*H68</f>
        <v>31.150000000000002</v>
      </c>
      <c r="Z73" s="12"/>
      <c r="AA73" s="13"/>
      <c r="AB73" s="14"/>
      <c r="AC73" s="12"/>
      <c r="AD73" s="13"/>
      <c r="AE73" s="14"/>
      <c r="AF73" s="7"/>
      <c r="AG73" s="1"/>
      <c r="AH73" s="1">
        <f t="shared" si="20"/>
        <v>31.150000000000002</v>
      </c>
    </row>
    <row r="74" spans="3:34" x14ac:dyDescent="0.25">
      <c r="C74" s="2"/>
      <c r="D74" s="2"/>
      <c r="E74" s="17"/>
      <c r="F74" s="66" t="s">
        <v>48</v>
      </c>
      <c r="G74" s="12"/>
      <c r="H74" s="12"/>
      <c r="I74" s="12"/>
      <c r="J74" s="12"/>
      <c r="K74" s="12" t="s">
        <v>55</v>
      </c>
      <c r="L74" s="58"/>
      <c r="M74" s="12"/>
      <c r="N74" s="12"/>
      <c r="O74" s="13"/>
      <c r="P74" s="14"/>
      <c r="Q74" s="12"/>
      <c r="R74" s="13"/>
      <c r="S74" s="14"/>
      <c r="T74" s="12"/>
      <c r="U74" s="13"/>
      <c r="V74" s="14"/>
      <c r="W74" s="12"/>
      <c r="X74" s="13"/>
      <c r="Y74" s="14"/>
      <c r="Z74" s="12"/>
      <c r="AA74" s="13"/>
      <c r="AB74" s="14"/>
      <c r="AC74" s="12">
        <v>0.17</v>
      </c>
      <c r="AD74" s="13"/>
      <c r="AE74" s="14">
        <f>AC74*H68</f>
        <v>52.955000000000005</v>
      </c>
      <c r="AF74" s="7"/>
      <c r="AG74" s="1"/>
      <c r="AH74" s="1">
        <f t="shared" si="20"/>
        <v>52.955000000000005</v>
      </c>
    </row>
    <row r="75" spans="3:34" x14ac:dyDescent="0.25">
      <c r="C75" s="2"/>
      <c r="D75" s="2"/>
      <c r="E75" s="17"/>
      <c r="F75" s="25" t="s">
        <v>28</v>
      </c>
      <c r="G75" s="4"/>
      <c r="H75" s="4"/>
      <c r="I75" s="4">
        <f>43*3*6</f>
        <v>774</v>
      </c>
      <c r="J75" s="4"/>
      <c r="K75" s="4" t="s">
        <v>25</v>
      </c>
      <c r="L75" s="58">
        <f>276.67*1000</f>
        <v>276670</v>
      </c>
      <c r="M75" s="4">
        <f>L75*I75</f>
        <v>214142580</v>
      </c>
      <c r="N75" s="4"/>
      <c r="O75" s="6">
        <v>1.5900000000000001E-2</v>
      </c>
      <c r="P75" s="3">
        <f t="shared" si="13"/>
        <v>3404867.0220000003</v>
      </c>
      <c r="Q75" s="4"/>
      <c r="R75" s="6">
        <v>2.4500000000000001E-2</v>
      </c>
      <c r="S75" s="3">
        <f t="shared" si="14"/>
        <v>5246493.21</v>
      </c>
      <c r="T75" s="4"/>
      <c r="U75" s="6">
        <v>2.8999999999999998E-3</v>
      </c>
      <c r="V75" s="3">
        <f t="shared" si="15"/>
        <v>621013.48199999996</v>
      </c>
      <c r="W75" s="4"/>
      <c r="X75" s="6">
        <v>5.0000000000000001E-4</v>
      </c>
      <c r="Y75" s="3">
        <f t="shared" si="16"/>
        <v>107071.29000000001</v>
      </c>
      <c r="Z75" s="4"/>
      <c r="AA75" s="6">
        <v>1.1000000000000001E-3</v>
      </c>
      <c r="AB75" s="3">
        <f t="shared" si="17"/>
        <v>235556.83800000002</v>
      </c>
      <c r="AC75" s="4"/>
      <c r="AD75" s="6">
        <v>1.4E-3</v>
      </c>
      <c r="AE75" s="3">
        <f t="shared" si="18"/>
        <v>299799.61200000002</v>
      </c>
      <c r="AF75" s="7" t="e">
        <f>#REF!+#REF!+#REF!+#REF!+#REF!+#REF!+#REF!+#REF!+#REF!+#REF!+#REF!+#REF!</f>
        <v>#REF!</v>
      </c>
      <c r="AG75" s="1" t="e">
        <f>#REF!+#REF!+#REF!+#REF!+#REF!+#REF!+#REF!+#REF!+#REF!+#REF!+#REF!+#REF!-M75</f>
        <v>#REF!</v>
      </c>
      <c r="AH75" s="1">
        <f t="shared" si="4"/>
        <v>9914801.4539999999</v>
      </c>
    </row>
    <row r="76" spans="3:34" x14ac:dyDescent="0.25">
      <c r="C76" s="2"/>
      <c r="D76" s="2"/>
      <c r="E76" s="17"/>
      <c r="F76" s="66" t="s">
        <v>56</v>
      </c>
      <c r="G76" s="12"/>
      <c r="H76" s="12"/>
      <c r="I76" s="12"/>
      <c r="J76" s="12"/>
      <c r="K76" s="12" t="s">
        <v>57</v>
      </c>
      <c r="L76" s="58"/>
      <c r="M76" s="12"/>
      <c r="N76" s="12"/>
      <c r="O76" s="13"/>
      <c r="P76" s="14"/>
      <c r="Q76" s="12"/>
      <c r="R76" s="13"/>
      <c r="S76" s="14"/>
      <c r="T76" s="12"/>
      <c r="U76" s="13"/>
      <c r="V76" s="14"/>
      <c r="W76" s="12"/>
      <c r="X76" s="13"/>
      <c r="Y76" s="14"/>
      <c r="Z76" s="12">
        <v>0.3</v>
      </c>
      <c r="AA76" s="13"/>
      <c r="AB76" s="14">
        <f>Z76*I75</f>
        <v>232.2</v>
      </c>
      <c r="AC76" s="12"/>
      <c r="AD76" s="13"/>
      <c r="AE76" s="14"/>
      <c r="AF76" s="7"/>
      <c r="AG76" s="1"/>
      <c r="AH76" s="1">
        <f t="shared" si="4"/>
        <v>232.2</v>
      </c>
    </row>
    <row r="77" spans="3:34" x14ac:dyDescent="0.25">
      <c r="C77" s="2"/>
      <c r="D77" s="2"/>
      <c r="E77" s="17"/>
      <c r="F77" s="66" t="s">
        <v>56</v>
      </c>
      <c r="G77" s="12"/>
      <c r="H77" s="12"/>
      <c r="I77" s="12"/>
      <c r="J77" s="12"/>
      <c r="K77" s="12" t="s">
        <v>58</v>
      </c>
      <c r="L77" s="58"/>
      <c r="M77" s="12"/>
      <c r="N77" s="12">
        <v>4.58</v>
      </c>
      <c r="O77" s="13"/>
      <c r="P77" s="14">
        <f>N77*I75</f>
        <v>3544.92</v>
      </c>
      <c r="Q77" s="12"/>
      <c r="R77" s="13"/>
      <c r="S77" s="14"/>
      <c r="T77" s="12"/>
      <c r="U77" s="13"/>
      <c r="V77" s="14"/>
      <c r="W77" s="12"/>
      <c r="X77" s="13"/>
      <c r="Y77" s="14"/>
      <c r="Z77" s="12"/>
      <c r="AA77" s="13"/>
      <c r="AB77" s="14"/>
      <c r="AC77" s="12"/>
      <c r="AD77" s="13"/>
      <c r="AE77" s="14"/>
      <c r="AF77" s="7"/>
      <c r="AG77" s="1"/>
      <c r="AH77" s="1">
        <f t="shared" si="4"/>
        <v>3544.92</v>
      </c>
    </row>
    <row r="78" spans="3:34" x14ac:dyDescent="0.25">
      <c r="C78" s="2"/>
      <c r="D78" s="2"/>
      <c r="E78" s="17"/>
      <c r="F78" s="66" t="s">
        <v>56</v>
      </c>
      <c r="G78" s="12"/>
      <c r="H78" s="12"/>
      <c r="I78" s="12"/>
      <c r="J78" s="12"/>
      <c r="K78" s="12" t="s">
        <v>59</v>
      </c>
      <c r="L78" s="58"/>
      <c r="M78" s="12"/>
      <c r="N78" s="12"/>
      <c r="O78" s="13"/>
      <c r="P78" s="14"/>
      <c r="Q78" s="12">
        <v>6.59</v>
      </c>
      <c r="R78" s="13"/>
      <c r="S78" s="14">
        <f>Q78*I75</f>
        <v>5100.66</v>
      </c>
      <c r="T78" s="12"/>
      <c r="U78" s="13"/>
      <c r="V78" s="14"/>
      <c r="W78" s="12"/>
      <c r="X78" s="13"/>
      <c r="Y78" s="14"/>
      <c r="Z78" s="12"/>
      <c r="AA78" s="13"/>
      <c r="AB78" s="14"/>
      <c r="AC78" s="12"/>
      <c r="AD78" s="13"/>
      <c r="AE78" s="14"/>
      <c r="AF78" s="7"/>
      <c r="AG78" s="1"/>
      <c r="AH78" s="1">
        <f t="shared" si="4"/>
        <v>5100.66</v>
      </c>
    </row>
    <row r="79" spans="3:34" x14ac:dyDescent="0.25">
      <c r="C79" s="2"/>
      <c r="D79" s="2"/>
      <c r="E79" s="17"/>
      <c r="F79" s="66" t="s">
        <v>56</v>
      </c>
      <c r="G79" s="12"/>
      <c r="H79" s="12"/>
      <c r="I79" s="12"/>
      <c r="J79" s="12"/>
      <c r="K79" s="12" t="s">
        <v>60</v>
      </c>
      <c r="L79" s="58"/>
      <c r="M79" s="12"/>
      <c r="N79" s="12"/>
      <c r="O79" s="13"/>
      <c r="P79" s="14"/>
      <c r="Q79" s="12"/>
      <c r="R79" s="13"/>
      <c r="S79" s="14"/>
      <c r="T79" s="12">
        <v>0.87</v>
      </c>
      <c r="U79" s="13"/>
      <c r="V79" s="14">
        <f>T79*I75</f>
        <v>673.38</v>
      </c>
      <c r="W79" s="12"/>
      <c r="X79" s="13"/>
      <c r="Y79" s="14"/>
      <c r="Z79" s="12"/>
      <c r="AA79" s="13"/>
      <c r="AB79" s="14"/>
      <c r="AC79" s="12"/>
      <c r="AD79" s="13"/>
      <c r="AE79" s="14"/>
      <c r="AF79" s="7"/>
      <c r="AG79" s="1"/>
      <c r="AH79" s="1">
        <f t="shared" si="4"/>
        <v>673.38</v>
      </c>
    </row>
    <row r="80" spans="3:34" x14ac:dyDescent="0.25">
      <c r="C80" s="2"/>
      <c r="D80" s="2"/>
      <c r="E80" s="17"/>
      <c r="F80" s="66" t="s">
        <v>56</v>
      </c>
      <c r="G80" s="12"/>
      <c r="H80" s="12"/>
      <c r="I80" s="12"/>
      <c r="J80" s="12"/>
      <c r="K80" s="12" t="s">
        <v>61</v>
      </c>
      <c r="L80" s="58"/>
      <c r="M80" s="12"/>
      <c r="N80" s="12"/>
      <c r="O80" s="13"/>
      <c r="P80" s="14"/>
      <c r="Q80" s="12"/>
      <c r="R80" s="13"/>
      <c r="S80" s="14"/>
      <c r="T80" s="12"/>
      <c r="U80" s="13"/>
      <c r="V80" s="14"/>
      <c r="W80" s="12">
        <v>0.13</v>
      </c>
      <c r="X80" s="13"/>
      <c r="Y80" s="14">
        <f>W80*I75</f>
        <v>100.62</v>
      </c>
      <c r="Z80" s="12"/>
      <c r="AA80" s="13"/>
      <c r="AB80" s="14"/>
      <c r="AC80" s="12"/>
      <c r="AD80" s="13"/>
      <c r="AE80" s="14"/>
      <c r="AF80" s="7"/>
      <c r="AG80" s="1"/>
      <c r="AH80" s="1">
        <f t="shared" si="4"/>
        <v>100.62</v>
      </c>
    </row>
    <row r="81" spans="3:34" x14ac:dyDescent="0.25">
      <c r="C81" s="2"/>
      <c r="D81" s="2"/>
      <c r="E81" s="17"/>
      <c r="F81" s="66" t="s">
        <v>56</v>
      </c>
      <c r="G81" s="12"/>
      <c r="H81" s="12"/>
      <c r="I81" s="12"/>
      <c r="J81" s="12"/>
      <c r="K81" s="12" t="s">
        <v>62</v>
      </c>
      <c r="L81" s="58"/>
      <c r="M81" s="12"/>
      <c r="N81" s="12"/>
      <c r="O81" s="13"/>
      <c r="P81" s="14"/>
      <c r="Q81" s="12"/>
      <c r="R81" s="13"/>
      <c r="S81" s="14"/>
      <c r="T81" s="12"/>
      <c r="U81" s="13"/>
      <c r="V81" s="14"/>
      <c r="W81" s="12"/>
      <c r="X81" s="13"/>
      <c r="Y81" s="14"/>
      <c r="Z81" s="12"/>
      <c r="AA81" s="13"/>
      <c r="AB81" s="14"/>
      <c r="AC81" s="12">
        <v>0.39</v>
      </c>
      <c r="AD81" s="13"/>
      <c r="AE81" s="14">
        <f>AC81*I75</f>
        <v>301.86</v>
      </c>
      <c r="AF81" s="7"/>
      <c r="AG81" s="1"/>
      <c r="AH81" s="1">
        <f t="shared" si="4"/>
        <v>301.86</v>
      </c>
    </row>
    <row r="82" spans="3:34" x14ac:dyDescent="0.25">
      <c r="C82" s="2"/>
      <c r="D82" s="2"/>
      <c r="E82" s="17"/>
      <c r="F82" s="44" t="s">
        <v>29</v>
      </c>
      <c r="G82" s="4"/>
      <c r="H82" s="4"/>
      <c r="I82" s="4"/>
      <c r="J82" s="4">
        <v>9500</v>
      </c>
      <c r="K82" s="4" t="s">
        <v>37</v>
      </c>
      <c r="L82" s="58">
        <v>382230</v>
      </c>
      <c r="M82" s="4">
        <f>J82*L82/100</f>
        <v>36311850</v>
      </c>
      <c r="N82" s="9"/>
      <c r="O82" s="10">
        <v>1.8100000000000002E-2</v>
      </c>
      <c r="P82" s="3">
        <f t="shared" si="13"/>
        <v>657244.4850000001</v>
      </c>
      <c r="Q82" s="9"/>
      <c r="R82" s="10">
        <v>3.0000000000000001E-3</v>
      </c>
      <c r="S82" s="3">
        <f t="shared" si="14"/>
        <v>108935.55</v>
      </c>
      <c r="T82" s="9"/>
      <c r="U82" s="10">
        <v>7.6E-3</v>
      </c>
      <c r="V82" s="3">
        <f t="shared" si="15"/>
        <v>275970.06</v>
      </c>
      <c r="W82" s="9"/>
      <c r="X82" s="10">
        <v>5.1000000000000004E-3</v>
      </c>
      <c r="Y82" s="3">
        <f t="shared" si="16"/>
        <v>185190.43500000003</v>
      </c>
      <c r="Z82" s="9"/>
      <c r="AA82" s="10"/>
      <c r="AB82" s="3">
        <f t="shared" si="17"/>
        <v>0</v>
      </c>
      <c r="AC82" s="9"/>
      <c r="AD82" s="10">
        <v>1.4E-3</v>
      </c>
      <c r="AE82" s="3">
        <f t="shared" si="18"/>
        <v>50836.59</v>
      </c>
      <c r="AF82" s="7" t="e">
        <f>#REF!+#REF!+#REF!+#REF!+#REF!+#REF!+#REF!+#REF!+#REF!+#REF!+#REF!+#REF!</f>
        <v>#REF!</v>
      </c>
      <c r="AG82" s="1" t="e">
        <f>#REF!+#REF!+#REF!+#REF!+#REF!+#REF!+#REF!+#REF!+#REF!+#REF!+#REF!+#REF!-M82</f>
        <v>#REF!</v>
      </c>
      <c r="AH82" s="1">
        <f t="shared" si="4"/>
        <v>1278177.1200000001</v>
      </c>
    </row>
    <row r="83" spans="3:34" x14ac:dyDescent="0.25">
      <c r="C83" s="2"/>
      <c r="D83" s="2"/>
      <c r="E83" s="17"/>
      <c r="F83" s="66" t="s">
        <v>56</v>
      </c>
      <c r="G83" s="4"/>
      <c r="H83" s="4"/>
      <c r="I83" s="4"/>
      <c r="J83" s="4"/>
      <c r="K83" s="4" t="s">
        <v>63</v>
      </c>
      <c r="L83" s="58"/>
      <c r="M83" s="4"/>
      <c r="N83" s="4">
        <v>4.67</v>
      </c>
      <c r="O83" s="6"/>
      <c r="P83" s="3">
        <f>N83*J82</f>
        <v>44365</v>
      </c>
      <c r="Q83" s="4"/>
      <c r="R83" s="6"/>
      <c r="S83" s="3"/>
      <c r="T83" s="4"/>
      <c r="U83" s="6"/>
      <c r="V83" s="3"/>
      <c r="W83" s="4"/>
      <c r="X83" s="6"/>
      <c r="Y83" s="3"/>
      <c r="Z83" s="4"/>
      <c r="AA83" s="6"/>
      <c r="AB83" s="3"/>
      <c r="AC83" s="4"/>
      <c r="AD83" s="6"/>
      <c r="AE83" s="3"/>
      <c r="AF83" s="7"/>
      <c r="AG83" s="1"/>
      <c r="AH83" s="1">
        <f t="shared" ref="AH83:AH87" si="21">AE83+AB83+Y83+V83+S83+P83</f>
        <v>44365</v>
      </c>
    </row>
    <row r="84" spans="3:34" x14ac:dyDescent="0.25">
      <c r="C84" s="2"/>
      <c r="D84" s="2"/>
      <c r="E84" s="17"/>
      <c r="F84" s="66" t="s">
        <v>56</v>
      </c>
      <c r="G84" s="4"/>
      <c r="H84" s="4"/>
      <c r="I84" s="4"/>
      <c r="J84" s="4"/>
      <c r="K84" s="4" t="s">
        <v>64</v>
      </c>
      <c r="L84" s="58"/>
      <c r="M84" s="4"/>
      <c r="N84" s="4"/>
      <c r="O84" s="6"/>
      <c r="P84" s="3"/>
      <c r="Q84" s="4">
        <v>0.86</v>
      </c>
      <c r="R84" s="6"/>
      <c r="S84" s="3">
        <f>Q84*J82</f>
        <v>8170</v>
      </c>
      <c r="T84" s="4"/>
      <c r="U84" s="6"/>
      <c r="V84" s="3"/>
      <c r="W84" s="4"/>
      <c r="X84" s="6"/>
      <c r="Y84" s="3"/>
      <c r="Z84" s="4"/>
      <c r="AA84" s="6"/>
      <c r="AB84" s="3"/>
      <c r="AC84" s="4"/>
      <c r="AD84" s="6"/>
      <c r="AE84" s="3"/>
      <c r="AF84" s="7"/>
      <c r="AG84" s="1"/>
      <c r="AH84" s="1">
        <f t="shared" si="21"/>
        <v>8170</v>
      </c>
    </row>
    <row r="85" spans="3:34" x14ac:dyDescent="0.25">
      <c r="C85" s="2"/>
      <c r="D85" s="2"/>
      <c r="E85" s="17"/>
      <c r="F85" s="66" t="s">
        <v>56</v>
      </c>
      <c r="G85" s="12"/>
      <c r="H85" s="12"/>
      <c r="I85" s="12"/>
      <c r="J85" s="12"/>
      <c r="K85" s="12" t="s">
        <v>65</v>
      </c>
      <c r="L85" s="58"/>
      <c r="M85" s="12"/>
      <c r="N85" s="12"/>
      <c r="O85" s="13"/>
      <c r="P85" s="14"/>
      <c r="Q85" s="12"/>
      <c r="R85" s="13"/>
      <c r="S85" s="14"/>
      <c r="T85" s="12">
        <v>1.94</v>
      </c>
      <c r="U85" s="13"/>
      <c r="V85" s="14">
        <f>T85*J82</f>
        <v>18430</v>
      </c>
      <c r="W85" s="12"/>
      <c r="X85" s="13"/>
      <c r="Y85" s="14"/>
      <c r="Z85" s="12"/>
      <c r="AA85" s="13"/>
      <c r="AB85" s="14"/>
      <c r="AC85" s="12"/>
      <c r="AD85" s="13"/>
      <c r="AE85" s="14"/>
      <c r="AF85" s="7"/>
      <c r="AG85" s="1"/>
      <c r="AH85" s="1">
        <f t="shared" si="21"/>
        <v>18430</v>
      </c>
    </row>
    <row r="86" spans="3:34" x14ac:dyDescent="0.25">
      <c r="C86" s="2"/>
      <c r="D86" s="2"/>
      <c r="E86" s="17"/>
      <c r="F86" s="66" t="s">
        <v>56</v>
      </c>
      <c r="G86" s="12"/>
      <c r="H86" s="12"/>
      <c r="I86" s="12"/>
      <c r="J86" s="12"/>
      <c r="K86" s="12" t="s">
        <v>66</v>
      </c>
      <c r="L86" s="58"/>
      <c r="M86" s="12"/>
      <c r="N86" s="12"/>
      <c r="O86" s="13"/>
      <c r="P86" s="14"/>
      <c r="Q86" s="12"/>
      <c r="R86" s="13"/>
      <c r="S86" s="14"/>
      <c r="T86" s="12"/>
      <c r="U86" s="13"/>
      <c r="V86" s="14"/>
      <c r="W86" s="12">
        <v>1.32</v>
      </c>
      <c r="X86" s="13"/>
      <c r="Y86" s="14">
        <f>W86*J82</f>
        <v>12540</v>
      </c>
      <c r="Z86" s="12"/>
      <c r="AA86" s="13"/>
      <c r="AB86" s="14"/>
      <c r="AC86" s="12"/>
      <c r="AD86" s="13"/>
      <c r="AE86" s="14"/>
      <c r="AF86" s="7"/>
      <c r="AG86" s="1"/>
      <c r="AH86" s="1">
        <f t="shared" si="21"/>
        <v>12540</v>
      </c>
    </row>
    <row r="87" spans="3:34" x14ac:dyDescent="0.25">
      <c r="C87" s="2"/>
      <c r="D87" s="2"/>
      <c r="E87" s="17"/>
      <c r="F87" s="66" t="s">
        <v>56</v>
      </c>
      <c r="G87" s="12"/>
      <c r="H87" s="12"/>
      <c r="I87" s="12"/>
      <c r="J87" s="12"/>
      <c r="K87" s="12" t="s">
        <v>67</v>
      </c>
      <c r="L87" s="58"/>
      <c r="M87" s="12"/>
      <c r="N87" s="12"/>
      <c r="O87" s="13"/>
      <c r="P87" s="14"/>
      <c r="Q87" s="12"/>
      <c r="R87" s="13"/>
      <c r="S87" s="14"/>
      <c r="T87" s="12"/>
      <c r="U87" s="13"/>
      <c r="V87" s="14"/>
      <c r="W87" s="12"/>
      <c r="X87" s="13"/>
      <c r="Y87" s="14"/>
      <c r="Z87" s="12"/>
      <c r="AA87" s="13"/>
      <c r="AB87" s="14"/>
      <c r="AC87" s="12">
        <v>0.53</v>
      </c>
      <c r="AD87" s="13"/>
      <c r="AE87" s="14">
        <f>AC87*J82</f>
        <v>5035</v>
      </c>
      <c r="AF87" s="7"/>
      <c r="AG87" s="1"/>
      <c r="AH87" s="1">
        <f t="shared" si="21"/>
        <v>5035</v>
      </c>
    </row>
    <row r="88" spans="3:34" ht="16.5" thickBot="1" x14ac:dyDescent="0.3">
      <c r="C88" s="15"/>
      <c r="D88" s="15"/>
      <c r="E88" s="19"/>
      <c r="F88" s="26" t="s">
        <v>6</v>
      </c>
      <c r="G88" s="27"/>
      <c r="H88" s="27"/>
      <c r="I88" s="27"/>
      <c r="J88" s="27"/>
      <c r="K88" s="27"/>
      <c r="L88" s="59"/>
      <c r="M88" s="27">
        <f>SUM(M61:M87)</f>
        <v>2182783365</v>
      </c>
      <c r="N88" s="27"/>
      <c r="O88" s="28"/>
      <c r="P88" s="27">
        <f>SUM(P61:P87)</f>
        <v>34095803.204500005</v>
      </c>
      <c r="Q88" s="27"/>
      <c r="R88" s="28"/>
      <c r="S88" s="27">
        <f>SUM(S61:S87)</f>
        <v>47156869.846000001</v>
      </c>
      <c r="T88" s="27"/>
      <c r="U88" s="28"/>
      <c r="V88" s="27">
        <f>SUM(V61:V87)</f>
        <v>11172186.802500002</v>
      </c>
      <c r="W88" s="27"/>
      <c r="X88" s="28"/>
      <c r="Y88" s="27">
        <f>SUM(Y61:Y87)</f>
        <v>1465880.206</v>
      </c>
      <c r="Z88" s="27"/>
      <c r="AA88" s="28"/>
      <c r="AB88" s="27">
        <f>SUM(AB61:AB87)</f>
        <v>2170433.9630000005</v>
      </c>
      <c r="AC88" s="27"/>
      <c r="AD88" s="28"/>
      <c r="AE88" s="27">
        <f>SUM(AE61:AE87)</f>
        <v>3063868.7760000001</v>
      </c>
      <c r="AF88" s="7" t="e">
        <f>#REF!+#REF!+#REF!+#REF!+#REF!+#REF!+#REF!+#REF!+#REF!+#REF!+#REF!+#REF!</f>
        <v>#REF!</v>
      </c>
      <c r="AG88" s="1" t="e">
        <f>#REF!+#REF!+#REF!+#REF!+#REF!+#REF!+#REF!+#REF!+#REF!+#REF!+#REF!+#REF!-M88</f>
        <v>#REF!</v>
      </c>
      <c r="AH88" s="69">
        <f t="shared" si="4"/>
        <v>99125042.798000008</v>
      </c>
    </row>
    <row r="89" spans="3:34" x14ac:dyDescent="0.25">
      <c r="C89" s="2" t="s">
        <v>0</v>
      </c>
      <c r="D89" s="2" t="s">
        <v>1</v>
      </c>
      <c r="E89" s="17" t="s">
        <v>2</v>
      </c>
      <c r="F89" s="20" t="s">
        <v>7</v>
      </c>
      <c r="G89" s="21">
        <v>25763.599999999999</v>
      </c>
      <c r="H89" s="21">
        <v>16424</v>
      </c>
      <c r="I89" s="21"/>
      <c r="J89" s="21"/>
      <c r="K89" s="21" t="s">
        <v>21</v>
      </c>
      <c r="L89" s="60">
        <f>179.64*1000</f>
        <v>179640</v>
      </c>
      <c r="M89" s="21">
        <f>L89*H89</f>
        <v>2950407360</v>
      </c>
      <c r="N89" s="21"/>
      <c r="O89" s="22">
        <v>1.6E-2</v>
      </c>
      <c r="P89" s="23">
        <f t="shared" ref="P89:P96" si="22">O89*$M89</f>
        <v>47206517.759999998</v>
      </c>
      <c r="Q89" s="21"/>
      <c r="R89" s="22">
        <v>2.3300000000000001E-2</v>
      </c>
      <c r="S89" s="3">
        <f t="shared" ref="S89:S96" si="23">R89*$M89</f>
        <v>68744491.488000005</v>
      </c>
      <c r="T89" s="21"/>
      <c r="U89" s="22">
        <v>7.0000000000000001E-3</v>
      </c>
      <c r="V89" s="3">
        <f t="shared" ref="V89:V96" si="24">U89*$M89</f>
        <v>20652851.52</v>
      </c>
      <c r="W89" s="21"/>
      <c r="X89" s="22">
        <v>6.9999999999999999E-4</v>
      </c>
      <c r="Y89" s="3">
        <f t="shared" ref="Y89:Y96" si="25">X89*$M89</f>
        <v>2065285.152</v>
      </c>
      <c r="Z89" s="21"/>
      <c r="AA89" s="22">
        <v>1E-3</v>
      </c>
      <c r="AB89" s="3">
        <f t="shared" ref="AB89:AB96" si="26">AA89*$M89</f>
        <v>2950407.36</v>
      </c>
      <c r="AC89" s="21"/>
      <c r="AD89" s="22">
        <v>1.4E-3</v>
      </c>
      <c r="AE89" s="3">
        <f t="shared" ref="AE89:AE96" si="27">AD89*$M89</f>
        <v>4130570.304</v>
      </c>
      <c r="AF89" s="7" t="e">
        <f>#REF!+#REF!+#REF!+#REF!+#REF!+#REF!+#REF!+#REF!+#REF!+#REF!+#REF!+#REF!</f>
        <v>#REF!</v>
      </c>
      <c r="AG89" s="1" t="e">
        <f>#REF!+#REF!+#REF!+#REF!+#REF!+#REF!+#REF!+#REF!+#REF!+#REF!+#REF!+#REF!-M89</f>
        <v>#REF!</v>
      </c>
      <c r="AH89" s="1">
        <f t="shared" si="4"/>
        <v>145750123.58399999</v>
      </c>
    </row>
    <row r="90" spans="3:34" x14ac:dyDescent="0.25">
      <c r="C90" s="2"/>
      <c r="D90" s="2"/>
      <c r="E90" s="17"/>
      <c r="F90" s="66" t="s">
        <v>48</v>
      </c>
      <c r="G90" s="12"/>
      <c r="H90" s="12"/>
      <c r="I90" s="12"/>
      <c r="J90" s="12"/>
      <c r="K90" s="12" t="s">
        <v>49</v>
      </c>
      <c r="L90" s="58"/>
      <c r="M90" s="12"/>
      <c r="N90" s="12"/>
      <c r="O90" s="13"/>
      <c r="P90" s="14"/>
      <c r="Q90" s="12"/>
      <c r="R90" s="13"/>
      <c r="S90" s="14"/>
      <c r="T90" s="12"/>
      <c r="U90" s="13"/>
      <c r="V90" s="14"/>
      <c r="W90" s="12"/>
      <c r="X90" s="13"/>
      <c r="Y90" s="14"/>
      <c r="Z90" s="12">
        <v>0.22</v>
      </c>
      <c r="AA90" s="13"/>
      <c r="AB90" s="14">
        <f>Z90*H89</f>
        <v>3613.28</v>
      </c>
      <c r="AC90" s="12"/>
      <c r="AD90" s="13"/>
      <c r="AE90" s="14"/>
      <c r="AF90" s="7"/>
      <c r="AG90" s="1"/>
      <c r="AH90" s="1">
        <f t="shared" si="4"/>
        <v>3613.28</v>
      </c>
    </row>
    <row r="91" spans="3:34" x14ac:dyDescent="0.25">
      <c r="C91" s="2"/>
      <c r="D91" s="2"/>
      <c r="E91" s="17"/>
      <c r="F91" s="66" t="s">
        <v>48</v>
      </c>
      <c r="G91" s="12"/>
      <c r="H91" s="12"/>
      <c r="I91" s="12"/>
      <c r="J91" s="12"/>
      <c r="K91" s="12" t="s">
        <v>51</v>
      </c>
      <c r="L91" s="58"/>
      <c r="M91" s="12"/>
      <c r="N91" s="12">
        <v>3.29</v>
      </c>
      <c r="O91" s="13"/>
      <c r="P91" s="14">
        <f>N91*H89</f>
        <v>54034.96</v>
      </c>
      <c r="Q91" s="12"/>
      <c r="R91" s="13"/>
      <c r="S91" s="14"/>
      <c r="T91" s="12"/>
      <c r="U91" s="13"/>
      <c r="V91" s="14"/>
      <c r="W91" s="12"/>
      <c r="X91" s="13"/>
      <c r="Y91" s="14"/>
      <c r="Z91" s="12"/>
      <c r="AA91" s="13"/>
      <c r="AB91" s="14"/>
      <c r="AC91" s="12"/>
      <c r="AD91" s="13"/>
      <c r="AE91" s="14"/>
      <c r="AF91" s="7"/>
      <c r="AG91" s="1"/>
      <c r="AH91" s="1">
        <f t="shared" si="4"/>
        <v>54034.96</v>
      </c>
    </row>
    <row r="92" spans="3:34" x14ac:dyDescent="0.25">
      <c r="C92" s="2"/>
      <c r="D92" s="2"/>
      <c r="E92" s="17"/>
      <c r="F92" s="66" t="s">
        <v>48</v>
      </c>
      <c r="G92" s="12"/>
      <c r="H92" s="12"/>
      <c r="I92" s="12"/>
      <c r="J92" s="12"/>
      <c r="K92" s="12" t="s">
        <v>52</v>
      </c>
      <c r="L92" s="58"/>
      <c r="M92" s="12"/>
      <c r="N92" s="12"/>
      <c r="O92" s="13"/>
      <c r="P92" s="14"/>
      <c r="Q92" s="12">
        <v>4.7300000000000004</v>
      </c>
      <c r="R92" s="13"/>
      <c r="S92" s="14">
        <f>Q92*H89</f>
        <v>77685.52</v>
      </c>
      <c r="T92" s="12"/>
      <c r="U92" s="13"/>
      <c r="V92" s="14"/>
      <c r="W92" s="12"/>
      <c r="X92" s="13"/>
      <c r="Y92" s="14"/>
      <c r="Z92" s="12"/>
      <c r="AA92" s="13"/>
      <c r="AB92" s="14"/>
      <c r="AC92" s="12"/>
      <c r="AD92" s="13"/>
      <c r="AE92" s="14"/>
      <c r="AF92" s="7"/>
      <c r="AG92" s="1"/>
      <c r="AH92" s="1">
        <f t="shared" si="4"/>
        <v>77685.52</v>
      </c>
    </row>
    <row r="93" spans="3:34" x14ac:dyDescent="0.25">
      <c r="C93" s="2"/>
      <c r="D93" s="2"/>
      <c r="E93" s="17"/>
      <c r="F93" s="66" t="s">
        <v>48</v>
      </c>
      <c r="G93" s="12"/>
      <c r="H93" s="12"/>
      <c r="I93" s="12"/>
      <c r="J93" s="12"/>
      <c r="K93" s="12" t="s">
        <v>53</v>
      </c>
      <c r="L93" s="58"/>
      <c r="M93" s="12"/>
      <c r="N93" s="12"/>
      <c r="O93" s="13"/>
      <c r="P93" s="14"/>
      <c r="Q93" s="12"/>
      <c r="R93" s="13"/>
      <c r="S93" s="14"/>
      <c r="T93" s="12">
        <v>1.4</v>
      </c>
      <c r="U93" s="13"/>
      <c r="V93" s="14">
        <f>T93*H89</f>
        <v>22993.599999999999</v>
      </c>
      <c r="W93" s="12"/>
      <c r="X93" s="13"/>
      <c r="Y93" s="14"/>
      <c r="Z93" s="12"/>
      <c r="AA93" s="13"/>
      <c r="AB93" s="14"/>
      <c r="AC93" s="12"/>
      <c r="AD93" s="13"/>
      <c r="AE93" s="14"/>
      <c r="AF93" s="7"/>
      <c r="AG93" s="1"/>
      <c r="AH93" s="1">
        <f t="shared" si="4"/>
        <v>22993.599999999999</v>
      </c>
    </row>
    <row r="94" spans="3:34" x14ac:dyDescent="0.25">
      <c r="C94" s="2"/>
      <c r="D94" s="2"/>
      <c r="E94" s="17"/>
      <c r="F94" s="66" t="s">
        <v>48</v>
      </c>
      <c r="G94" s="12"/>
      <c r="H94" s="12"/>
      <c r="I94" s="12"/>
      <c r="J94" s="12"/>
      <c r="K94" s="12" t="s">
        <v>54</v>
      </c>
      <c r="L94" s="58"/>
      <c r="M94" s="12"/>
      <c r="N94" s="12"/>
      <c r="O94" s="13"/>
      <c r="P94" s="14"/>
      <c r="Q94" s="12"/>
      <c r="R94" s="13"/>
      <c r="S94" s="14"/>
      <c r="T94" s="12"/>
      <c r="U94" s="13"/>
      <c r="V94" s="14"/>
      <c r="W94" s="12">
        <v>0.15</v>
      </c>
      <c r="X94" s="13"/>
      <c r="Y94" s="14">
        <f>W94*H89</f>
        <v>2463.6</v>
      </c>
      <c r="Z94" s="12"/>
      <c r="AA94" s="13"/>
      <c r="AB94" s="14"/>
      <c r="AC94" s="12"/>
      <c r="AD94" s="13"/>
      <c r="AE94" s="14"/>
      <c r="AF94" s="7"/>
      <c r="AG94" s="1"/>
      <c r="AH94" s="1">
        <f t="shared" si="4"/>
        <v>2463.6</v>
      </c>
    </row>
    <row r="95" spans="3:34" x14ac:dyDescent="0.25">
      <c r="C95" s="2"/>
      <c r="D95" s="2"/>
      <c r="E95" s="17"/>
      <c r="F95" s="66" t="s">
        <v>48</v>
      </c>
      <c r="G95" s="12"/>
      <c r="H95" s="12"/>
      <c r="I95" s="12"/>
      <c r="J95" s="12"/>
      <c r="K95" s="12" t="s">
        <v>55</v>
      </c>
      <c r="L95" s="58"/>
      <c r="M95" s="12"/>
      <c r="N95" s="12"/>
      <c r="O95" s="13"/>
      <c r="P95" s="14"/>
      <c r="Q95" s="12"/>
      <c r="R95" s="13"/>
      <c r="S95" s="14"/>
      <c r="T95" s="12"/>
      <c r="U95" s="13"/>
      <c r="V95" s="14"/>
      <c r="W95" s="12"/>
      <c r="X95" s="13"/>
      <c r="Y95" s="14"/>
      <c r="Z95" s="12"/>
      <c r="AA95" s="13"/>
      <c r="AB95" s="14"/>
      <c r="AC95" s="12">
        <v>0.25</v>
      </c>
      <c r="AD95" s="13"/>
      <c r="AE95" s="14">
        <f>AC95*H89</f>
        <v>4106</v>
      </c>
      <c r="AF95" s="7"/>
      <c r="AG95" s="1"/>
      <c r="AH95" s="1">
        <f t="shared" si="4"/>
        <v>4106</v>
      </c>
    </row>
    <row r="96" spans="3:34" ht="31.5" x14ac:dyDescent="0.25">
      <c r="C96" s="2"/>
      <c r="D96" s="2"/>
      <c r="E96" s="17"/>
      <c r="F96" s="24" t="s">
        <v>30</v>
      </c>
      <c r="G96" s="4"/>
      <c r="H96" s="4">
        <v>495.5</v>
      </c>
      <c r="I96" s="4"/>
      <c r="J96" s="12"/>
      <c r="K96" s="12" t="s">
        <v>21</v>
      </c>
      <c r="L96" s="61">
        <f>125.81*1000</f>
        <v>125810</v>
      </c>
      <c r="M96" s="12">
        <f>L96*H96</f>
        <v>62338855</v>
      </c>
      <c r="N96" s="12"/>
      <c r="O96" s="13">
        <v>1.6E-2</v>
      </c>
      <c r="P96" s="14">
        <f t="shared" si="22"/>
        <v>997421.68</v>
      </c>
      <c r="Q96" s="12"/>
      <c r="R96" s="13">
        <v>2.3300000000000001E-2</v>
      </c>
      <c r="S96" s="3">
        <f t="shared" si="23"/>
        <v>1452495.3215000001</v>
      </c>
      <c r="T96" s="12"/>
      <c r="U96" s="13">
        <v>7.0000000000000001E-3</v>
      </c>
      <c r="V96" s="3">
        <f t="shared" si="24"/>
        <v>436371.98499999999</v>
      </c>
      <c r="W96" s="12"/>
      <c r="X96" s="13">
        <v>6.9999999999999999E-4</v>
      </c>
      <c r="Y96" s="3">
        <f t="shared" si="25"/>
        <v>43637.198499999999</v>
      </c>
      <c r="Z96" s="12"/>
      <c r="AA96" s="13">
        <v>1E-3</v>
      </c>
      <c r="AB96" s="3">
        <f t="shared" si="26"/>
        <v>62338.855000000003</v>
      </c>
      <c r="AC96" s="12"/>
      <c r="AD96" s="13">
        <v>1.4E-3</v>
      </c>
      <c r="AE96" s="3">
        <f t="shared" si="27"/>
        <v>87274.396999999997</v>
      </c>
      <c r="AF96" s="7" t="e">
        <f>#REF!+#REF!+#REF!+#REF!+#REF!+#REF!+#REF!+#REF!+#REF!+#REF!+#REF!+#REF!</f>
        <v>#REF!</v>
      </c>
      <c r="AG96" s="1" t="e">
        <f>#REF!+#REF!+#REF!+#REF!+#REF!+#REF!+#REF!+#REF!+#REF!+#REF!+#REF!+#REF!-M96</f>
        <v>#REF!</v>
      </c>
      <c r="AH96" s="1">
        <f t="shared" si="4"/>
        <v>3079539.4370000004</v>
      </c>
    </row>
    <row r="97" spans="3:34" x14ac:dyDescent="0.25">
      <c r="C97" s="2"/>
      <c r="D97" s="2"/>
      <c r="E97" s="17"/>
      <c r="F97" s="66" t="s">
        <v>48</v>
      </c>
      <c r="G97" s="12"/>
      <c r="H97" s="12"/>
      <c r="I97" s="12"/>
      <c r="J97" s="12"/>
      <c r="K97" s="12" t="s">
        <v>49</v>
      </c>
      <c r="L97" s="58"/>
      <c r="M97" s="12"/>
      <c r="N97" s="12"/>
      <c r="O97" s="13"/>
      <c r="P97" s="14"/>
      <c r="Q97" s="12"/>
      <c r="R97" s="13"/>
      <c r="S97" s="14"/>
      <c r="T97" s="12"/>
      <c r="U97" s="13"/>
      <c r="V97" s="14"/>
      <c r="W97" s="12"/>
      <c r="X97" s="13"/>
      <c r="Y97" s="14"/>
      <c r="Z97" s="12">
        <v>0.14000000000000001</v>
      </c>
      <c r="AA97" s="13"/>
      <c r="AB97" s="14">
        <f>Z97*H96</f>
        <v>69.37</v>
      </c>
      <c r="AC97" s="12"/>
      <c r="AD97" s="13"/>
      <c r="AE97" s="14"/>
      <c r="AF97" s="7"/>
      <c r="AG97" s="1"/>
      <c r="AH97" s="1">
        <f t="shared" si="4"/>
        <v>69.37</v>
      </c>
    </row>
    <row r="98" spans="3:34" x14ac:dyDescent="0.25">
      <c r="C98" s="2"/>
      <c r="D98" s="2"/>
      <c r="E98" s="17"/>
      <c r="F98" s="66" t="s">
        <v>48</v>
      </c>
      <c r="G98" s="12"/>
      <c r="H98" s="12"/>
      <c r="I98" s="12"/>
      <c r="J98" s="12"/>
      <c r="K98" s="12" t="s">
        <v>51</v>
      </c>
      <c r="L98" s="58"/>
      <c r="M98" s="12"/>
      <c r="N98" s="12">
        <v>2.25</v>
      </c>
      <c r="O98" s="13"/>
      <c r="P98" s="14">
        <f>N98*H96</f>
        <v>1114.875</v>
      </c>
      <c r="Q98" s="12"/>
      <c r="R98" s="13"/>
      <c r="S98" s="14"/>
      <c r="T98" s="12"/>
      <c r="U98" s="13"/>
      <c r="V98" s="14"/>
      <c r="W98" s="12"/>
      <c r="X98" s="13"/>
      <c r="Y98" s="14"/>
      <c r="Z98" s="12"/>
      <c r="AA98" s="13"/>
      <c r="AB98" s="14"/>
      <c r="AC98" s="12"/>
      <c r="AD98" s="13"/>
      <c r="AE98" s="14"/>
      <c r="AF98" s="7"/>
      <c r="AG98" s="1"/>
      <c r="AH98" s="1">
        <f t="shared" si="4"/>
        <v>1114.875</v>
      </c>
    </row>
    <row r="99" spans="3:34" x14ac:dyDescent="0.25">
      <c r="C99" s="2"/>
      <c r="D99" s="2"/>
      <c r="E99" s="17"/>
      <c r="F99" s="66" t="s">
        <v>48</v>
      </c>
      <c r="G99" s="12"/>
      <c r="H99" s="12"/>
      <c r="I99" s="12"/>
      <c r="J99" s="12"/>
      <c r="K99" s="12" t="s">
        <v>52</v>
      </c>
      <c r="L99" s="58"/>
      <c r="M99" s="12"/>
      <c r="N99" s="12"/>
      <c r="O99" s="13"/>
      <c r="P99" s="14"/>
      <c r="Q99" s="12">
        <v>3.24</v>
      </c>
      <c r="R99" s="13"/>
      <c r="S99" s="14">
        <f>Q99*H96</f>
        <v>1605.42</v>
      </c>
      <c r="T99" s="12"/>
      <c r="U99" s="13"/>
      <c r="V99" s="14"/>
      <c r="W99" s="12"/>
      <c r="X99" s="13"/>
      <c r="Y99" s="14"/>
      <c r="Z99" s="12"/>
      <c r="AA99" s="13"/>
      <c r="AB99" s="14"/>
      <c r="AC99" s="12"/>
      <c r="AD99" s="13"/>
      <c r="AE99" s="14"/>
      <c r="AF99" s="7"/>
      <c r="AG99" s="1"/>
      <c r="AH99" s="1">
        <f t="shared" si="4"/>
        <v>1605.42</v>
      </c>
    </row>
    <row r="100" spans="3:34" x14ac:dyDescent="0.25">
      <c r="C100" s="2"/>
      <c r="D100" s="2"/>
      <c r="E100" s="17"/>
      <c r="F100" s="66" t="s">
        <v>48</v>
      </c>
      <c r="G100" s="12"/>
      <c r="H100" s="12"/>
      <c r="I100" s="12"/>
      <c r="J100" s="12"/>
      <c r="K100" s="12" t="s">
        <v>53</v>
      </c>
      <c r="L100" s="58"/>
      <c r="M100" s="12"/>
      <c r="N100" s="12"/>
      <c r="O100" s="13"/>
      <c r="P100" s="14"/>
      <c r="Q100" s="12"/>
      <c r="R100" s="13"/>
      <c r="S100" s="14"/>
      <c r="T100" s="12">
        <v>0.95</v>
      </c>
      <c r="U100" s="13"/>
      <c r="V100" s="14">
        <f>T100*H96</f>
        <v>470.72499999999997</v>
      </c>
      <c r="W100" s="12"/>
      <c r="X100" s="13"/>
      <c r="Y100" s="14"/>
      <c r="Z100" s="12"/>
      <c r="AA100" s="13"/>
      <c r="AB100" s="14"/>
      <c r="AC100" s="12"/>
      <c r="AD100" s="13"/>
      <c r="AE100" s="14"/>
      <c r="AF100" s="7"/>
      <c r="AG100" s="1"/>
      <c r="AH100" s="1">
        <f t="shared" si="4"/>
        <v>470.72499999999997</v>
      </c>
    </row>
    <row r="101" spans="3:34" x14ac:dyDescent="0.25">
      <c r="C101" s="2"/>
      <c r="D101" s="2"/>
      <c r="E101" s="17"/>
      <c r="F101" s="66" t="s">
        <v>48</v>
      </c>
      <c r="G101" s="12"/>
      <c r="H101" s="12"/>
      <c r="I101" s="12"/>
      <c r="J101" s="12"/>
      <c r="K101" s="12" t="s">
        <v>54</v>
      </c>
      <c r="L101" s="58"/>
      <c r="M101" s="12"/>
      <c r="N101" s="12"/>
      <c r="O101" s="13"/>
      <c r="P101" s="14"/>
      <c r="Q101" s="12"/>
      <c r="R101" s="13"/>
      <c r="S101" s="14"/>
      <c r="T101" s="12"/>
      <c r="U101" s="13"/>
      <c r="V101" s="14"/>
      <c r="W101" s="12">
        <v>0.1</v>
      </c>
      <c r="X101" s="13"/>
      <c r="Y101" s="14">
        <f>W101*H96</f>
        <v>49.550000000000004</v>
      </c>
      <c r="Z101" s="12"/>
      <c r="AA101" s="13"/>
      <c r="AB101" s="14"/>
      <c r="AC101" s="12"/>
      <c r="AD101" s="13"/>
      <c r="AE101" s="14"/>
      <c r="AF101" s="7"/>
      <c r="AG101" s="1"/>
      <c r="AH101" s="1">
        <f t="shared" si="4"/>
        <v>49.550000000000004</v>
      </c>
    </row>
    <row r="102" spans="3:34" x14ac:dyDescent="0.25">
      <c r="C102" s="2"/>
      <c r="D102" s="2"/>
      <c r="E102" s="17"/>
      <c r="F102" s="66" t="s">
        <v>48</v>
      </c>
      <c r="G102" s="12"/>
      <c r="H102" s="12"/>
      <c r="I102" s="12"/>
      <c r="J102" s="12"/>
      <c r="K102" s="12" t="s">
        <v>55</v>
      </c>
      <c r="L102" s="58"/>
      <c r="M102" s="12"/>
      <c r="N102" s="12"/>
      <c r="O102" s="13"/>
      <c r="P102" s="14"/>
      <c r="Q102" s="12"/>
      <c r="R102" s="13"/>
      <c r="S102" s="14"/>
      <c r="T102" s="12"/>
      <c r="U102" s="13"/>
      <c r="V102" s="14"/>
      <c r="W102" s="12"/>
      <c r="X102" s="13"/>
      <c r="Y102" s="14"/>
      <c r="Z102" s="12"/>
      <c r="AA102" s="13"/>
      <c r="AB102" s="14"/>
      <c r="AC102" s="12">
        <v>0.17</v>
      </c>
      <c r="AD102" s="13"/>
      <c r="AE102" s="14">
        <f>AC102*H96</f>
        <v>84.234999999999999</v>
      </c>
      <c r="AF102" s="7"/>
      <c r="AG102" s="1"/>
      <c r="AH102" s="1">
        <f t="shared" si="4"/>
        <v>84.234999999999999</v>
      </c>
    </row>
    <row r="103" spans="3:34" x14ac:dyDescent="0.25">
      <c r="C103" s="2"/>
      <c r="D103" s="2"/>
      <c r="E103" s="17"/>
      <c r="F103" s="25" t="s">
        <v>28</v>
      </c>
      <c r="G103" s="4"/>
      <c r="H103" s="4"/>
      <c r="I103" s="4">
        <f>77*3*6</f>
        <v>1386</v>
      </c>
      <c r="J103" s="4"/>
      <c r="K103" s="4" t="s">
        <v>25</v>
      </c>
      <c r="L103" s="58">
        <f>276.67*1000</f>
        <v>276670</v>
      </c>
      <c r="M103" s="4">
        <f>L103*I103</f>
        <v>383464620</v>
      </c>
      <c r="N103" s="4"/>
      <c r="O103" s="6">
        <v>1.5900000000000001E-2</v>
      </c>
      <c r="P103" s="3">
        <f t="shared" ref="P103:P110" si="28">O103*$M103</f>
        <v>6097087.4580000006</v>
      </c>
      <c r="Q103" s="4"/>
      <c r="R103" s="6">
        <v>2.4500000000000001E-2</v>
      </c>
      <c r="S103" s="3">
        <f t="shared" ref="S103:S110" si="29">R103*$M103</f>
        <v>9394883.1899999995</v>
      </c>
      <c r="T103" s="4"/>
      <c r="U103" s="6">
        <v>2.8999999999999998E-3</v>
      </c>
      <c r="V103" s="3">
        <f t="shared" ref="V103:V110" si="30">U103*$M103</f>
        <v>1112047.3979999998</v>
      </c>
      <c r="W103" s="4"/>
      <c r="X103" s="6">
        <v>5.0000000000000001E-4</v>
      </c>
      <c r="Y103" s="3">
        <f t="shared" ref="Y103:Y110" si="31">X103*$M103</f>
        <v>191732.31</v>
      </c>
      <c r="Z103" s="4"/>
      <c r="AA103" s="6">
        <v>1.1000000000000001E-3</v>
      </c>
      <c r="AB103" s="3">
        <f t="shared" ref="AB103:AB110" si="32">AA103*$M103</f>
        <v>421811.08200000005</v>
      </c>
      <c r="AC103" s="4"/>
      <c r="AD103" s="6">
        <v>1.4E-3</v>
      </c>
      <c r="AE103" s="3">
        <f t="shared" ref="AE103:AE110" si="33">AD103*$M103</f>
        <v>536850.46799999999</v>
      </c>
      <c r="AF103" s="7" t="e">
        <f>#REF!+#REF!+#REF!+#REF!+#REF!+#REF!+#REF!+#REF!+#REF!+#REF!+#REF!+#REF!</f>
        <v>#REF!</v>
      </c>
      <c r="AG103" s="1" t="e">
        <f>#REF!+#REF!+#REF!+#REF!+#REF!+#REF!+#REF!+#REF!+#REF!+#REF!+#REF!+#REF!-M103</f>
        <v>#REF!</v>
      </c>
      <c r="AH103" s="1">
        <f t="shared" si="4"/>
        <v>17754411.905999999</v>
      </c>
    </row>
    <row r="104" spans="3:34" x14ac:dyDescent="0.25">
      <c r="C104" s="2"/>
      <c r="D104" s="2"/>
      <c r="E104" s="17"/>
      <c r="F104" s="66" t="s">
        <v>56</v>
      </c>
      <c r="G104" s="12"/>
      <c r="H104" s="12"/>
      <c r="I104" s="12"/>
      <c r="J104" s="12"/>
      <c r="K104" s="12" t="s">
        <v>57</v>
      </c>
      <c r="L104" s="58"/>
      <c r="M104" s="12"/>
      <c r="N104" s="12"/>
      <c r="O104" s="13"/>
      <c r="P104" s="14"/>
      <c r="Q104" s="12"/>
      <c r="R104" s="13"/>
      <c r="S104" s="14"/>
      <c r="T104" s="12"/>
      <c r="U104" s="13"/>
      <c r="V104" s="14"/>
      <c r="W104" s="12"/>
      <c r="X104" s="13"/>
      <c r="Y104" s="14"/>
      <c r="Z104" s="12">
        <v>0.3</v>
      </c>
      <c r="AA104" s="13"/>
      <c r="AB104" s="14">
        <f>Z104*I103</f>
        <v>415.8</v>
      </c>
      <c r="AC104" s="12"/>
      <c r="AD104" s="13"/>
      <c r="AE104" s="14"/>
      <c r="AF104" s="7"/>
      <c r="AG104" s="1"/>
      <c r="AH104" s="1">
        <f t="shared" ref="AH104:AH109" si="34">AE104+AB104+Y104+V104+S104+P104</f>
        <v>415.8</v>
      </c>
    </row>
    <row r="105" spans="3:34" x14ac:dyDescent="0.25">
      <c r="C105" s="2"/>
      <c r="D105" s="2"/>
      <c r="E105" s="17"/>
      <c r="F105" s="66" t="s">
        <v>56</v>
      </c>
      <c r="G105" s="12"/>
      <c r="H105" s="12"/>
      <c r="I105" s="12"/>
      <c r="J105" s="12"/>
      <c r="K105" s="12" t="s">
        <v>58</v>
      </c>
      <c r="L105" s="58"/>
      <c r="M105" s="12"/>
      <c r="N105" s="12">
        <v>4.58</v>
      </c>
      <c r="O105" s="13"/>
      <c r="P105" s="14">
        <f>N105*I103</f>
        <v>6347.88</v>
      </c>
      <c r="Q105" s="12"/>
      <c r="R105" s="13"/>
      <c r="S105" s="14"/>
      <c r="T105" s="12"/>
      <c r="U105" s="13"/>
      <c r="V105" s="14"/>
      <c r="W105" s="12"/>
      <c r="X105" s="13"/>
      <c r="Y105" s="14"/>
      <c r="Z105" s="12"/>
      <c r="AA105" s="13"/>
      <c r="AB105" s="14"/>
      <c r="AC105" s="12"/>
      <c r="AD105" s="13"/>
      <c r="AE105" s="14"/>
      <c r="AF105" s="7"/>
      <c r="AG105" s="1"/>
      <c r="AH105" s="1">
        <f t="shared" si="34"/>
        <v>6347.88</v>
      </c>
    </row>
    <row r="106" spans="3:34" x14ac:dyDescent="0.25">
      <c r="C106" s="2"/>
      <c r="D106" s="2"/>
      <c r="E106" s="17"/>
      <c r="F106" s="66" t="s">
        <v>56</v>
      </c>
      <c r="G106" s="12"/>
      <c r="H106" s="12"/>
      <c r="I106" s="12"/>
      <c r="J106" s="12"/>
      <c r="K106" s="12" t="s">
        <v>59</v>
      </c>
      <c r="L106" s="58"/>
      <c r="M106" s="12"/>
      <c r="N106" s="12"/>
      <c r="O106" s="13"/>
      <c r="P106" s="14"/>
      <c r="Q106" s="12">
        <v>6.59</v>
      </c>
      <c r="R106" s="13"/>
      <c r="S106" s="14">
        <f>Q106*I103</f>
        <v>9133.74</v>
      </c>
      <c r="T106" s="12"/>
      <c r="U106" s="13"/>
      <c r="V106" s="14"/>
      <c r="W106" s="12"/>
      <c r="X106" s="13"/>
      <c r="Y106" s="14"/>
      <c r="Z106" s="12"/>
      <c r="AA106" s="13"/>
      <c r="AB106" s="14"/>
      <c r="AC106" s="12"/>
      <c r="AD106" s="13"/>
      <c r="AE106" s="14"/>
      <c r="AF106" s="7"/>
      <c r="AG106" s="1"/>
      <c r="AH106" s="1">
        <f t="shared" si="34"/>
        <v>9133.74</v>
      </c>
    </row>
    <row r="107" spans="3:34" x14ac:dyDescent="0.25">
      <c r="C107" s="2"/>
      <c r="D107" s="2"/>
      <c r="E107" s="17"/>
      <c r="F107" s="66" t="s">
        <v>56</v>
      </c>
      <c r="G107" s="12"/>
      <c r="H107" s="12"/>
      <c r="I107" s="12"/>
      <c r="J107" s="12"/>
      <c r="K107" s="12" t="s">
        <v>60</v>
      </c>
      <c r="L107" s="58"/>
      <c r="M107" s="12"/>
      <c r="N107" s="12"/>
      <c r="O107" s="13"/>
      <c r="P107" s="14"/>
      <c r="Q107" s="12"/>
      <c r="R107" s="13"/>
      <c r="S107" s="14"/>
      <c r="T107" s="12">
        <v>0.87</v>
      </c>
      <c r="U107" s="13"/>
      <c r="V107" s="14">
        <f>T107*I103</f>
        <v>1205.82</v>
      </c>
      <c r="W107" s="12"/>
      <c r="X107" s="13"/>
      <c r="Y107" s="14"/>
      <c r="Z107" s="12"/>
      <c r="AA107" s="13"/>
      <c r="AB107" s="14"/>
      <c r="AC107" s="12"/>
      <c r="AD107" s="13"/>
      <c r="AE107" s="14"/>
      <c r="AF107" s="7"/>
      <c r="AG107" s="1"/>
      <c r="AH107" s="1">
        <f t="shared" si="34"/>
        <v>1205.82</v>
      </c>
    </row>
    <row r="108" spans="3:34" x14ac:dyDescent="0.25">
      <c r="C108" s="2"/>
      <c r="D108" s="2"/>
      <c r="E108" s="17"/>
      <c r="F108" s="66" t="s">
        <v>56</v>
      </c>
      <c r="G108" s="12"/>
      <c r="H108" s="12"/>
      <c r="I108" s="12"/>
      <c r="J108" s="12"/>
      <c r="K108" s="12" t="s">
        <v>61</v>
      </c>
      <c r="L108" s="58"/>
      <c r="M108" s="12"/>
      <c r="N108" s="12"/>
      <c r="O108" s="13"/>
      <c r="P108" s="14"/>
      <c r="Q108" s="12"/>
      <c r="R108" s="13"/>
      <c r="S108" s="14"/>
      <c r="T108" s="12"/>
      <c r="U108" s="13"/>
      <c r="V108" s="14"/>
      <c r="W108" s="12">
        <v>0.13</v>
      </c>
      <c r="X108" s="13"/>
      <c r="Y108" s="14">
        <f>W108*I103</f>
        <v>180.18</v>
      </c>
      <c r="Z108" s="12"/>
      <c r="AA108" s="13"/>
      <c r="AB108" s="14"/>
      <c r="AC108" s="12"/>
      <c r="AD108" s="13"/>
      <c r="AE108" s="14"/>
      <c r="AF108" s="7"/>
      <c r="AG108" s="1"/>
      <c r="AH108" s="1">
        <f t="shared" si="34"/>
        <v>180.18</v>
      </c>
    </row>
    <row r="109" spans="3:34" x14ac:dyDescent="0.25">
      <c r="C109" s="2"/>
      <c r="D109" s="2"/>
      <c r="E109" s="17"/>
      <c r="F109" s="66" t="s">
        <v>56</v>
      </c>
      <c r="G109" s="12"/>
      <c r="H109" s="12"/>
      <c r="I109" s="12"/>
      <c r="J109" s="12"/>
      <c r="K109" s="12" t="s">
        <v>62</v>
      </c>
      <c r="L109" s="58"/>
      <c r="M109" s="12"/>
      <c r="N109" s="12"/>
      <c r="O109" s="13"/>
      <c r="P109" s="14"/>
      <c r="Q109" s="12"/>
      <c r="R109" s="13"/>
      <c r="S109" s="14"/>
      <c r="T109" s="12"/>
      <c r="U109" s="13"/>
      <c r="V109" s="14"/>
      <c r="W109" s="12"/>
      <c r="X109" s="13"/>
      <c r="Y109" s="14"/>
      <c r="Z109" s="12"/>
      <c r="AA109" s="13"/>
      <c r="AB109" s="14"/>
      <c r="AC109" s="12">
        <v>0.39</v>
      </c>
      <c r="AD109" s="13"/>
      <c r="AE109" s="14">
        <f>AC109*I103</f>
        <v>540.54</v>
      </c>
      <c r="AF109" s="7"/>
      <c r="AG109" s="1"/>
      <c r="AH109" s="1">
        <f t="shared" si="34"/>
        <v>540.54</v>
      </c>
    </row>
    <row r="110" spans="3:34" x14ac:dyDescent="0.25">
      <c r="C110" s="2"/>
      <c r="D110" s="2"/>
      <c r="E110" s="17"/>
      <c r="F110" s="44" t="s">
        <v>29</v>
      </c>
      <c r="G110" s="4"/>
      <c r="H110" s="4"/>
      <c r="I110" s="4"/>
      <c r="J110" s="4">
        <v>9500</v>
      </c>
      <c r="K110" s="4" t="s">
        <v>37</v>
      </c>
      <c r="L110" s="58">
        <v>382230</v>
      </c>
      <c r="M110" s="4">
        <f>J110*L110/100</f>
        <v>36311850</v>
      </c>
      <c r="N110" s="9"/>
      <c r="O110" s="10">
        <v>1.8100000000000002E-2</v>
      </c>
      <c r="P110" s="3">
        <f t="shared" si="28"/>
        <v>657244.4850000001</v>
      </c>
      <c r="Q110" s="9"/>
      <c r="R110" s="10">
        <v>3.0000000000000001E-3</v>
      </c>
      <c r="S110" s="3">
        <f t="shared" si="29"/>
        <v>108935.55</v>
      </c>
      <c r="T110" s="9"/>
      <c r="U110" s="10">
        <v>7.6E-3</v>
      </c>
      <c r="V110" s="3">
        <f t="shared" si="30"/>
        <v>275970.06</v>
      </c>
      <c r="W110" s="9"/>
      <c r="X110" s="10">
        <v>5.1000000000000004E-3</v>
      </c>
      <c r="Y110" s="3">
        <f t="shared" si="31"/>
        <v>185190.43500000003</v>
      </c>
      <c r="Z110" s="9"/>
      <c r="AA110" s="10"/>
      <c r="AB110" s="3">
        <f t="shared" si="32"/>
        <v>0</v>
      </c>
      <c r="AC110" s="9"/>
      <c r="AD110" s="10">
        <v>1.4E-3</v>
      </c>
      <c r="AE110" s="3">
        <f t="shared" si="33"/>
        <v>50836.59</v>
      </c>
      <c r="AF110" s="7" t="e">
        <f>#REF!+#REF!+#REF!+#REF!+#REF!+#REF!+#REF!+#REF!+#REF!+#REF!+#REF!+#REF!</f>
        <v>#REF!</v>
      </c>
      <c r="AG110" s="1" t="e">
        <f>#REF!+#REF!+#REF!+#REF!+#REF!+#REF!+#REF!+#REF!+#REF!+#REF!+#REF!+#REF!-M110</f>
        <v>#REF!</v>
      </c>
      <c r="AH110" s="1">
        <f t="shared" si="4"/>
        <v>1278177.1200000001</v>
      </c>
    </row>
    <row r="111" spans="3:34" x14ac:dyDescent="0.25">
      <c r="C111" s="2"/>
      <c r="D111" s="2"/>
      <c r="E111" s="17"/>
      <c r="F111" s="66" t="s">
        <v>56</v>
      </c>
      <c r="G111" s="4"/>
      <c r="H111" s="4"/>
      <c r="I111" s="4"/>
      <c r="J111" s="4"/>
      <c r="K111" s="4" t="s">
        <v>63</v>
      </c>
      <c r="L111" s="58"/>
      <c r="M111" s="4"/>
      <c r="N111" s="4">
        <v>4.67</v>
      </c>
      <c r="O111" s="6"/>
      <c r="P111" s="3">
        <f>N111*J110</f>
        <v>44365</v>
      </c>
      <c r="Q111" s="4"/>
      <c r="R111" s="6"/>
      <c r="S111" s="3"/>
      <c r="T111" s="4"/>
      <c r="U111" s="6"/>
      <c r="V111" s="3"/>
      <c r="W111" s="4"/>
      <c r="X111" s="6"/>
      <c r="Y111" s="3"/>
      <c r="Z111" s="4"/>
      <c r="AA111" s="6"/>
      <c r="AB111" s="3"/>
      <c r="AC111" s="4"/>
      <c r="AD111" s="6"/>
      <c r="AE111" s="3"/>
      <c r="AF111" s="7"/>
      <c r="AG111" s="1"/>
      <c r="AH111" s="1">
        <f t="shared" si="4"/>
        <v>44365</v>
      </c>
    </row>
    <row r="112" spans="3:34" x14ac:dyDescent="0.25">
      <c r="C112" s="2"/>
      <c r="D112" s="2"/>
      <c r="E112" s="17"/>
      <c r="F112" s="66" t="s">
        <v>56</v>
      </c>
      <c r="G112" s="4"/>
      <c r="H112" s="4"/>
      <c r="I112" s="4"/>
      <c r="J112" s="4"/>
      <c r="K112" s="4" t="s">
        <v>64</v>
      </c>
      <c r="L112" s="58"/>
      <c r="M112" s="4"/>
      <c r="N112" s="4"/>
      <c r="O112" s="6"/>
      <c r="P112" s="3"/>
      <c r="Q112" s="4">
        <v>0.86</v>
      </c>
      <c r="R112" s="6"/>
      <c r="S112" s="3">
        <f>Q112*J110</f>
        <v>8170</v>
      </c>
      <c r="T112" s="4"/>
      <c r="U112" s="6"/>
      <c r="V112" s="3"/>
      <c r="W112" s="4"/>
      <c r="X112" s="6"/>
      <c r="Y112" s="3"/>
      <c r="Z112" s="4"/>
      <c r="AA112" s="6"/>
      <c r="AB112" s="3"/>
      <c r="AC112" s="4"/>
      <c r="AD112" s="6"/>
      <c r="AE112" s="3"/>
      <c r="AF112" s="7"/>
      <c r="AG112" s="1"/>
      <c r="AH112" s="1">
        <f t="shared" si="4"/>
        <v>8170</v>
      </c>
    </row>
    <row r="113" spans="3:34" x14ac:dyDescent="0.25">
      <c r="C113" s="2"/>
      <c r="D113" s="2"/>
      <c r="E113" s="17"/>
      <c r="F113" s="66" t="s">
        <v>56</v>
      </c>
      <c r="G113" s="12"/>
      <c r="H113" s="12"/>
      <c r="I113" s="12"/>
      <c r="J113" s="12"/>
      <c r="K113" s="12" t="s">
        <v>65</v>
      </c>
      <c r="L113" s="58"/>
      <c r="M113" s="12"/>
      <c r="N113" s="12"/>
      <c r="O113" s="13"/>
      <c r="P113" s="14"/>
      <c r="Q113" s="12"/>
      <c r="R113" s="13"/>
      <c r="S113" s="14"/>
      <c r="T113" s="12">
        <v>1.94</v>
      </c>
      <c r="U113" s="13"/>
      <c r="V113" s="14">
        <f>T113*J110</f>
        <v>18430</v>
      </c>
      <c r="W113" s="12"/>
      <c r="X113" s="13"/>
      <c r="Y113" s="14"/>
      <c r="Z113" s="12"/>
      <c r="AA113" s="13"/>
      <c r="AB113" s="14"/>
      <c r="AC113" s="12"/>
      <c r="AD113" s="13"/>
      <c r="AE113" s="14"/>
      <c r="AF113" s="7"/>
      <c r="AG113" s="1"/>
      <c r="AH113" s="1">
        <f t="shared" si="4"/>
        <v>18430</v>
      </c>
    </row>
    <row r="114" spans="3:34" x14ac:dyDescent="0.25">
      <c r="C114" s="2"/>
      <c r="D114" s="2"/>
      <c r="E114" s="17"/>
      <c r="F114" s="66" t="s">
        <v>56</v>
      </c>
      <c r="G114" s="12"/>
      <c r="H114" s="12"/>
      <c r="I114" s="12"/>
      <c r="J114" s="12"/>
      <c r="K114" s="12" t="s">
        <v>66</v>
      </c>
      <c r="L114" s="58"/>
      <c r="M114" s="12"/>
      <c r="N114" s="12"/>
      <c r="O114" s="13"/>
      <c r="P114" s="14"/>
      <c r="Q114" s="12"/>
      <c r="R114" s="13"/>
      <c r="S114" s="14"/>
      <c r="T114" s="12"/>
      <c r="U114" s="13"/>
      <c r="V114" s="14"/>
      <c r="W114" s="12">
        <v>1.32</v>
      </c>
      <c r="X114" s="13"/>
      <c r="Y114" s="14">
        <f>W114*J110</f>
        <v>12540</v>
      </c>
      <c r="Z114" s="12"/>
      <c r="AA114" s="13"/>
      <c r="AB114" s="14"/>
      <c r="AC114" s="12"/>
      <c r="AD114" s="13"/>
      <c r="AE114" s="14"/>
      <c r="AF114" s="7"/>
      <c r="AG114" s="1"/>
      <c r="AH114" s="1">
        <f t="shared" si="4"/>
        <v>12540</v>
      </c>
    </row>
    <row r="115" spans="3:34" x14ac:dyDescent="0.25">
      <c r="C115" s="2"/>
      <c r="D115" s="2"/>
      <c r="E115" s="17"/>
      <c r="F115" s="66" t="s">
        <v>56</v>
      </c>
      <c r="G115" s="12"/>
      <c r="H115" s="12"/>
      <c r="I115" s="12"/>
      <c r="J115" s="12"/>
      <c r="K115" s="12" t="s">
        <v>67</v>
      </c>
      <c r="L115" s="58"/>
      <c r="M115" s="12"/>
      <c r="N115" s="12"/>
      <c r="O115" s="13"/>
      <c r="P115" s="14"/>
      <c r="Q115" s="12"/>
      <c r="R115" s="13"/>
      <c r="S115" s="14"/>
      <c r="T115" s="12"/>
      <c r="U115" s="13"/>
      <c r="V115" s="14"/>
      <c r="W115" s="12"/>
      <c r="X115" s="13"/>
      <c r="Y115" s="14"/>
      <c r="Z115" s="12"/>
      <c r="AA115" s="13"/>
      <c r="AB115" s="14"/>
      <c r="AC115" s="12">
        <v>0.53</v>
      </c>
      <c r="AD115" s="13"/>
      <c r="AE115" s="14">
        <f>AC115*J110</f>
        <v>5035</v>
      </c>
      <c r="AF115" s="7"/>
      <c r="AG115" s="1"/>
      <c r="AH115" s="1">
        <f t="shared" si="4"/>
        <v>5035</v>
      </c>
    </row>
    <row r="116" spans="3:34" ht="16.5" thickBot="1" x14ac:dyDescent="0.3">
      <c r="C116" s="15"/>
      <c r="D116" s="15"/>
      <c r="E116" s="19"/>
      <c r="F116" s="26" t="s">
        <v>7</v>
      </c>
      <c r="G116" s="27"/>
      <c r="H116" s="27"/>
      <c r="I116" s="27"/>
      <c r="J116" s="27"/>
      <c r="K116" s="27"/>
      <c r="L116" s="59"/>
      <c r="M116" s="27">
        <f>SUM(M89:M115)</f>
        <v>3432522685</v>
      </c>
      <c r="N116" s="27"/>
      <c r="O116" s="28"/>
      <c r="P116" s="27">
        <f>SUM(P89:P115)</f>
        <v>55064134.097999997</v>
      </c>
      <c r="Q116" s="27"/>
      <c r="R116" s="28"/>
      <c r="S116" s="27">
        <f>SUM(S89:S115)</f>
        <v>79797400.229499996</v>
      </c>
      <c r="T116" s="27"/>
      <c r="U116" s="28"/>
      <c r="V116" s="27">
        <f>SUM(V89:V115)</f>
        <v>22520341.107999999</v>
      </c>
      <c r="W116" s="27"/>
      <c r="X116" s="28"/>
      <c r="Y116" s="27">
        <f>SUM(Y89:Y115)</f>
        <v>2501078.4255000004</v>
      </c>
      <c r="Z116" s="27"/>
      <c r="AA116" s="28"/>
      <c r="AB116" s="27">
        <f>SUM(AB89:AB115)</f>
        <v>3438655.7469999995</v>
      </c>
      <c r="AC116" s="27"/>
      <c r="AD116" s="28"/>
      <c r="AE116" s="27">
        <f>SUM(AE89:AE115)</f>
        <v>4815297.5340000009</v>
      </c>
      <c r="AF116" s="7" t="e">
        <f>#REF!+#REF!+#REF!+#REF!+#REF!+#REF!+#REF!+#REF!+#REF!+#REF!+#REF!+#REF!</f>
        <v>#REF!</v>
      </c>
      <c r="AG116" s="1" t="e">
        <f>#REF!+#REF!+#REF!+#REF!+#REF!+#REF!+#REF!+#REF!+#REF!+#REF!+#REF!+#REF!-M116</f>
        <v>#REF!</v>
      </c>
      <c r="AH116" s="69">
        <f t="shared" si="4"/>
        <v>168136907.14199999</v>
      </c>
    </row>
    <row r="117" spans="3:34" x14ac:dyDescent="0.25">
      <c r="C117" s="2" t="s">
        <v>0</v>
      </c>
      <c r="D117" s="2" t="s">
        <v>1</v>
      </c>
      <c r="E117" s="17" t="s">
        <v>2</v>
      </c>
      <c r="F117" s="20" t="s">
        <v>8</v>
      </c>
      <c r="G117" s="21">
        <v>20505</v>
      </c>
      <c r="H117" s="21">
        <v>13072</v>
      </c>
      <c r="I117" s="21">
        <v>0</v>
      </c>
      <c r="J117" s="21"/>
      <c r="K117" s="21" t="s">
        <v>21</v>
      </c>
      <c r="L117" s="60">
        <f>179.64*1000</f>
        <v>179640</v>
      </c>
      <c r="M117" s="21">
        <f>L117*H117</f>
        <v>2348254080</v>
      </c>
      <c r="N117" s="21"/>
      <c r="O117" s="22">
        <v>1.6E-2</v>
      </c>
      <c r="P117" s="23">
        <f t="shared" ref="P117:P124" si="35">O117*$M117</f>
        <v>37572065.280000001</v>
      </c>
      <c r="Q117" s="21"/>
      <c r="R117" s="22">
        <v>2.3300000000000001E-2</v>
      </c>
      <c r="S117" s="3">
        <f t="shared" ref="S117:S124" si="36">R117*$M117</f>
        <v>54714320.064000003</v>
      </c>
      <c r="T117" s="21"/>
      <c r="U117" s="22">
        <v>7.0000000000000001E-3</v>
      </c>
      <c r="V117" s="3">
        <f t="shared" ref="V117:V124" si="37">U117*$M117</f>
        <v>16437778.560000001</v>
      </c>
      <c r="W117" s="21"/>
      <c r="X117" s="22">
        <v>6.9999999999999999E-4</v>
      </c>
      <c r="Y117" s="3">
        <f t="shared" ref="Y117:Y124" si="38">X117*$M117</f>
        <v>1643777.8559999999</v>
      </c>
      <c r="Z117" s="21"/>
      <c r="AA117" s="22">
        <v>1E-3</v>
      </c>
      <c r="AB117" s="3">
        <f t="shared" ref="AB117:AB124" si="39">AA117*$M117</f>
        <v>2348254.08</v>
      </c>
      <c r="AC117" s="21"/>
      <c r="AD117" s="22">
        <v>1.4E-3</v>
      </c>
      <c r="AE117" s="3">
        <f t="shared" ref="AE117:AE124" si="40">AD117*$M117</f>
        <v>3287555.7119999998</v>
      </c>
      <c r="AF117" s="7" t="e">
        <f>#REF!+#REF!+#REF!+#REF!+#REF!+#REF!+#REF!+#REF!+#REF!+#REF!+#REF!+#REF!</f>
        <v>#REF!</v>
      </c>
      <c r="AG117" s="1" t="e">
        <f>#REF!+#REF!+#REF!+#REF!+#REF!+#REF!+#REF!+#REF!+#REF!+#REF!+#REF!+#REF!-M117</f>
        <v>#REF!</v>
      </c>
      <c r="AH117" s="1">
        <f t="shared" si="4"/>
        <v>116003751.552</v>
      </c>
    </row>
    <row r="118" spans="3:34" x14ac:dyDescent="0.25">
      <c r="C118" s="2"/>
      <c r="D118" s="2"/>
      <c r="E118" s="17"/>
      <c r="F118" s="66" t="s">
        <v>48</v>
      </c>
      <c r="G118" s="12"/>
      <c r="H118" s="12"/>
      <c r="I118" s="12"/>
      <c r="J118" s="12"/>
      <c r="K118" s="12" t="s">
        <v>49</v>
      </c>
      <c r="L118" s="58"/>
      <c r="M118" s="12"/>
      <c r="N118" s="12"/>
      <c r="O118" s="13"/>
      <c r="P118" s="14"/>
      <c r="Q118" s="12"/>
      <c r="R118" s="13"/>
      <c r="S118" s="14"/>
      <c r="T118" s="12"/>
      <c r="U118" s="13"/>
      <c r="V118" s="14"/>
      <c r="W118" s="12"/>
      <c r="X118" s="13"/>
      <c r="Y118" s="14"/>
      <c r="Z118" s="12">
        <v>0.22</v>
      </c>
      <c r="AA118" s="13"/>
      <c r="AB118" s="14">
        <f>Z118*H117</f>
        <v>2875.84</v>
      </c>
      <c r="AC118" s="12"/>
      <c r="AD118" s="13"/>
      <c r="AE118" s="14"/>
      <c r="AF118" s="7"/>
      <c r="AG118" s="1"/>
      <c r="AH118" s="1">
        <f t="shared" ref="AH118:AH123" si="41">AE118+AB118+Y118+V118+S118+P118</f>
        <v>2875.84</v>
      </c>
    </row>
    <row r="119" spans="3:34" x14ac:dyDescent="0.25">
      <c r="C119" s="2"/>
      <c r="D119" s="2"/>
      <c r="E119" s="17"/>
      <c r="F119" s="66" t="s">
        <v>48</v>
      </c>
      <c r="G119" s="12"/>
      <c r="H119" s="12"/>
      <c r="I119" s="12"/>
      <c r="J119" s="12"/>
      <c r="K119" s="12" t="s">
        <v>51</v>
      </c>
      <c r="L119" s="58"/>
      <c r="M119" s="12"/>
      <c r="N119" s="12">
        <v>3.29</v>
      </c>
      <c r="O119" s="13"/>
      <c r="P119" s="14">
        <f>N119*H117</f>
        <v>43006.879999999997</v>
      </c>
      <c r="Q119" s="12"/>
      <c r="R119" s="13"/>
      <c r="S119" s="14"/>
      <c r="T119" s="12"/>
      <c r="U119" s="13"/>
      <c r="V119" s="14"/>
      <c r="W119" s="12"/>
      <c r="X119" s="13"/>
      <c r="Y119" s="14"/>
      <c r="Z119" s="12"/>
      <c r="AA119" s="13"/>
      <c r="AB119" s="14"/>
      <c r="AC119" s="12"/>
      <c r="AD119" s="13"/>
      <c r="AE119" s="14"/>
      <c r="AF119" s="7"/>
      <c r="AG119" s="1"/>
      <c r="AH119" s="1">
        <f t="shared" si="41"/>
        <v>43006.879999999997</v>
      </c>
    </row>
    <row r="120" spans="3:34" x14ac:dyDescent="0.25">
      <c r="C120" s="2"/>
      <c r="D120" s="2"/>
      <c r="E120" s="17"/>
      <c r="F120" s="66" t="s">
        <v>48</v>
      </c>
      <c r="G120" s="12"/>
      <c r="H120" s="12"/>
      <c r="I120" s="12"/>
      <c r="J120" s="12"/>
      <c r="K120" s="12" t="s">
        <v>52</v>
      </c>
      <c r="L120" s="58"/>
      <c r="M120" s="12"/>
      <c r="N120" s="12"/>
      <c r="O120" s="13"/>
      <c r="P120" s="14"/>
      <c r="Q120" s="12">
        <v>4.7300000000000004</v>
      </c>
      <c r="R120" s="13"/>
      <c r="S120" s="14">
        <f>Q120*H117</f>
        <v>61830.560000000005</v>
      </c>
      <c r="T120" s="12"/>
      <c r="U120" s="13"/>
      <c r="V120" s="14"/>
      <c r="W120" s="12"/>
      <c r="X120" s="13"/>
      <c r="Y120" s="14"/>
      <c r="Z120" s="12"/>
      <c r="AA120" s="13"/>
      <c r="AB120" s="14"/>
      <c r="AC120" s="12"/>
      <c r="AD120" s="13"/>
      <c r="AE120" s="14"/>
      <c r="AF120" s="7"/>
      <c r="AG120" s="1"/>
      <c r="AH120" s="1">
        <f t="shared" si="41"/>
        <v>61830.560000000005</v>
      </c>
    </row>
    <row r="121" spans="3:34" x14ac:dyDescent="0.25">
      <c r="C121" s="2"/>
      <c r="D121" s="2"/>
      <c r="E121" s="17"/>
      <c r="F121" s="66" t="s">
        <v>48</v>
      </c>
      <c r="G121" s="12"/>
      <c r="H121" s="12"/>
      <c r="I121" s="12"/>
      <c r="J121" s="12"/>
      <c r="K121" s="12" t="s">
        <v>53</v>
      </c>
      <c r="L121" s="58"/>
      <c r="M121" s="12"/>
      <c r="N121" s="12"/>
      <c r="O121" s="13"/>
      <c r="P121" s="14"/>
      <c r="Q121" s="12"/>
      <c r="R121" s="13"/>
      <c r="S121" s="14"/>
      <c r="T121" s="12">
        <v>1.4</v>
      </c>
      <c r="U121" s="13"/>
      <c r="V121" s="14">
        <f>T121*H117</f>
        <v>18300.8</v>
      </c>
      <c r="W121" s="12"/>
      <c r="X121" s="13"/>
      <c r="Y121" s="14"/>
      <c r="Z121" s="12"/>
      <c r="AA121" s="13"/>
      <c r="AB121" s="14"/>
      <c r="AC121" s="12"/>
      <c r="AD121" s="13"/>
      <c r="AE121" s="14"/>
      <c r="AF121" s="7"/>
      <c r="AG121" s="1"/>
      <c r="AH121" s="1">
        <f t="shared" si="41"/>
        <v>18300.8</v>
      </c>
    </row>
    <row r="122" spans="3:34" x14ac:dyDescent="0.25">
      <c r="C122" s="2"/>
      <c r="D122" s="2"/>
      <c r="E122" s="17"/>
      <c r="F122" s="66" t="s">
        <v>48</v>
      </c>
      <c r="G122" s="12"/>
      <c r="H122" s="12"/>
      <c r="I122" s="12"/>
      <c r="J122" s="12"/>
      <c r="K122" s="12" t="s">
        <v>54</v>
      </c>
      <c r="L122" s="58"/>
      <c r="M122" s="12"/>
      <c r="N122" s="12"/>
      <c r="O122" s="13"/>
      <c r="P122" s="14"/>
      <c r="Q122" s="12"/>
      <c r="R122" s="13"/>
      <c r="S122" s="14"/>
      <c r="T122" s="12"/>
      <c r="U122" s="13"/>
      <c r="V122" s="14"/>
      <c r="W122" s="12">
        <v>0.15</v>
      </c>
      <c r="X122" s="13"/>
      <c r="Y122" s="14">
        <f>W122*H117</f>
        <v>1960.8</v>
      </c>
      <c r="Z122" s="12"/>
      <c r="AA122" s="13"/>
      <c r="AB122" s="14"/>
      <c r="AC122" s="12"/>
      <c r="AD122" s="13"/>
      <c r="AE122" s="14"/>
      <c r="AF122" s="7"/>
      <c r="AG122" s="1"/>
      <c r="AH122" s="1">
        <f t="shared" si="41"/>
        <v>1960.8</v>
      </c>
    </row>
    <row r="123" spans="3:34" x14ac:dyDescent="0.25">
      <c r="C123" s="2"/>
      <c r="D123" s="2"/>
      <c r="E123" s="17"/>
      <c r="F123" s="66" t="s">
        <v>48</v>
      </c>
      <c r="G123" s="12"/>
      <c r="H123" s="12"/>
      <c r="I123" s="12"/>
      <c r="J123" s="12"/>
      <c r="K123" s="12" t="s">
        <v>55</v>
      </c>
      <c r="L123" s="58"/>
      <c r="M123" s="12"/>
      <c r="N123" s="12"/>
      <c r="O123" s="13"/>
      <c r="P123" s="14"/>
      <c r="Q123" s="12"/>
      <c r="R123" s="13"/>
      <c r="S123" s="14"/>
      <c r="T123" s="12"/>
      <c r="U123" s="13"/>
      <c r="V123" s="14"/>
      <c r="W123" s="12"/>
      <c r="X123" s="13"/>
      <c r="Y123" s="14"/>
      <c r="Z123" s="12"/>
      <c r="AA123" s="13"/>
      <c r="AB123" s="14"/>
      <c r="AC123" s="12">
        <v>0.25</v>
      </c>
      <c r="AD123" s="13"/>
      <c r="AE123" s="14">
        <f>AC123*H117</f>
        <v>3268</v>
      </c>
      <c r="AF123" s="7"/>
      <c r="AG123" s="1"/>
      <c r="AH123" s="1">
        <f t="shared" si="41"/>
        <v>3268</v>
      </c>
    </row>
    <row r="124" spans="3:34" ht="31.5" x14ac:dyDescent="0.25">
      <c r="C124" s="2"/>
      <c r="D124" s="2"/>
      <c r="E124" s="17"/>
      <c r="F124" s="24" t="s">
        <v>30</v>
      </c>
      <c r="G124" s="4"/>
      <c r="H124" s="4">
        <v>394.5</v>
      </c>
      <c r="I124" s="4"/>
      <c r="J124" s="12"/>
      <c r="K124" s="12" t="s">
        <v>21</v>
      </c>
      <c r="L124" s="61">
        <f>125.81*1000</f>
        <v>125810</v>
      </c>
      <c r="M124" s="12">
        <f>L124*H124</f>
        <v>49632045</v>
      </c>
      <c r="N124" s="12"/>
      <c r="O124" s="13">
        <v>1.6E-2</v>
      </c>
      <c r="P124" s="14">
        <f t="shared" si="35"/>
        <v>794112.72</v>
      </c>
      <c r="Q124" s="12"/>
      <c r="R124" s="13">
        <v>2.3300000000000001E-2</v>
      </c>
      <c r="S124" s="3">
        <f t="shared" si="36"/>
        <v>1156426.6485000001</v>
      </c>
      <c r="T124" s="12"/>
      <c r="U124" s="13">
        <v>7.0000000000000001E-3</v>
      </c>
      <c r="V124" s="3">
        <f t="shared" si="37"/>
        <v>347424.315</v>
      </c>
      <c r="W124" s="12"/>
      <c r="X124" s="13">
        <v>6.9999999999999999E-4</v>
      </c>
      <c r="Y124" s="3">
        <f t="shared" si="38"/>
        <v>34742.431499999999</v>
      </c>
      <c r="Z124" s="12"/>
      <c r="AA124" s="13">
        <v>1E-3</v>
      </c>
      <c r="AB124" s="3">
        <f t="shared" si="39"/>
        <v>49632.044999999998</v>
      </c>
      <c r="AC124" s="12"/>
      <c r="AD124" s="13">
        <v>1.4E-3</v>
      </c>
      <c r="AE124" s="3">
        <f t="shared" si="40"/>
        <v>69484.862999999998</v>
      </c>
      <c r="AF124" s="7" t="e">
        <f>#REF!+#REF!+#REF!+#REF!+#REF!+#REF!+#REF!+#REF!+#REF!+#REF!+#REF!+#REF!</f>
        <v>#REF!</v>
      </c>
      <c r="AG124" s="1" t="e">
        <f>#REF!+#REF!+#REF!+#REF!+#REF!+#REF!+#REF!+#REF!+#REF!+#REF!+#REF!+#REF!-M124</f>
        <v>#REF!</v>
      </c>
      <c r="AH124" s="1">
        <f t="shared" si="4"/>
        <v>2451823.023</v>
      </c>
    </row>
    <row r="125" spans="3:34" x14ac:dyDescent="0.25">
      <c r="C125" s="2"/>
      <c r="D125" s="2"/>
      <c r="E125" s="17"/>
      <c r="F125" s="66" t="s">
        <v>48</v>
      </c>
      <c r="G125" s="12"/>
      <c r="H125" s="12"/>
      <c r="I125" s="12"/>
      <c r="J125" s="12"/>
      <c r="K125" s="12" t="s">
        <v>49</v>
      </c>
      <c r="L125" s="58"/>
      <c r="M125" s="12"/>
      <c r="N125" s="12"/>
      <c r="O125" s="13"/>
      <c r="P125" s="14"/>
      <c r="Q125" s="12"/>
      <c r="R125" s="13"/>
      <c r="S125" s="14"/>
      <c r="T125" s="12"/>
      <c r="U125" s="13"/>
      <c r="V125" s="14"/>
      <c r="W125" s="12"/>
      <c r="X125" s="13"/>
      <c r="Y125" s="14"/>
      <c r="Z125" s="12">
        <v>0.14000000000000001</v>
      </c>
      <c r="AA125" s="13"/>
      <c r="AB125" s="14">
        <f>Z125*H124</f>
        <v>55.230000000000004</v>
      </c>
      <c r="AC125" s="12"/>
      <c r="AD125" s="13"/>
      <c r="AE125" s="14"/>
      <c r="AF125" s="7"/>
      <c r="AG125" s="1"/>
      <c r="AH125" s="1">
        <f t="shared" ref="AH125:AH130" si="42">AE125+AB125+Y125+V125+S125+P125</f>
        <v>55.230000000000004</v>
      </c>
    </row>
    <row r="126" spans="3:34" x14ac:dyDescent="0.25">
      <c r="C126" s="2"/>
      <c r="D126" s="2"/>
      <c r="E126" s="17"/>
      <c r="F126" s="66" t="s">
        <v>48</v>
      </c>
      <c r="G126" s="12"/>
      <c r="H126" s="12"/>
      <c r="I126" s="12"/>
      <c r="J126" s="12"/>
      <c r="K126" s="12" t="s">
        <v>51</v>
      </c>
      <c r="L126" s="58"/>
      <c r="M126" s="12"/>
      <c r="N126" s="12">
        <v>2.25</v>
      </c>
      <c r="O126" s="13"/>
      <c r="P126" s="14">
        <f>N126*H124</f>
        <v>887.625</v>
      </c>
      <c r="Q126" s="12"/>
      <c r="R126" s="13"/>
      <c r="S126" s="14"/>
      <c r="T126" s="12"/>
      <c r="U126" s="13"/>
      <c r="V126" s="14"/>
      <c r="W126" s="12"/>
      <c r="X126" s="13"/>
      <c r="Y126" s="14"/>
      <c r="Z126" s="12"/>
      <c r="AA126" s="13"/>
      <c r="AB126" s="14"/>
      <c r="AC126" s="12"/>
      <c r="AD126" s="13"/>
      <c r="AE126" s="14"/>
      <c r="AF126" s="7"/>
      <c r="AG126" s="1"/>
      <c r="AH126" s="1">
        <f t="shared" si="42"/>
        <v>887.625</v>
      </c>
    </row>
    <row r="127" spans="3:34" x14ac:dyDescent="0.25">
      <c r="C127" s="2"/>
      <c r="D127" s="2"/>
      <c r="E127" s="17"/>
      <c r="F127" s="66" t="s">
        <v>48</v>
      </c>
      <c r="G127" s="12"/>
      <c r="H127" s="12"/>
      <c r="I127" s="12"/>
      <c r="J127" s="12"/>
      <c r="K127" s="12" t="s">
        <v>52</v>
      </c>
      <c r="L127" s="58"/>
      <c r="M127" s="12"/>
      <c r="N127" s="12"/>
      <c r="O127" s="13"/>
      <c r="P127" s="14"/>
      <c r="Q127" s="12">
        <v>3.24</v>
      </c>
      <c r="R127" s="13"/>
      <c r="S127" s="14">
        <f>Q127*H124</f>
        <v>1278.18</v>
      </c>
      <c r="T127" s="12"/>
      <c r="U127" s="13"/>
      <c r="V127" s="14"/>
      <c r="W127" s="12"/>
      <c r="X127" s="13"/>
      <c r="Y127" s="14"/>
      <c r="Z127" s="12"/>
      <c r="AA127" s="13"/>
      <c r="AB127" s="14"/>
      <c r="AC127" s="12"/>
      <c r="AD127" s="13"/>
      <c r="AE127" s="14"/>
      <c r="AF127" s="7"/>
      <c r="AG127" s="1"/>
      <c r="AH127" s="1">
        <f t="shared" si="42"/>
        <v>1278.18</v>
      </c>
    </row>
    <row r="128" spans="3:34" x14ac:dyDescent="0.25">
      <c r="C128" s="2"/>
      <c r="D128" s="2"/>
      <c r="E128" s="17"/>
      <c r="F128" s="66" t="s">
        <v>48</v>
      </c>
      <c r="G128" s="12"/>
      <c r="H128" s="12"/>
      <c r="I128" s="12"/>
      <c r="J128" s="12"/>
      <c r="K128" s="12" t="s">
        <v>53</v>
      </c>
      <c r="L128" s="58"/>
      <c r="M128" s="12"/>
      <c r="N128" s="12"/>
      <c r="O128" s="13"/>
      <c r="P128" s="14"/>
      <c r="Q128" s="12"/>
      <c r="R128" s="13"/>
      <c r="S128" s="14"/>
      <c r="T128" s="12">
        <v>0.95</v>
      </c>
      <c r="U128" s="13"/>
      <c r="V128" s="14">
        <f>T128*H124</f>
        <v>374.77499999999998</v>
      </c>
      <c r="W128" s="12"/>
      <c r="X128" s="13"/>
      <c r="Y128" s="14"/>
      <c r="Z128" s="12"/>
      <c r="AA128" s="13"/>
      <c r="AB128" s="14"/>
      <c r="AC128" s="12"/>
      <c r="AD128" s="13"/>
      <c r="AE128" s="14"/>
      <c r="AF128" s="7"/>
      <c r="AG128" s="1"/>
      <c r="AH128" s="1">
        <f t="shared" si="42"/>
        <v>374.77499999999998</v>
      </c>
    </row>
    <row r="129" spans="3:34" x14ac:dyDescent="0.25">
      <c r="C129" s="2"/>
      <c r="D129" s="2"/>
      <c r="E129" s="17"/>
      <c r="F129" s="66" t="s">
        <v>48</v>
      </c>
      <c r="G129" s="12"/>
      <c r="H129" s="12"/>
      <c r="I129" s="12"/>
      <c r="J129" s="12"/>
      <c r="K129" s="12" t="s">
        <v>54</v>
      </c>
      <c r="L129" s="58"/>
      <c r="M129" s="12"/>
      <c r="N129" s="12"/>
      <c r="O129" s="13"/>
      <c r="P129" s="14"/>
      <c r="Q129" s="12"/>
      <c r="R129" s="13"/>
      <c r="S129" s="14"/>
      <c r="T129" s="12"/>
      <c r="U129" s="13"/>
      <c r="V129" s="14"/>
      <c r="W129" s="12">
        <v>0.1</v>
      </c>
      <c r="X129" s="13"/>
      <c r="Y129" s="14">
        <f>W129*H124</f>
        <v>39.450000000000003</v>
      </c>
      <c r="Z129" s="12"/>
      <c r="AA129" s="13"/>
      <c r="AB129" s="14"/>
      <c r="AC129" s="12"/>
      <c r="AD129" s="13"/>
      <c r="AE129" s="14"/>
      <c r="AF129" s="7"/>
      <c r="AG129" s="1"/>
      <c r="AH129" s="1">
        <f t="shared" si="42"/>
        <v>39.450000000000003</v>
      </c>
    </row>
    <row r="130" spans="3:34" x14ac:dyDescent="0.25">
      <c r="C130" s="2"/>
      <c r="D130" s="2"/>
      <c r="E130" s="17"/>
      <c r="F130" s="66" t="s">
        <v>48</v>
      </c>
      <c r="G130" s="12"/>
      <c r="H130" s="12"/>
      <c r="I130" s="12"/>
      <c r="J130" s="12"/>
      <c r="K130" s="12" t="s">
        <v>55</v>
      </c>
      <c r="L130" s="58"/>
      <c r="M130" s="12"/>
      <c r="N130" s="12"/>
      <c r="O130" s="13"/>
      <c r="P130" s="14"/>
      <c r="Q130" s="12"/>
      <c r="R130" s="13"/>
      <c r="S130" s="14"/>
      <c r="T130" s="12"/>
      <c r="U130" s="13"/>
      <c r="V130" s="14"/>
      <c r="W130" s="12"/>
      <c r="X130" s="13"/>
      <c r="Y130" s="14"/>
      <c r="Z130" s="12"/>
      <c r="AA130" s="13"/>
      <c r="AB130" s="14"/>
      <c r="AC130" s="12">
        <v>0.17</v>
      </c>
      <c r="AD130" s="13"/>
      <c r="AE130" s="14">
        <f>AC130*H124</f>
        <v>67.064999999999998</v>
      </c>
      <c r="AF130" s="7"/>
      <c r="AG130" s="1"/>
      <c r="AH130" s="1">
        <f t="shared" si="42"/>
        <v>67.064999999999998</v>
      </c>
    </row>
    <row r="131" spans="3:34" x14ac:dyDescent="0.25">
      <c r="C131" s="2"/>
      <c r="D131" s="2"/>
      <c r="E131" s="17"/>
      <c r="F131" s="25" t="s">
        <v>28</v>
      </c>
      <c r="G131" s="4"/>
      <c r="H131" s="4"/>
      <c r="I131" s="4"/>
      <c r="J131" s="4"/>
      <c r="K131" s="4" t="s">
        <v>25</v>
      </c>
      <c r="L131" s="58">
        <f>276.67*1000</f>
        <v>276670</v>
      </c>
      <c r="M131" s="4">
        <f>L131*I131</f>
        <v>0</v>
      </c>
      <c r="N131" s="4"/>
      <c r="O131" s="6">
        <v>1.5900000000000001E-2</v>
      </c>
      <c r="P131" s="3">
        <f t="shared" ref="P131:P138" si="43">O131*$M131</f>
        <v>0</v>
      </c>
      <c r="Q131" s="4"/>
      <c r="R131" s="6">
        <v>2.4500000000000001E-2</v>
      </c>
      <c r="S131" s="3">
        <f t="shared" ref="S131:S138" si="44">R131*$M131</f>
        <v>0</v>
      </c>
      <c r="T131" s="4"/>
      <c r="U131" s="6">
        <v>2.8999999999999998E-3</v>
      </c>
      <c r="V131" s="3">
        <f t="shared" ref="V131:V138" si="45">U131*$M131</f>
        <v>0</v>
      </c>
      <c r="W131" s="4"/>
      <c r="X131" s="6">
        <v>5.0000000000000001E-4</v>
      </c>
      <c r="Y131" s="3">
        <f t="shared" ref="Y131:Y138" si="46">X131*$M131</f>
        <v>0</v>
      </c>
      <c r="Z131" s="4"/>
      <c r="AA131" s="6">
        <v>1.1000000000000001E-3</v>
      </c>
      <c r="AB131" s="3">
        <f t="shared" ref="AB131:AB138" si="47">AA131*$M131</f>
        <v>0</v>
      </c>
      <c r="AC131" s="4"/>
      <c r="AD131" s="6">
        <v>1.4E-3</v>
      </c>
      <c r="AE131" s="3">
        <f t="shared" ref="AE131:AE138" si="48">AD131*$M131</f>
        <v>0</v>
      </c>
      <c r="AF131" s="7" t="e">
        <f>#REF!+#REF!+#REF!+#REF!+#REF!+#REF!+#REF!+#REF!+#REF!+#REF!+#REF!+#REF!</f>
        <v>#REF!</v>
      </c>
      <c r="AG131" s="1" t="e">
        <f>#REF!+#REF!+#REF!+#REF!+#REF!+#REF!+#REF!+#REF!+#REF!+#REF!+#REF!+#REF!-M131</f>
        <v>#REF!</v>
      </c>
      <c r="AH131" s="1">
        <f t="shared" si="4"/>
        <v>0</v>
      </c>
    </row>
    <row r="132" spans="3:34" x14ac:dyDescent="0.25">
      <c r="C132" s="2"/>
      <c r="D132" s="2"/>
      <c r="E132" s="17"/>
      <c r="F132" s="66" t="s">
        <v>56</v>
      </c>
      <c r="G132" s="12"/>
      <c r="H132" s="12"/>
      <c r="I132" s="12"/>
      <c r="J132" s="12"/>
      <c r="K132" s="12" t="s">
        <v>57</v>
      </c>
      <c r="L132" s="58"/>
      <c r="M132" s="12"/>
      <c r="N132" s="12"/>
      <c r="O132" s="13"/>
      <c r="P132" s="14"/>
      <c r="Q132" s="12"/>
      <c r="R132" s="13"/>
      <c r="S132" s="14"/>
      <c r="T132" s="12"/>
      <c r="U132" s="13"/>
      <c r="V132" s="14"/>
      <c r="W132" s="12"/>
      <c r="X132" s="13"/>
      <c r="Y132" s="14"/>
      <c r="Z132" s="12">
        <v>0.3</v>
      </c>
      <c r="AA132" s="13"/>
      <c r="AB132" s="14">
        <f>Z132*I131</f>
        <v>0</v>
      </c>
      <c r="AC132" s="12"/>
      <c r="AD132" s="13"/>
      <c r="AE132" s="14"/>
      <c r="AF132" s="7"/>
      <c r="AG132" s="1"/>
      <c r="AH132" s="1">
        <f t="shared" si="4"/>
        <v>0</v>
      </c>
    </row>
    <row r="133" spans="3:34" x14ac:dyDescent="0.25">
      <c r="C133" s="2"/>
      <c r="D133" s="2"/>
      <c r="E133" s="17"/>
      <c r="F133" s="66" t="s">
        <v>56</v>
      </c>
      <c r="G133" s="12"/>
      <c r="H133" s="12"/>
      <c r="I133" s="12"/>
      <c r="J133" s="12"/>
      <c r="K133" s="12" t="s">
        <v>58</v>
      </c>
      <c r="L133" s="58"/>
      <c r="M133" s="12"/>
      <c r="N133" s="12">
        <v>4.58</v>
      </c>
      <c r="O133" s="13"/>
      <c r="P133" s="14">
        <f>N133*I131</f>
        <v>0</v>
      </c>
      <c r="Q133" s="12"/>
      <c r="R133" s="13"/>
      <c r="S133" s="14"/>
      <c r="T133" s="12"/>
      <c r="U133" s="13"/>
      <c r="V133" s="14"/>
      <c r="W133" s="12"/>
      <c r="X133" s="13"/>
      <c r="Y133" s="14"/>
      <c r="Z133" s="12"/>
      <c r="AA133" s="13"/>
      <c r="AB133" s="14"/>
      <c r="AC133" s="12"/>
      <c r="AD133" s="13"/>
      <c r="AE133" s="14"/>
      <c r="AF133" s="7"/>
      <c r="AG133" s="1"/>
      <c r="AH133" s="1">
        <f t="shared" si="4"/>
        <v>0</v>
      </c>
    </row>
    <row r="134" spans="3:34" x14ac:dyDescent="0.25">
      <c r="C134" s="2"/>
      <c r="D134" s="2"/>
      <c r="E134" s="17"/>
      <c r="F134" s="66" t="s">
        <v>56</v>
      </c>
      <c r="G134" s="12"/>
      <c r="H134" s="12"/>
      <c r="I134" s="12"/>
      <c r="J134" s="12"/>
      <c r="K134" s="12" t="s">
        <v>59</v>
      </c>
      <c r="L134" s="58"/>
      <c r="M134" s="12"/>
      <c r="N134" s="12"/>
      <c r="O134" s="13"/>
      <c r="P134" s="14"/>
      <c r="Q134" s="12">
        <v>6.59</v>
      </c>
      <c r="R134" s="13"/>
      <c r="S134" s="14">
        <f>Q134*I131</f>
        <v>0</v>
      </c>
      <c r="T134" s="12"/>
      <c r="U134" s="13"/>
      <c r="V134" s="14"/>
      <c r="W134" s="12"/>
      <c r="X134" s="13"/>
      <c r="Y134" s="14"/>
      <c r="Z134" s="12"/>
      <c r="AA134" s="13"/>
      <c r="AB134" s="14"/>
      <c r="AC134" s="12"/>
      <c r="AD134" s="13"/>
      <c r="AE134" s="14"/>
      <c r="AF134" s="7"/>
      <c r="AG134" s="1"/>
      <c r="AH134" s="1">
        <f t="shared" si="4"/>
        <v>0</v>
      </c>
    </row>
    <row r="135" spans="3:34" x14ac:dyDescent="0.25">
      <c r="C135" s="2"/>
      <c r="D135" s="2"/>
      <c r="E135" s="17"/>
      <c r="F135" s="66" t="s">
        <v>56</v>
      </c>
      <c r="G135" s="12"/>
      <c r="H135" s="12"/>
      <c r="I135" s="12"/>
      <c r="J135" s="12"/>
      <c r="K135" s="12" t="s">
        <v>60</v>
      </c>
      <c r="L135" s="58"/>
      <c r="M135" s="12"/>
      <c r="N135" s="12"/>
      <c r="O135" s="13"/>
      <c r="P135" s="14"/>
      <c r="Q135" s="12"/>
      <c r="R135" s="13"/>
      <c r="S135" s="14"/>
      <c r="T135" s="12">
        <v>0.87</v>
      </c>
      <c r="U135" s="13"/>
      <c r="V135" s="14">
        <f>T135*I131</f>
        <v>0</v>
      </c>
      <c r="W135" s="12"/>
      <c r="X135" s="13"/>
      <c r="Y135" s="14"/>
      <c r="Z135" s="12"/>
      <c r="AA135" s="13"/>
      <c r="AB135" s="14"/>
      <c r="AC135" s="12"/>
      <c r="AD135" s="13"/>
      <c r="AE135" s="14"/>
      <c r="AF135" s="7"/>
      <c r="AG135" s="1"/>
      <c r="AH135" s="1">
        <f t="shared" si="4"/>
        <v>0</v>
      </c>
    </row>
    <row r="136" spans="3:34" x14ac:dyDescent="0.25">
      <c r="C136" s="2"/>
      <c r="D136" s="2"/>
      <c r="E136" s="17"/>
      <c r="F136" s="66" t="s">
        <v>56</v>
      </c>
      <c r="G136" s="12"/>
      <c r="H136" s="12"/>
      <c r="I136" s="12"/>
      <c r="J136" s="12"/>
      <c r="K136" s="12" t="s">
        <v>61</v>
      </c>
      <c r="L136" s="58"/>
      <c r="M136" s="12"/>
      <c r="N136" s="12"/>
      <c r="O136" s="13"/>
      <c r="P136" s="14"/>
      <c r="Q136" s="12"/>
      <c r="R136" s="13"/>
      <c r="S136" s="14"/>
      <c r="T136" s="12"/>
      <c r="U136" s="13"/>
      <c r="V136" s="14"/>
      <c r="W136" s="12">
        <v>0.13</v>
      </c>
      <c r="X136" s="13"/>
      <c r="Y136" s="14">
        <f>W136*I131</f>
        <v>0</v>
      </c>
      <c r="Z136" s="12"/>
      <c r="AA136" s="13"/>
      <c r="AB136" s="14"/>
      <c r="AC136" s="12"/>
      <c r="AD136" s="13"/>
      <c r="AE136" s="14"/>
      <c r="AF136" s="7"/>
      <c r="AG136" s="1"/>
      <c r="AH136" s="1">
        <f t="shared" si="4"/>
        <v>0</v>
      </c>
    </row>
    <row r="137" spans="3:34" x14ac:dyDescent="0.25">
      <c r="C137" s="2"/>
      <c r="D137" s="2"/>
      <c r="E137" s="17"/>
      <c r="F137" s="66" t="s">
        <v>56</v>
      </c>
      <c r="G137" s="12"/>
      <c r="H137" s="12"/>
      <c r="I137" s="12"/>
      <c r="J137" s="12"/>
      <c r="K137" s="12" t="s">
        <v>62</v>
      </c>
      <c r="L137" s="58"/>
      <c r="M137" s="12"/>
      <c r="N137" s="12"/>
      <c r="O137" s="13"/>
      <c r="P137" s="14"/>
      <c r="Q137" s="12"/>
      <c r="R137" s="13"/>
      <c r="S137" s="14"/>
      <c r="T137" s="12"/>
      <c r="U137" s="13"/>
      <c r="V137" s="14"/>
      <c r="W137" s="12"/>
      <c r="X137" s="13"/>
      <c r="Y137" s="14"/>
      <c r="Z137" s="12"/>
      <c r="AA137" s="13"/>
      <c r="AB137" s="14"/>
      <c r="AC137" s="12">
        <v>0.39</v>
      </c>
      <c r="AD137" s="13"/>
      <c r="AE137" s="14">
        <f>AC137*I131</f>
        <v>0</v>
      </c>
      <c r="AF137" s="7"/>
      <c r="AG137" s="1"/>
      <c r="AH137" s="1">
        <f t="shared" si="4"/>
        <v>0</v>
      </c>
    </row>
    <row r="138" spans="3:34" x14ac:dyDescent="0.25">
      <c r="C138" s="2"/>
      <c r="D138" s="2"/>
      <c r="E138" s="17"/>
      <c r="F138" s="44" t="s">
        <v>29</v>
      </c>
      <c r="G138" s="4"/>
      <c r="H138" s="4"/>
      <c r="I138" s="4"/>
      <c r="J138" s="4">
        <v>9500</v>
      </c>
      <c r="K138" s="4" t="s">
        <v>37</v>
      </c>
      <c r="L138" s="58">
        <v>382230</v>
      </c>
      <c r="M138" s="4">
        <f>J138*L138/100</f>
        <v>36311850</v>
      </c>
      <c r="N138" s="9"/>
      <c r="O138" s="10">
        <v>1.8100000000000002E-2</v>
      </c>
      <c r="P138" s="3">
        <f t="shared" si="43"/>
        <v>657244.4850000001</v>
      </c>
      <c r="Q138" s="9"/>
      <c r="R138" s="10">
        <v>3.0000000000000001E-3</v>
      </c>
      <c r="S138" s="3">
        <f t="shared" si="44"/>
        <v>108935.55</v>
      </c>
      <c r="T138" s="9"/>
      <c r="U138" s="10">
        <v>7.6E-3</v>
      </c>
      <c r="V138" s="3">
        <f t="shared" si="45"/>
        <v>275970.06</v>
      </c>
      <c r="W138" s="9"/>
      <c r="X138" s="10">
        <v>5.1000000000000004E-3</v>
      </c>
      <c r="Y138" s="3">
        <f t="shared" si="46"/>
        <v>185190.43500000003</v>
      </c>
      <c r="Z138" s="9"/>
      <c r="AA138" s="10"/>
      <c r="AB138" s="3">
        <f t="shared" si="47"/>
        <v>0</v>
      </c>
      <c r="AC138" s="9"/>
      <c r="AD138" s="10">
        <v>1.4E-3</v>
      </c>
      <c r="AE138" s="3">
        <f t="shared" si="48"/>
        <v>50836.59</v>
      </c>
      <c r="AF138" s="7" t="e">
        <f>#REF!+#REF!+#REF!+#REF!+#REF!+#REF!+#REF!+#REF!+#REF!+#REF!+#REF!+#REF!</f>
        <v>#REF!</v>
      </c>
      <c r="AG138" s="1" t="e">
        <f>#REF!+#REF!+#REF!+#REF!+#REF!+#REF!+#REF!+#REF!+#REF!+#REF!+#REF!+#REF!-M138</f>
        <v>#REF!</v>
      </c>
      <c r="AH138" s="1">
        <f t="shared" si="4"/>
        <v>1278177.1200000001</v>
      </c>
    </row>
    <row r="139" spans="3:34" x14ac:dyDescent="0.25">
      <c r="C139" s="2"/>
      <c r="D139" s="2"/>
      <c r="E139" s="17"/>
      <c r="F139" s="66" t="s">
        <v>56</v>
      </c>
      <c r="G139" s="4"/>
      <c r="H139" s="4"/>
      <c r="I139" s="4"/>
      <c r="J139" s="4"/>
      <c r="K139" s="4" t="s">
        <v>63</v>
      </c>
      <c r="L139" s="58"/>
      <c r="M139" s="4"/>
      <c r="N139" s="4">
        <v>4.67</v>
      </c>
      <c r="O139" s="6"/>
      <c r="P139" s="3">
        <f>N139*J138</f>
        <v>44365</v>
      </c>
      <c r="Q139" s="4"/>
      <c r="R139" s="6"/>
      <c r="S139" s="3"/>
      <c r="T139" s="4"/>
      <c r="U139" s="6"/>
      <c r="V139" s="3"/>
      <c r="W139" s="4"/>
      <c r="X139" s="6"/>
      <c r="Y139" s="3"/>
      <c r="Z139" s="4"/>
      <c r="AA139" s="6"/>
      <c r="AB139" s="3"/>
      <c r="AC139" s="4"/>
      <c r="AD139" s="6"/>
      <c r="AE139" s="3"/>
      <c r="AF139" s="7"/>
      <c r="AG139" s="1"/>
      <c r="AH139" s="1">
        <f t="shared" ref="AH139:AH143" si="49">AE139+AB139+Y139+V139+S139+P139</f>
        <v>44365</v>
      </c>
    </row>
    <row r="140" spans="3:34" x14ac:dyDescent="0.25">
      <c r="C140" s="2"/>
      <c r="D140" s="2"/>
      <c r="E140" s="17"/>
      <c r="F140" s="66" t="s">
        <v>56</v>
      </c>
      <c r="G140" s="4"/>
      <c r="H140" s="4"/>
      <c r="I140" s="4"/>
      <c r="J140" s="4"/>
      <c r="K140" s="4" t="s">
        <v>64</v>
      </c>
      <c r="L140" s="58"/>
      <c r="M140" s="4"/>
      <c r="N140" s="4"/>
      <c r="O140" s="6"/>
      <c r="P140" s="3"/>
      <c r="Q140" s="4">
        <v>0.86</v>
      </c>
      <c r="R140" s="6"/>
      <c r="S140" s="3">
        <f>Q140*J138</f>
        <v>8170</v>
      </c>
      <c r="T140" s="4"/>
      <c r="U140" s="6"/>
      <c r="V140" s="3"/>
      <c r="W140" s="4"/>
      <c r="X140" s="6"/>
      <c r="Y140" s="3"/>
      <c r="Z140" s="4"/>
      <c r="AA140" s="6"/>
      <c r="AB140" s="3"/>
      <c r="AC140" s="4"/>
      <c r="AD140" s="6"/>
      <c r="AE140" s="3"/>
      <c r="AF140" s="7"/>
      <c r="AG140" s="1"/>
      <c r="AH140" s="1">
        <f t="shared" si="49"/>
        <v>8170</v>
      </c>
    </row>
    <row r="141" spans="3:34" x14ac:dyDescent="0.25">
      <c r="C141" s="2"/>
      <c r="D141" s="2"/>
      <c r="E141" s="17"/>
      <c r="F141" s="66" t="s">
        <v>56</v>
      </c>
      <c r="G141" s="12"/>
      <c r="H141" s="12"/>
      <c r="I141" s="12"/>
      <c r="J141" s="12"/>
      <c r="K141" s="12" t="s">
        <v>65</v>
      </c>
      <c r="L141" s="58"/>
      <c r="M141" s="12"/>
      <c r="N141" s="12"/>
      <c r="O141" s="13"/>
      <c r="P141" s="14"/>
      <c r="Q141" s="12"/>
      <c r="R141" s="13"/>
      <c r="S141" s="14"/>
      <c r="T141" s="12">
        <v>1.94</v>
      </c>
      <c r="U141" s="13"/>
      <c r="V141" s="14">
        <f>T141*J138</f>
        <v>18430</v>
      </c>
      <c r="W141" s="12"/>
      <c r="X141" s="13"/>
      <c r="Y141" s="14"/>
      <c r="Z141" s="12"/>
      <c r="AA141" s="13"/>
      <c r="AB141" s="14"/>
      <c r="AC141" s="12"/>
      <c r="AD141" s="13"/>
      <c r="AE141" s="14"/>
      <c r="AF141" s="7"/>
      <c r="AG141" s="1"/>
      <c r="AH141" s="1">
        <f t="shared" si="49"/>
        <v>18430</v>
      </c>
    </row>
    <row r="142" spans="3:34" x14ac:dyDescent="0.25">
      <c r="C142" s="2"/>
      <c r="D142" s="2"/>
      <c r="E142" s="17"/>
      <c r="F142" s="66" t="s">
        <v>56</v>
      </c>
      <c r="G142" s="12"/>
      <c r="H142" s="12"/>
      <c r="I142" s="12"/>
      <c r="J142" s="12"/>
      <c r="K142" s="12" t="s">
        <v>66</v>
      </c>
      <c r="L142" s="58"/>
      <c r="M142" s="12"/>
      <c r="N142" s="12"/>
      <c r="O142" s="13"/>
      <c r="P142" s="14"/>
      <c r="Q142" s="12"/>
      <c r="R142" s="13"/>
      <c r="S142" s="14"/>
      <c r="T142" s="12"/>
      <c r="U142" s="13"/>
      <c r="V142" s="14"/>
      <c r="W142" s="12">
        <v>1.32</v>
      </c>
      <c r="X142" s="13"/>
      <c r="Y142" s="14">
        <f>W142*J138</f>
        <v>12540</v>
      </c>
      <c r="Z142" s="12"/>
      <c r="AA142" s="13"/>
      <c r="AB142" s="14"/>
      <c r="AC142" s="12"/>
      <c r="AD142" s="13"/>
      <c r="AE142" s="14"/>
      <c r="AF142" s="7"/>
      <c r="AG142" s="1"/>
      <c r="AH142" s="1">
        <f t="shared" si="49"/>
        <v>12540</v>
      </c>
    </row>
    <row r="143" spans="3:34" x14ac:dyDescent="0.25">
      <c r="C143" s="2"/>
      <c r="D143" s="2"/>
      <c r="E143" s="17"/>
      <c r="F143" s="66" t="s">
        <v>56</v>
      </c>
      <c r="G143" s="12"/>
      <c r="H143" s="12"/>
      <c r="I143" s="12"/>
      <c r="J143" s="12"/>
      <c r="K143" s="12" t="s">
        <v>67</v>
      </c>
      <c r="L143" s="58"/>
      <c r="M143" s="12"/>
      <c r="N143" s="12"/>
      <c r="O143" s="13"/>
      <c r="P143" s="14"/>
      <c r="Q143" s="12"/>
      <c r="R143" s="13"/>
      <c r="S143" s="14"/>
      <c r="T143" s="12"/>
      <c r="U143" s="13"/>
      <c r="V143" s="14"/>
      <c r="W143" s="12"/>
      <c r="X143" s="13"/>
      <c r="Y143" s="14"/>
      <c r="Z143" s="12"/>
      <c r="AA143" s="13"/>
      <c r="AB143" s="14"/>
      <c r="AC143" s="12">
        <v>0.53</v>
      </c>
      <c r="AD143" s="13"/>
      <c r="AE143" s="14">
        <f>AC143*J138</f>
        <v>5035</v>
      </c>
      <c r="AF143" s="7"/>
      <c r="AG143" s="1"/>
      <c r="AH143" s="1">
        <f t="shared" si="49"/>
        <v>5035</v>
      </c>
    </row>
    <row r="144" spans="3:34" ht="16.5" thickBot="1" x14ac:dyDescent="0.3">
      <c r="C144" s="15"/>
      <c r="D144" s="15"/>
      <c r="E144" s="19"/>
      <c r="F144" s="26" t="s">
        <v>8</v>
      </c>
      <c r="G144" s="27"/>
      <c r="H144" s="27"/>
      <c r="I144" s="27"/>
      <c r="J144" s="27"/>
      <c r="K144" s="27"/>
      <c r="L144" s="59"/>
      <c r="M144" s="27">
        <f>SUM(M117:M143)</f>
        <v>2434197975</v>
      </c>
      <c r="N144" s="27"/>
      <c r="O144" s="28"/>
      <c r="P144" s="27">
        <f>SUM(P117:P143)</f>
        <v>39111681.990000002</v>
      </c>
      <c r="Q144" s="27"/>
      <c r="R144" s="28"/>
      <c r="S144" s="27">
        <f>SUM(S117:S143)</f>
        <v>56050961.002500005</v>
      </c>
      <c r="T144" s="27"/>
      <c r="U144" s="28"/>
      <c r="V144" s="27">
        <f>SUM(V117:V143)</f>
        <v>17098278.509999998</v>
      </c>
      <c r="W144" s="27"/>
      <c r="X144" s="28"/>
      <c r="Y144" s="27">
        <f>SUM(Y117:Y143)</f>
        <v>1878250.9724999999</v>
      </c>
      <c r="Z144" s="27"/>
      <c r="AA144" s="28"/>
      <c r="AB144" s="27">
        <f>SUM(AB117:AB143)</f>
        <v>2400817.1949999998</v>
      </c>
      <c r="AC144" s="27"/>
      <c r="AD144" s="28"/>
      <c r="AE144" s="27">
        <f>SUM(AE117:AE143)</f>
        <v>3416247.2299999995</v>
      </c>
      <c r="AF144" s="7" t="e">
        <f>#REF!+#REF!+#REF!+#REF!+#REF!+#REF!+#REF!+#REF!+#REF!+#REF!+#REF!+#REF!</f>
        <v>#REF!</v>
      </c>
      <c r="AG144" s="1" t="e">
        <f>#REF!+#REF!+#REF!+#REF!+#REF!+#REF!+#REF!+#REF!+#REF!+#REF!+#REF!+#REF!-M144</f>
        <v>#REF!</v>
      </c>
      <c r="AH144" s="69">
        <f t="shared" si="4"/>
        <v>119956236.90000001</v>
      </c>
    </row>
    <row r="145" spans="3:34" ht="47.25" x14ac:dyDescent="0.25">
      <c r="C145" s="2" t="s">
        <v>0</v>
      </c>
      <c r="D145" s="2" t="s">
        <v>1</v>
      </c>
      <c r="E145" s="17" t="s">
        <v>2</v>
      </c>
      <c r="F145" s="31" t="s">
        <v>10</v>
      </c>
      <c r="G145" s="21">
        <v>54641.5</v>
      </c>
      <c r="H145" s="21">
        <v>34834</v>
      </c>
      <c r="I145" s="21"/>
      <c r="J145" s="21"/>
      <c r="K145" s="21" t="s">
        <v>21</v>
      </c>
      <c r="L145" s="60">
        <f>179.64*1000</f>
        <v>179640</v>
      </c>
      <c r="M145" s="21">
        <f>L145*H145</f>
        <v>6257579760</v>
      </c>
      <c r="N145" s="21"/>
      <c r="O145" s="22">
        <v>1.6E-2</v>
      </c>
      <c r="P145" s="23">
        <f t="shared" ref="P145:P152" si="50">O145*$M145</f>
        <v>100121276.16</v>
      </c>
      <c r="Q145" s="21"/>
      <c r="R145" s="22">
        <v>2.3300000000000001E-2</v>
      </c>
      <c r="S145" s="3">
        <f t="shared" ref="S145:S152" si="51">R145*$M145</f>
        <v>145801608.40800002</v>
      </c>
      <c r="T145" s="21"/>
      <c r="U145" s="22">
        <v>7.0000000000000001E-3</v>
      </c>
      <c r="V145" s="3">
        <f t="shared" ref="V145:V152" si="52">U145*$M145</f>
        <v>43803058.32</v>
      </c>
      <c r="W145" s="21"/>
      <c r="X145" s="22">
        <v>6.9999999999999999E-4</v>
      </c>
      <c r="Y145" s="3">
        <f t="shared" ref="Y145:Y152" si="53">X145*$M145</f>
        <v>4380305.8320000004</v>
      </c>
      <c r="Z145" s="21"/>
      <c r="AA145" s="22">
        <v>1E-3</v>
      </c>
      <c r="AB145" s="3">
        <f t="shared" ref="AB145:AB152" si="54">AA145*$M145</f>
        <v>6257579.7599999998</v>
      </c>
      <c r="AC145" s="21"/>
      <c r="AD145" s="22">
        <v>1.4E-3</v>
      </c>
      <c r="AE145" s="3">
        <f t="shared" ref="AE145:AE152" si="55">AD145*$M145</f>
        <v>8760611.6640000008</v>
      </c>
      <c r="AF145" s="7" t="e">
        <f>#REF!+#REF!+#REF!+#REF!+#REF!+#REF!+#REF!+#REF!+#REF!+#REF!+#REF!+#REF!</f>
        <v>#REF!</v>
      </c>
      <c r="AG145" s="1" t="e">
        <f>#REF!+#REF!+#REF!+#REF!+#REF!+#REF!+#REF!+#REF!+#REF!+#REF!+#REF!+#REF!-M145</f>
        <v>#REF!</v>
      </c>
      <c r="AH145" s="1">
        <f t="shared" si="4"/>
        <v>309124440.14400005</v>
      </c>
    </row>
    <row r="146" spans="3:34" x14ac:dyDescent="0.25">
      <c r="C146" s="2"/>
      <c r="D146" s="2"/>
      <c r="E146" s="17"/>
      <c r="F146" s="66" t="s">
        <v>48</v>
      </c>
      <c r="G146" s="12"/>
      <c r="H146" s="12"/>
      <c r="I146" s="12"/>
      <c r="J146" s="12"/>
      <c r="K146" s="12" t="s">
        <v>49</v>
      </c>
      <c r="L146" s="58"/>
      <c r="M146" s="12"/>
      <c r="N146" s="12"/>
      <c r="O146" s="13"/>
      <c r="P146" s="14"/>
      <c r="Q146" s="12"/>
      <c r="R146" s="13"/>
      <c r="S146" s="14"/>
      <c r="T146" s="12"/>
      <c r="U146" s="13"/>
      <c r="V146" s="14"/>
      <c r="W146" s="12"/>
      <c r="X146" s="13"/>
      <c r="Y146" s="14"/>
      <c r="Z146" s="12">
        <v>0.22</v>
      </c>
      <c r="AA146" s="13"/>
      <c r="AB146" s="14">
        <f>Z146*H145</f>
        <v>7663.4800000000005</v>
      </c>
      <c r="AC146" s="12"/>
      <c r="AD146" s="13"/>
      <c r="AE146" s="14"/>
      <c r="AF146" s="7"/>
      <c r="AG146" s="1"/>
      <c r="AH146" s="1">
        <f t="shared" si="4"/>
        <v>7663.4800000000005</v>
      </c>
    </row>
    <row r="147" spans="3:34" x14ac:dyDescent="0.25">
      <c r="C147" s="2"/>
      <c r="D147" s="2"/>
      <c r="E147" s="17"/>
      <c r="F147" s="66" t="s">
        <v>48</v>
      </c>
      <c r="G147" s="12"/>
      <c r="H147" s="12"/>
      <c r="I147" s="12"/>
      <c r="J147" s="12"/>
      <c r="K147" s="12" t="s">
        <v>51</v>
      </c>
      <c r="L147" s="58"/>
      <c r="M147" s="12"/>
      <c r="N147" s="12">
        <v>3.29</v>
      </c>
      <c r="O147" s="13"/>
      <c r="P147" s="14">
        <f>N147*H145</f>
        <v>114603.86</v>
      </c>
      <c r="Q147" s="12"/>
      <c r="R147" s="13"/>
      <c r="S147" s="14"/>
      <c r="T147" s="12"/>
      <c r="U147" s="13"/>
      <c r="V147" s="14"/>
      <c r="W147" s="12"/>
      <c r="X147" s="13"/>
      <c r="Y147" s="14"/>
      <c r="Z147" s="12"/>
      <c r="AA147" s="13"/>
      <c r="AB147" s="14"/>
      <c r="AC147" s="12"/>
      <c r="AD147" s="13"/>
      <c r="AE147" s="14"/>
      <c r="AF147" s="7"/>
      <c r="AG147" s="1"/>
      <c r="AH147" s="1">
        <f t="shared" si="4"/>
        <v>114603.86</v>
      </c>
    </row>
    <row r="148" spans="3:34" x14ac:dyDescent="0.25">
      <c r="C148" s="2"/>
      <c r="D148" s="2"/>
      <c r="E148" s="17"/>
      <c r="F148" s="66" t="s">
        <v>48</v>
      </c>
      <c r="G148" s="12"/>
      <c r="H148" s="12"/>
      <c r="I148" s="12"/>
      <c r="J148" s="12"/>
      <c r="K148" s="12" t="s">
        <v>52</v>
      </c>
      <c r="L148" s="58"/>
      <c r="M148" s="12"/>
      <c r="N148" s="12"/>
      <c r="O148" s="13"/>
      <c r="P148" s="14"/>
      <c r="Q148" s="12">
        <v>4.7300000000000004</v>
      </c>
      <c r="R148" s="13"/>
      <c r="S148" s="14">
        <f>Q148*H145</f>
        <v>164764.82</v>
      </c>
      <c r="T148" s="12"/>
      <c r="U148" s="13"/>
      <c r="V148" s="14"/>
      <c r="W148" s="12"/>
      <c r="X148" s="13"/>
      <c r="Y148" s="14"/>
      <c r="Z148" s="12"/>
      <c r="AA148" s="13"/>
      <c r="AB148" s="14"/>
      <c r="AC148" s="12"/>
      <c r="AD148" s="13"/>
      <c r="AE148" s="14"/>
      <c r="AF148" s="7"/>
      <c r="AG148" s="1"/>
      <c r="AH148" s="1">
        <f t="shared" si="4"/>
        <v>164764.82</v>
      </c>
    </row>
    <row r="149" spans="3:34" x14ac:dyDescent="0.25">
      <c r="C149" s="2"/>
      <c r="D149" s="2"/>
      <c r="E149" s="17"/>
      <c r="F149" s="66" t="s">
        <v>48</v>
      </c>
      <c r="G149" s="12"/>
      <c r="H149" s="12"/>
      <c r="I149" s="12"/>
      <c r="J149" s="12"/>
      <c r="K149" s="12" t="s">
        <v>53</v>
      </c>
      <c r="L149" s="58"/>
      <c r="M149" s="12"/>
      <c r="N149" s="12"/>
      <c r="O149" s="13"/>
      <c r="P149" s="14"/>
      <c r="Q149" s="12"/>
      <c r="R149" s="13"/>
      <c r="S149" s="14"/>
      <c r="T149" s="12">
        <v>1.4</v>
      </c>
      <c r="U149" s="13"/>
      <c r="V149" s="14">
        <f>T149*H145</f>
        <v>48767.6</v>
      </c>
      <c r="W149" s="12"/>
      <c r="X149" s="13"/>
      <c r="Y149" s="14"/>
      <c r="Z149" s="12"/>
      <c r="AA149" s="13"/>
      <c r="AB149" s="14"/>
      <c r="AC149" s="12"/>
      <c r="AD149" s="13"/>
      <c r="AE149" s="14"/>
      <c r="AF149" s="7"/>
      <c r="AG149" s="1"/>
      <c r="AH149" s="1">
        <f t="shared" si="4"/>
        <v>48767.6</v>
      </c>
    </row>
    <row r="150" spans="3:34" x14ac:dyDescent="0.25">
      <c r="C150" s="2"/>
      <c r="D150" s="2"/>
      <c r="E150" s="17"/>
      <c r="F150" s="66" t="s">
        <v>48</v>
      </c>
      <c r="G150" s="12"/>
      <c r="H150" s="12"/>
      <c r="I150" s="12"/>
      <c r="J150" s="12"/>
      <c r="K150" s="12" t="s">
        <v>54</v>
      </c>
      <c r="L150" s="58"/>
      <c r="M150" s="12"/>
      <c r="N150" s="12"/>
      <c r="O150" s="13"/>
      <c r="P150" s="14"/>
      <c r="Q150" s="12"/>
      <c r="R150" s="13"/>
      <c r="S150" s="14"/>
      <c r="T150" s="12"/>
      <c r="U150" s="13"/>
      <c r="V150" s="14"/>
      <c r="W150" s="12">
        <v>0.15</v>
      </c>
      <c r="X150" s="13"/>
      <c r="Y150" s="14">
        <f>W150*H145</f>
        <v>5225.0999999999995</v>
      </c>
      <c r="Z150" s="12"/>
      <c r="AA150" s="13"/>
      <c r="AB150" s="14"/>
      <c r="AC150" s="12"/>
      <c r="AD150" s="13"/>
      <c r="AE150" s="14"/>
      <c r="AF150" s="7"/>
      <c r="AG150" s="1"/>
      <c r="AH150" s="1">
        <f t="shared" si="4"/>
        <v>5225.0999999999995</v>
      </c>
    </row>
    <row r="151" spans="3:34" x14ac:dyDescent="0.25">
      <c r="C151" s="2"/>
      <c r="D151" s="2"/>
      <c r="E151" s="17"/>
      <c r="F151" s="66" t="s">
        <v>48</v>
      </c>
      <c r="G151" s="12"/>
      <c r="H151" s="12"/>
      <c r="I151" s="12"/>
      <c r="J151" s="12"/>
      <c r="K151" s="12" t="s">
        <v>55</v>
      </c>
      <c r="L151" s="58"/>
      <c r="M151" s="12"/>
      <c r="N151" s="12"/>
      <c r="O151" s="13"/>
      <c r="P151" s="14"/>
      <c r="Q151" s="12"/>
      <c r="R151" s="13"/>
      <c r="S151" s="14"/>
      <c r="T151" s="12"/>
      <c r="U151" s="13"/>
      <c r="V151" s="14"/>
      <c r="W151" s="12"/>
      <c r="X151" s="13"/>
      <c r="Y151" s="14"/>
      <c r="Z151" s="12"/>
      <c r="AA151" s="13"/>
      <c r="AB151" s="14"/>
      <c r="AC151" s="12">
        <v>0.25</v>
      </c>
      <c r="AD151" s="13"/>
      <c r="AE151" s="14">
        <f>AC151*H145</f>
        <v>8708.5</v>
      </c>
      <c r="AF151" s="7"/>
      <c r="AG151" s="1"/>
      <c r="AH151" s="1">
        <f t="shared" si="4"/>
        <v>8708.5</v>
      </c>
    </row>
    <row r="152" spans="3:34" ht="31.5" x14ac:dyDescent="0.25">
      <c r="C152" s="2"/>
      <c r="D152" s="2"/>
      <c r="E152" s="17"/>
      <c r="F152" s="24" t="s">
        <v>30</v>
      </c>
      <c r="G152" s="4"/>
      <c r="H152" s="4">
        <v>1051</v>
      </c>
      <c r="I152" s="4"/>
      <c r="J152" s="12"/>
      <c r="K152" s="12" t="s">
        <v>21</v>
      </c>
      <c r="L152" s="61">
        <f>125.81*1000</f>
        <v>125810</v>
      </c>
      <c r="M152" s="12">
        <f>L152*H152</f>
        <v>132226310</v>
      </c>
      <c r="N152" s="12"/>
      <c r="O152" s="13">
        <v>1.6E-2</v>
      </c>
      <c r="P152" s="14">
        <f t="shared" si="50"/>
        <v>2115620.96</v>
      </c>
      <c r="Q152" s="12"/>
      <c r="R152" s="13">
        <v>2.3300000000000001E-2</v>
      </c>
      <c r="S152" s="3">
        <f t="shared" si="51"/>
        <v>3080873.023</v>
      </c>
      <c r="T152" s="12"/>
      <c r="U152" s="13">
        <v>7.0000000000000001E-3</v>
      </c>
      <c r="V152" s="3">
        <f t="shared" si="52"/>
        <v>925584.17</v>
      </c>
      <c r="W152" s="12"/>
      <c r="X152" s="13">
        <v>6.9999999999999999E-4</v>
      </c>
      <c r="Y152" s="3">
        <f t="shared" si="53"/>
        <v>92558.417000000001</v>
      </c>
      <c r="Z152" s="12"/>
      <c r="AA152" s="13">
        <v>1E-3</v>
      </c>
      <c r="AB152" s="3">
        <f t="shared" si="54"/>
        <v>132226.31</v>
      </c>
      <c r="AC152" s="12"/>
      <c r="AD152" s="13">
        <v>1.4E-3</v>
      </c>
      <c r="AE152" s="3">
        <f t="shared" si="55"/>
        <v>185116.834</v>
      </c>
      <c r="AF152" s="7" t="e">
        <f>#REF!+#REF!+#REF!+#REF!+#REF!+#REF!+#REF!+#REF!+#REF!+#REF!+#REF!+#REF!</f>
        <v>#REF!</v>
      </c>
      <c r="AG152" s="1" t="e">
        <f>#REF!+#REF!+#REF!+#REF!+#REF!+#REF!+#REF!+#REF!+#REF!+#REF!+#REF!+#REF!-M152</f>
        <v>#REF!</v>
      </c>
      <c r="AH152" s="1">
        <f t="shared" si="4"/>
        <v>6531979.7140000006</v>
      </c>
    </row>
    <row r="153" spans="3:34" x14ac:dyDescent="0.25">
      <c r="C153" s="2"/>
      <c r="D153" s="2"/>
      <c r="E153" s="17"/>
      <c r="F153" s="66" t="s">
        <v>48</v>
      </c>
      <c r="G153" s="12"/>
      <c r="H153" s="12"/>
      <c r="I153" s="12"/>
      <c r="J153" s="12"/>
      <c r="K153" s="12" t="s">
        <v>49</v>
      </c>
      <c r="L153" s="58"/>
      <c r="M153" s="12"/>
      <c r="N153" s="12"/>
      <c r="O153" s="13"/>
      <c r="P153" s="14"/>
      <c r="Q153" s="12"/>
      <c r="R153" s="13"/>
      <c r="S153" s="14"/>
      <c r="T153" s="12"/>
      <c r="U153" s="13"/>
      <c r="V153" s="14"/>
      <c r="W153" s="12"/>
      <c r="X153" s="13"/>
      <c r="Y153" s="14"/>
      <c r="Z153" s="12">
        <v>0.14000000000000001</v>
      </c>
      <c r="AA153" s="13"/>
      <c r="AB153" s="14">
        <f>Z153*H152</f>
        <v>147.14000000000001</v>
      </c>
      <c r="AC153" s="12"/>
      <c r="AD153" s="13"/>
      <c r="AE153" s="14"/>
      <c r="AF153" s="7"/>
      <c r="AG153" s="1"/>
      <c r="AH153" s="1">
        <f t="shared" si="4"/>
        <v>147.14000000000001</v>
      </c>
    </row>
    <row r="154" spans="3:34" x14ac:dyDescent="0.25">
      <c r="C154" s="2"/>
      <c r="D154" s="2"/>
      <c r="E154" s="17"/>
      <c r="F154" s="66" t="s">
        <v>48</v>
      </c>
      <c r="G154" s="12"/>
      <c r="H154" s="12"/>
      <c r="I154" s="12"/>
      <c r="J154" s="12"/>
      <c r="K154" s="12" t="s">
        <v>51</v>
      </c>
      <c r="L154" s="58"/>
      <c r="M154" s="12"/>
      <c r="N154" s="12">
        <v>2.25</v>
      </c>
      <c r="O154" s="13"/>
      <c r="P154" s="14">
        <f>N154*H152</f>
        <v>2364.75</v>
      </c>
      <c r="Q154" s="12"/>
      <c r="R154" s="13"/>
      <c r="S154" s="14"/>
      <c r="T154" s="12"/>
      <c r="U154" s="13"/>
      <c r="V154" s="14"/>
      <c r="W154" s="12"/>
      <c r="X154" s="13"/>
      <c r="Y154" s="14"/>
      <c r="Z154" s="12"/>
      <c r="AA154" s="13"/>
      <c r="AB154" s="14"/>
      <c r="AC154" s="12"/>
      <c r="AD154" s="13"/>
      <c r="AE154" s="14"/>
      <c r="AF154" s="7"/>
      <c r="AG154" s="1"/>
      <c r="AH154" s="1">
        <f t="shared" si="4"/>
        <v>2364.75</v>
      </c>
    </row>
    <row r="155" spans="3:34" x14ac:dyDescent="0.25">
      <c r="C155" s="2"/>
      <c r="D155" s="2"/>
      <c r="E155" s="17"/>
      <c r="F155" s="66" t="s">
        <v>48</v>
      </c>
      <c r="G155" s="12"/>
      <c r="H155" s="12"/>
      <c r="I155" s="12"/>
      <c r="J155" s="12"/>
      <c r="K155" s="12" t="s">
        <v>52</v>
      </c>
      <c r="L155" s="58"/>
      <c r="M155" s="12"/>
      <c r="N155" s="12"/>
      <c r="O155" s="13"/>
      <c r="P155" s="14"/>
      <c r="Q155" s="12">
        <v>3.24</v>
      </c>
      <c r="R155" s="13"/>
      <c r="S155" s="14">
        <f>Q155*H152</f>
        <v>3405.2400000000002</v>
      </c>
      <c r="T155" s="12"/>
      <c r="U155" s="13"/>
      <c r="V155" s="14"/>
      <c r="W155" s="12"/>
      <c r="X155" s="13"/>
      <c r="Y155" s="14"/>
      <c r="Z155" s="12"/>
      <c r="AA155" s="13"/>
      <c r="AB155" s="14"/>
      <c r="AC155" s="12"/>
      <c r="AD155" s="13"/>
      <c r="AE155" s="14"/>
      <c r="AF155" s="7"/>
      <c r="AG155" s="1"/>
      <c r="AH155" s="1">
        <f t="shared" si="4"/>
        <v>3405.2400000000002</v>
      </c>
    </row>
    <row r="156" spans="3:34" x14ac:dyDescent="0.25">
      <c r="C156" s="2"/>
      <c r="D156" s="2"/>
      <c r="E156" s="17"/>
      <c r="F156" s="66" t="s">
        <v>48</v>
      </c>
      <c r="G156" s="12"/>
      <c r="H156" s="12"/>
      <c r="I156" s="12"/>
      <c r="J156" s="12"/>
      <c r="K156" s="12" t="s">
        <v>53</v>
      </c>
      <c r="L156" s="58"/>
      <c r="M156" s="12"/>
      <c r="N156" s="12"/>
      <c r="O156" s="13"/>
      <c r="P156" s="14"/>
      <c r="Q156" s="12"/>
      <c r="R156" s="13"/>
      <c r="S156" s="14"/>
      <c r="T156" s="12">
        <v>0.95</v>
      </c>
      <c r="U156" s="13"/>
      <c r="V156" s="14">
        <f>T156*H152</f>
        <v>998.44999999999993</v>
      </c>
      <c r="W156" s="12"/>
      <c r="X156" s="13"/>
      <c r="Y156" s="14"/>
      <c r="Z156" s="12"/>
      <c r="AA156" s="13"/>
      <c r="AB156" s="14"/>
      <c r="AC156" s="12"/>
      <c r="AD156" s="13"/>
      <c r="AE156" s="14"/>
      <c r="AF156" s="7"/>
      <c r="AG156" s="1"/>
      <c r="AH156" s="1">
        <f t="shared" si="4"/>
        <v>998.44999999999993</v>
      </c>
    </row>
    <row r="157" spans="3:34" x14ac:dyDescent="0.25">
      <c r="C157" s="2"/>
      <c r="D157" s="2"/>
      <c r="E157" s="17"/>
      <c r="F157" s="66" t="s">
        <v>48</v>
      </c>
      <c r="G157" s="12"/>
      <c r="H157" s="12"/>
      <c r="I157" s="12"/>
      <c r="J157" s="12"/>
      <c r="K157" s="12" t="s">
        <v>54</v>
      </c>
      <c r="L157" s="58"/>
      <c r="M157" s="12"/>
      <c r="N157" s="12"/>
      <c r="O157" s="13"/>
      <c r="P157" s="14"/>
      <c r="Q157" s="12"/>
      <c r="R157" s="13"/>
      <c r="S157" s="14"/>
      <c r="T157" s="12"/>
      <c r="U157" s="13"/>
      <c r="V157" s="14"/>
      <c r="W157" s="12">
        <v>0.1</v>
      </c>
      <c r="X157" s="13"/>
      <c r="Y157" s="14">
        <f>W157*H152</f>
        <v>105.10000000000001</v>
      </c>
      <c r="Z157" s="12"/>
      <c r="AA157" s="13"/>
      <c r="AB157" s="14"/>
      <c r="AC157" s="12"/>
      <c r="AD157" s="13"/>
      <c r="AE157" s="14"/>
      <c r="AF157" s="7"/>
      <c r="AG157" s="1"/>
      <c r="AH157" s="1">
        <f t="shared" si="4"/>
        <v>105.10000000000001</v>
      </c>
    </row>
    <row r="158" spans="3:34" x14ac:dyDescent="0.25">
      <c r="C158" s="2"/>
      <c r="D158" s="2"/>
      <c r="E158" s="17"/>
      <c r="F158" s="66" t="s">
        <v>48</v>
      </c>
      <c r="G158" s="12"/>
      <c r="H158" s="12"/>
      <c r="I158" s="12"/>
      <c r="J158" s="12"/>
      <c r="K158" s="12" t="s">
        <v>55</v>
      </c>
      <c r="L158" s="58"/>
      <c r="M158" s="12"/>
      <c r="N158" s="12"/>
      <c r="O158" s="13"/>
      <c r="P158" s="14"/>
      <c r="Q158" s="12"/>
      <c r="R158" s="13"/>
      <c r="S158" s="14"/>
      <c r="T158" s="12"/>
      <c r="U158" s="13"/>
      <c r="V158" s="14"/>
      <c r="W158" s="12"/>
      <c r="X158" s="13"/>
      <c r="Y158" s="14"/>
      <c r="Z158" s="12"/>
      <c r="AA158" s="13"/>
      <c r="AB158" s="14"/>
      <c r="AC158" s="12">
        <v>0.17</v>
      </c>
      <c r="AD158" s="13"/>
      <c r="AE158" s="14">
        <f>AC158*H152</f>
        <v>178.67000000000002</v>
      </c>
      <c r="AF158" s="7"/>
      <c r="AG158" s="1"/>
      <c r="AH158" s="1">
        <f t="shared" si="4"/>
        <v>178.67000000000002</v>
      </c>
    </row>
    <row r="159" spans="3:34" x14ac:dyDescent="0.25">
      <c r="C159" s="2"/>
      <c r="D159" s="2"/>
      <c r="E159" s="17"/>
      <c r="F159" s="25" t="s">
        <v>28</v>
      </c>
      <c r="G159" s="4"/>
      <c r="H159" s="4"/>
      <c r="I159" s="4">
        <f>149*3*6</f>
        <v>2682</v>
      </c>
      <c r="J159" s="4"/>
      <c r="K159" s="4" t="s">
        <v>25</v>
      </c>
      <c r="L159" s="58">
        <f>276.67*1000</f>
        <v>276670</v>
      </c>
      <c r="M159" s="4">
        <f>L159*I159</f>
        <v>742028940</v>
      </c>
      <c r="N159" s="4"/>
      <c r="O159" s="6">
        <v>1.5900000000000001E-2</v>
      </c>
      <c r="P159" s="3">
        <f t="shared" ref="P159:P166" si="56">O159*$M159</f>
        <v>11798260.146000002</v>
      </c>
      <c r="Q159" s="4"/>
      <c r="R159" s="6">
        <v>2.4500000000000001E-2</v>
      </c>
      <c r="S159" s="3">
        <f t="shared" ref="S159:S166" si="57">R159*$M159</f>
        <v>18179709.030000001</v>
      </c>
      <c r="T159" s="4"/>
      <c r="U159" s="6">
        <v>2.8999999999999998E-3</v>
      </c>
      <c r="V159" s="3">
        <f t="shared" ref="V159:V166" si="58">U159*$M159</f>
        <v>2151883.926</v>
      </c>
      <c r="W159" s="4"/>
      <c r="X159" s="6">
        <v>5.0000000000000001E-4</v>
      </c>
      <c r="Y159" s="3">
        <f t="shared" ref="Y159:Y166" si="59">X159*$M159</f>
        <v>371014.47000000003</v>
      </c>
      <c r="Z159" s="4"/>
      <c r="AA159" s="6">
        <v>1.1000000000000001E-3</v>
      </c>
      <c r="AB159" s="3">
        <f t="shared" ref="AB159:AB166" si="60">AA159*$M159</f>
        <v>816231.83400000003</v>
      </c>
      <c r="AC159" s="4"/>
      <c r="AD159" s="6">
        <v>1.4E-3</v>
      </c>
      <c r="AE159" s="3">
        <f t="shared" ref="AE159:AE166" si="61">AD159*$M159</f>
        <v>1038840.5159999999</v>
      </c>
      <c r="AF159" s="7" t="e">
        <f>#REF!+#REF!+#REF!+#REF!+#REF!+#REF!+#REF!+#REF!+#REF!+#REF!+#REF!+#REF!</f>
        <v>#REF!</v>
      </c>
      <c r="AG159" s="1" t="e">
        <f>#REF!+#REF!+#REF!+#REF!+#REF!+#REF!+#REF!+#REF!+#REF!+#REF!+#REF!+#REF!-M159</f>
        <v>#REF!</v>
      </c>
      <c r="AH159" s="1">
        <f t="shared" si="4"/>
        <v>34355939.922000006</v>
      </c>
    </row>
    <row r="160" spans="3:34" x14ac:dyDescent="0.25">
      <c r="C160" s="2"/>
      <c r="D160" s="2"/>
      <c r="E160" s="17"/>
      <c r="F160" s="66" t="s">
        <v>56</v>
      </c>
      <c r="G160" s="12"/>
      <c r="H160" s="12"/>
      <c r="I160" s="12"/>
      <c r="J160" s="12"/>
      <c r="K160" s="12" t="s">
        <v>57</v>
      </c>
      <c r="L160" s="58"/>
      <c r="M160" s="12"/>
      <c r="N160" s="12"/>
      <c r="O160" s="13"/>
      <c r="P160" s="14"/>
      <c r="Q160" s="12"/>
      <c r="R160" s="13"/>
      <c r="S160" s="14"/>
      <c r="T160" s="12"/>
      <c r="U160" s="13"/>
      <c r="V160" s="14"/>
      <c r="W160" s="12"/>
      <c r="X160" s="13"/>
      <c r="Y160" s="14"/>
      <c r="Z160" s="12">
        <v>0.3</v>
      </c>
      <c r="AA160" s="13"/>
      <c r="AB160" s="14">
        <f>Z160*I159</f>
        <v>804.6</v>
      </c>
      <c r="AC160" s="12"/>
      <c r="AD160" s="13"/>
      <c r="AE160" s="14"/>
      <c r="AF160" s="7"/>
      <c r="AG160" s="1"/>
      <c r="AH160" s="1">
        <f t="shared" ref="AH160:AH165" si="62">AE160+AB160+Y160+V160+S160+P160</f>
        <v>804.6</v>
      </c>
    </row>
    <row r="161" spans="3:34" x14ac:dyDescent="0.25">
      <c r="C161" s="2"/>
      <c r="D161" s="2"/>
      <c r="E161" s="17"/>
      <c r="F161" s="66" t="s">
        <v>56</v>
      </c>
      <c r="G161" s="12"/>
      <c r="H161" s="12"/>
      <c r="I161" s="12"/>
      <c r="J161" s="12"/>
      <c r="K161" s="12" t="s">
        <v>58</v>
      </c>
      <c r="L161" s="58"/>
      <c r="M161" s="12"/>
      <c r="N161" s="12">
        <v>4.58</v>
      </c>
      <c r="O161" s="13"/>
      <c r="P161" s="14">
        <f>N161*I159</f>
        <v>12283.56</v>
      </c>
      <c r="Q161" s="12"/>
      <c r="R161" s="13"/>
      <c r="S161" s="14"/>
      <c r="T161" s="12"/>
      <c r="U161" s="13"/>
      <c r="V161" s="14"/>
      <c r="W161" s="12"/>
      <c r="X161" s="13"/>
      <c r="Y161" s="14"/>
      <c r="Z161" s="12"/>
      <c r="AA161" s="13"/>
      <c r="AB161" s="14"/>
      <c r="AC161" s="12"/>
      <c r="AD161" s="13"/>
      <c r="AE161" s="14"/>
      <c r="AF161" s="7"/>
      <c r="AG161" s="1"/>
      <c r="AH161" s="1">
        <f t="shared" si="62"/>
        <v>12283.56</v>
      </c>
    </row>
    <row r="162" spans="3:34" x14ac:dyDescent="0.25">
      <c r="C162" s="2"/>
      <c r="D162" s="2"/>
      <c r="E162" s="17"/>
      <c r="F162" s="66" t="s">
        <v>56</v>
      </c>
      <c r="G162" s="12"/>
      <c r="H162" s="12"/>
      <c r="I162" s="12"/>
      <c r="J162" s="12"/>
      <c r="K162" s="12" t="s">
        <v>59</v>
      </c>
      <c r="L162" s="58"/>
      <c r="M162" s="12"/>
      <c r="N162" s="12"/>
      <c r="O162" s="13"/>
      <c r="P162" s="14"/>
      <c r="Q162" s="12">
        <v>6.59</v>
      </c>
      <c r="R162" s="13"/>
      <c r="S162" s="14">
        <f>Q162*I159</f>
        <v>17674.38</v>
      </c>
      <c r="T162" s="12"/>
      <c r="U162" s="13"/>
      <c r="V162" s="14"/>
      <c r="W162" s="12"/>
      <c r="X162" s="13"/>
      <c r="Y162" s="14"/>
      <c r="Z162" s="12"/>
      <c r="AA162" s="13"/>
      <c r="AB162" s="14"/>
      <c r="AC162" s="12"/>
      <c r="AD162" s="13"/>
      <c r="AE162" s="14"/>
      <c r="AF162" s="7"/>
      <c r="AG162" s="1"/>
      <c r="AH162" s="1">
        <f t="shared" si="62"/>
        <v>17674.38</v>
      </c>
    </row>
    <row r="163" spans="3:34" x14ac:dyDescent="0.25">
      <c r="C163" s="2"/>
      <c r="D163" s="2"/>
      <c r="E163" s="17"/>
      <c r="F163" s="66" t="s">
        <v>56</v>
      </c>
      <c r="G163" s="12"/>
      <c r="H163" s="12"/>
      <c r="I163" s="12"/>
      <c r="J163" s="12"/>
      <c r="K163" s="12" t="s">
        <v>60</v>
      </c>
      <c r="L163" s="58"/>
      <c r="M163" s="12"/>
      <c r="N163" s="12"/>
      <c r="O163" s="13"/>
      <c r="P163" s="14"/>
      <c r="Q163" s="12"/>
      <c r="R163" s="13"/>
      <c r="S163" s="14"/>
      <c r="T163" s="12">
        <v>0.87</v>
      </c>
      <c r="U163" s="13"/>
      <c r="V163" s="14">
        <f>T163*I159</f>
        <v>2333.34</v>
      </c>
      <c r="W163" s="12"/>
      <c r="X163" s="13"/>
      <c r="Y163" s="14"/>
      <c r="Z163" s="12"/>
      <c r="AA163" s="13"/>
      <c r="AB163" s="14"/>
      <c r="AC163" s="12"/>
      <c r="AD163" s="13"/>
      <c r="AE163" s="14"/>
      <c r="AF163" s="7"/>
      <c r="AG163" s="1"/>
      <c r="AH163" s="1">
        <f t="shared" si="62"/>
        <v>2333.34</v>
      </c>
    </row>
    <row r="164" spans="3:34" x14ac:dyDescent="0.25">
      <c r="C164" s="2"/>
      <c r="D164" s="2"/>
      <c r="E164" s="17"/>
      <c r="F164" s="66" t="s">
        <v>56</v>
      </c>
      <c r="G164" s="12"/>
      <c r="H164" s="12"/>
      <c r="I164" s="12"/>
      <c r="J164" s="12"/>
      <c r="K164" s="12" t="s">
        <v>61</v>
      </c>
      <c r="L164" s="58"/>
      <c r="M164" s="12"/>
      <c r="N164" s="12"/>
      <c r="O164" s="13"/>
      <c r="P164" s="14"/>
      <c r="Q164" s="12"/>
      <c r="R164" s="13"/>
      <c r="S164" s="14"/>
      <c r="T164" s="12"/>
      <c r="U164" s="13"/>
      <c r="V164" s="14"/>
      <c r="W164" s="12">
        <v>0.13</v>
      </c>
      <c r="X164" s="13"/>
      <c r="Y164" s="14">
        <f>W164*I159</f>
        <v>348.66</v>
      </c>
      <c r="Z164" s="12"/>
      <c r="AA164" s="13"/>
      <c r="AB164" s="14"/>
      <c r="AC164" s="12"/>
      <c r="AD164" s="13"/>
      <c r="AE164" s="14"/>
      <c r="AF164" s="7"/>
      <c r="AG164" s="1"/>
      <c r="AH164" s="1">
        <f t="shared" si="62"/>
        <v>348.66</v>
      </c>
    </row>
    <row r="165" spans="3:34" x14ac:dyDescent="0.25">
      <c r="C165" s="2"/>
      <c r="D165" s="2"/>
      <c r="E165" s="17"/>
      <c r="F165" s="66" t="s">
        <v>56</v>
      </c>
      <c r="G165" s="12"/>
      <c r="H165" s="12"/>
      <c r="I165" s="12"/>
      <c r="J165" s="12"/>
      <c r="K165" s="12" t="s">
        <v>62</v>
      </c>
      <c r="L165" s="58"/>
      <c r="M165" s="12"/>
      <c r="N165" s="12"/>
      <c r="O165" s="13"/>
      <c r="P165" s="14"/>
      <c r="Q165" s="12"/>
      <c r="R165" s="13"/>
      <c r="S165" s="14"/>
      <c r="T165" s="12"/>
      <c r="U165" s="13"/>
      <c r="V165" s="14"/>
      <c r="W165" s="12"/>
      <c r="X165" s="13"/>
      <c r="Y165" s="14"/>
      <c r="Z165" s="12"/>
      <c r="AA165" s="13"/>
      <c r="AB165" s="14"/>
      <c r="AC165" s="12">
        <v>0.39</v>
      </c>
      <c r="AD165" s="13"/>
      <c r="AE165" s="14">
        <f>AC165*I159</f>
        <v>1045.98</v>
      </c>
      <c r="AF165" s="7"/>
      <c r="AG165" s="1"/>
      <c r="AH165" s="1">
        <f t="shared" si="62"/>
        <v>1045.98</v>
      </c>
    </row>
    <row r="166" spans="3:34" x14ac:dyDescent="0.25">
      <c r="C166" s="2"/>
      <c r="D166" s="2"/>
      <c r="E166" s="17"/>
      <c r="F166" s="44" t="s">
        <v>29</v>
      </c>
      <c r="G166" s="4"/>
      <c r="H166" s="4"/>
      <c r="I166" s="4"/>
      <c r="J166" s="4">
        <f>2*9500</f>
        <v>19000</v>
      </c>
      <c r="K166" s="4" t="s">
        <v>37</v>
      </c>
      <c r="L166" s="58">
        <v>382230</v>
      </c>
      <c r="M166" s="4">
        <f>J166*L166/100</f>
        <v>72623700</v>
      </c>
      <c r="N166" s="9"/>
      <c r="O166" s="10">
        <v>1.8100000000000002E-2</v>
      </c>
      <c r="P166" s="3">
        <f t="shared" si="56"/>
        <v>1314488.9700000002</v>
      </c>
      <c r="Q166" s="9"/>
      <c r="R166" s="10">
        <v>3.0000000000000001E-3</v>
      </c>
      <c r="S166" s="3">
        <f t="shared" si="57"/>
        <v>217871.1</v>
      </c>
      <c r="T166" s="9"/>
      <c r="U166" s="10">
        <v>7.6E-3</v>
      </c>
      <c r="V166" s="3">
        <f t="shared" si="58"/>
        <v>551940.12</v>
      </c>
      <c r="W166" s="9"/>
      <c r="X166" s="10">
        <v>5.1000000000000004E-3</v>
      </c>
      <c r="Y166" s="3">
        <f t="shared" si="59"/>
        <v>370380.87000000005</v>
      </c>
      <c r="Z166" s="9"/>
      <c r="AA166" s="10"/>
      <c r="AB166" s="3">
        <f t="shared" si="60"/>
        <v>0</v>
      </c>
      <c r="AC166" s="9"/>
      <c r="AD166" s="10">
        <v>1.4E-3</v>
      </c>
      <c r="AE166" s="3">
        <f t="shared" si="61"/>
        <v>101673.18</v>
      </c>
      <c r="AF166" s="7" t="e">
        <f>#REF!+#REF!+#REF!+#REF!+#REF!+#REF!+#REF!+#REF!+#REF!+#REF!+#REF!+#REF!</f>
        <v>#REF!</v>
      </c>
      <c r="AG166" s="1" t="e">
        <f>#REF!+#REF!+#REF!+#REF!+#REF!+#REF!+#REF!+#REF!+#REF!+#REF!+#REF!+#REF!-M166</f>
        <v>#REF!</v>
      </c>
      <c r="AH166" s="1">
        <f t="shared" si="4"/>
        <v>2556354.2400000002</v>
      </c>
    </row>
    <row r="167" spans="3:34" x14ac:dyDescent="0.25">
      <c r="C167" s="2"/>
      <c r="D167" s="2"/>
      <c r="E167" s="17"/>
      <c r="F167" s="66" t="s">
        <v>56</v>
      </c>
      <c r="G167" s="4"/>
      <c r="H167" s="4"/>
      <c r="I167" s="4"/>
      <c r="J167" s="4"/>
      <c r="K167" s="4" t="s">
        <v>63</v>
      </c>
      <c r="L167" s="58"/>
      <c r="M167" s="4"/>
      <c r="N167" s="4">
        <v>4.67</v>
      </c>
      <c r="O167" s="6"/>
      <c r="P167" s="3">
        <f>N167*J166</f>
        <v>88730</v>
      </c>
      <c r="Q167" s="4"/>
      <c r="R167" s="6"/>
      <c r="S167" s="3"/>
      <c r="T167" s="4"/>
      <c r="U167" s="6"/>
      <c r="V167" s="3"/>
      <c r="W167" s="4"/>
      <c r="X167" s="6"/>
      <c r="Y167" s="3"/>
      <c r="Z167" s="4"/>
      <c r="AA167" s="6"/>
      <c r="AB167" s="3"/>
      <c r="AC167" s="4"/>
      <c r="AD167" s="6"/>
      <c r="AE167" s="3"/>
      <c r="AF167" s="7"/>
      <c r="AG167" s="1"/>
      <c r="AH167" s="1">
        <f t="shared" si="4"/>
        <v>88730</v>
      </c>
    </row>
    <row r="168" spans="3:34" x14ac:dyDescent="0.25">
      <c r="C168" s="2"/>
      <c r="D168" s="2"/>
      <c r="E168" s="17"/>
      <c r="F168" s="66" t="s">
        <v>56</v>
      </c>
      <c r="G168" s="4"/>
      <c r="H168" s="4"/>
      <c r="I168" s="4"/>
      <c r="J168" s="4"/>
      <c r="K168" s="4" t="s">
        <v>64</v>
      </c>
      <c r="L168" s="58"/>
      <c r="M168" s="4"/>
      <c r="N168" s="4"/>
      <c r="O168" s="6"/>
      <c r="P168" s="3"/>
      <c r="Q168" s="4">
        <v>0.86</v>
      </c>
      <c r="R168" s="6"/>
      <c r="S168" s="3">
        <f>Q168*J166</f>
        <v>16340</v>
      </c>
      <c r="T168" s="4"/>
      <c r="U168" s="6"/>
      <c r="V168" s="3"/>
      <c r="W168" s="4"/>
      <c r="X168" s="6"/>
      <c r="Y168" s="3"/>
      <c r="Z168" s="4"/>
      <c r="AA168" s="6"/>
      <c r="AB168" s="3"/>
      <c r="AC168" s="4"/>
      <c r="AD168" s="6"/>
      <c r="AE168" s="3"/>
      <c r="AF168" s="7"/>
      <c r="AG168" s="1"/>
      <c r="AH168" s="1">
        <f t="shared" si="4"/>
        <v>16340</v>
      </c>
    </row>
    <row r="169" spans="3:34" x14ac:dyDescent="0.25">
      <c r="C169" s="2"/>
      <c r="D169" s="2"/>
      <c r="E169" s="17"/>
      <c r="F169" s="66" t="s">
        <v>56</v>
      </c>
      <c r="G169" s="12"/>
      <c r="H169" s="12"/>
      <c r="I169" s="12"/>
      <c r="J169" s="12"/>
      <c r="K169" s="12" t="s">
        <v>65</v>
      </c>
      <c r="L169" s="58"/>
      <c r="M169" s="12"/>
      <c r="N169" s="12"/>
      <c r="O169" s="13"/>
      <c r="P169" s="14"/>
      <c r="Q169" s="12"/>
      <c r="R169" s="13"/>
      <c r="S169" s="14"/>
      <c r="T169" s="12">
        <v>1.94</v>
      </c>
      <c r="U169" s="13"/>
      <c r="V169" s="14">
        <f>T169*J166</f>
        <v>36860</v>
      </c>
      <c r="W169" s="12"/>
      <c r="X169" s="13"/>
      <c r="Y169" s="14"/>
      <c r="Z169" s="12"/>
      <c r="AA169" s="13"/>
      <c r="AB169" s="14"/>
      <c r="AC169" s="12"/>
      <c r="AD169" s="13"/>
      <c r="AE169" s="14"/>
      <c r="AF169" s="7"/>
      <c r="AG169" s="1"/>
      <c r="AH169" s="1">
        <f t="shared" si="4"/>
        <v>36860</v>
      </c>
    </row>
    <row r="170" spans="3:34" x14ac:dyDescent="0.25">
      <c r="C170" s="2"/>
      <c r="D170" s="2"/>
      <c r="E170" s="17"/>
      <c r="F170" s="66" t="s">
        <v>56</v>
      </c>
      <c r="G170" s="12"/>
      <c r="H170" s="12"/>
      <c r="I170" s="12"/>
      <c r="J170" s="12"/>
      <c r="K170" s="12" t="s">
        <v>66</v>
      </c>
      <c r="L170" s="58"/>
      <c r="M170" s="12"/>
      <c r="N170" s="12"/>
      <c r="O170" s="13"/>
      <c r="P170" s="14"/>
      <c r="Q170" s="12"/>
      <c r="R170" s="13"/>
      <c r="S170" s="14"/>
      <c r="T170" s="12"/>
      <c r="U170" s="13"/>
      <c r="V170" s="14"/>
      <c r="W170" s="12">
        <v>1.32</v>
      </c>
      <c r="X170" s="13"/>
      <c r="Y170" s="14">
        <f>W170*J166</f>
        <v>25080</v>
      </c>
      <c r="Z170" s="12"/>
      <c r="AA170" s="13"/>
      <c r="AB170" s="14"/>
      <c r="AC170" s="12"/>
      <c r="AD170" s="13"/>
      <c r="AE170" s="14"/>
      <c r="AF170" s="7"/>
      <c r="AG170" s="1"/>
      <c r="AH170" s="1">
        <f t="shared" si="4"/>
        <v>25080</v>
      </c>
    </row>
    <row r="171" spans="3:34" x14ac:dyDescent="0.25">
      <c r="C171" s="2"/>
      <c r="D171" s="2"/>
      <c r="E171" s="17"/>
      <c r="F171" s="66" t="s">
        <v>56</v>
      </c>
      <c r="G171" s="12"/>
      <c r="H171" s="12"/>
      <c r="I171" s="12"/>
      <c r="J171" s="12"/>
      <c r="K171" s="12" t="s">
        <v>67</v>
      </c>
      <c r="L171" s="58"/>
      <c r="M171" s="12"/>
      <c r="N171" s="12"/>
      <c r="O171" s="13"/>
      <c r="P171" s="14"/>
      <c r="Q171" s="12"/>
      <c r="R171" s="13"/>
      <c r="S171" s="14"/>
      <c r="T171" s="12"/>
      <c r="U171" s="13"/>
      <c r="V171" s="14"/>
      <c r="W171" s="12"/>
      <c r="X171" s="13"/>
      <c r="Y171" s="14"/>
      <c r="Z171" s="12"/>
      <c r="AA171" s="13"/>
      <c r="AB171" s="14"/>
      <c r="AC171" s="12">
        <v>0.53</v>
      </c>
      <c r="AD171" s="13"/>
      <c r="AE171" s="14">
        <f>AC171*J166</f>
        <v>10070</v>
      </c>
      <c r="AF171" s="7"/>
      <c r="AG171" s="1"/>
      <c r="AH171" s="1">
        <f t="shared" si="4"/>
        <v>10070</v>
      </c>
    </row>
    <row r="172" spans="3:34" ht="48" thickBot="1" x14ac:dyDescent="0.3">
      <c r="C172" s="15"/>
      <c r="D172" s="15"/>
      <c r="E172" s="19"/>
      <c r="F172" s="32" t="s">
        <v>10</v>
      </c>
      <c r="G172" s="27"/>
      <c r="H172" s="27"/>
      <c r="I172" s="27"/>
      <c r="J172" s="27"/>
      <c r="K172" s="27"/>
      <c r="L172" s="59"/>
      <c r="M172" s="33">
        <f>SUM(M145:M171)</f>
        <v>7204458710</v>
      </c>
      <c r="N172" s="33"/>
      <c r="O172" s="28"/>
      <c r="P172" s="68">
        <f>SUM(P145:P171)</f>
        <v>115567628.40599999</v>
      </c>
      <c r="Q172" s="33"/>
      <c r="R172" s="28"/>
      <c r="S172" s="68">
        <f>SUM(S145:S171)</f>
        <v>167482246.00100002</v>
      </c>
      <c r="T172" s="33"/>
      <c r="U172" s="28"/>
      <c r="V172" s="68">
        <f>SUM(V145:V171)</f>
        <v>47521425.926000006</v>
      </c>
      <c r="W172" s="33"/>
      <c r="X172" s="28"/>
      <c r="Y172" s="68">
        <f>SUM(Y145:Y171)</f>
        <v>5245018.449</v>
      </c>
      <c r="Z172" s="33"/>
      <c r="AA172" s="28"/>
      <c r="AB172" s="68">
        <f>SUM(AB145:AB171)</f>
        <v>7214653.1239999989</v>
      </c>
      <c r="AC172" s="33"/>
      <c r="AD172" s="28"/>
      <c r="AE172" s="68">
        <f>SUM(AE145:AE171)</f>
        <v>10106245.344000002</v>
      </c>
      <c r="AF172" s="7" t="e">
        <f>#REF!+#REF!+#REF!+#REF!+#REF!+#REF!+#REF!+#REF!+#REF!+#REF!+#REF!+#REF!</f>
        <v>#REF!</v>
      </c>
      <c r="AG172" s="1" t="e">
        <f>#REF!+#REF!+#REF!+#REF!+#REF!+#REF!+#REF!+#REF!+#REF!+#REF!+#REF!+#REF!-M172</f>
        <v>#REF!</v>
      </c>
      <c r="AH172" s="69">
        <f t="shared" si="4"/>
        <v>353137217.25</v>
      </c>
    </row>
    <row r="173" spans="3:34" ht="31.5" x14ac:dyDescent="0.25">
      <c r="C173" s="2" t="s">
        <v>0</v>
      </c>
      <c r="D173" s="2" t="s">
        <v>1</v>
      </c>
      <c r="E173" s="34" t="s">
        <v>9</v>
      </c>
      <c r="F173" s="31" t="s">
        <v>11</v>
      </c>
      <c r="G173" s="21">
        <v>51690.51</v>
      </c>
      <c r="H173" s="21">
        <v>33039</v>
      </c>
      <c r="I173" s="21"/>
      <c r="J173" s="21"/>
      <c r="K173" s="21" t="s">
        <v>21</v>
      </c>
      <c r="L173" s="60">
        <f>179.64*1000</f>
        <v>179640</v>
      </c>
      <c r="M173" s="21">
        <f>L173*H173</f>
        <v>5935125960</v>
      </c>
      <c r="N173" s="21"/>
      <c r="O173" s="22">
        <v>1.6E-2</v>
      </c>
      <c r="P173" s="23">
        <f t="shared" ref="P173:P180" si="63">O173*$M173</f>
        <v>94962015.359999999</v>
      </c>
      <c r="Q173" s="21"/>
      <c r="R173" s="22">
        <v>2.3300000000000001E-2</v>
      </c>
      <c r="S173" s="3">
        <f t="shared" ref="S173:S180" si="64">R173*$M173</f>
        <v>138288434.868</v>
      </c>
      <c r="T173" s="21"/>
      <c r="U173" s="22">
        <v>7.0000000000000001E-3</v>
      </c>
      <c r="V173" s="3">
        <f t="shared" ref="V173:V180" si="65">U173*$M173</f>
        <v>41545881.719999999</v>
      </c>
      <c r="W173" s="21"/>
      <c r="X173" s="22">
        <v>6.9999999999999999E-4</v>
      </c>
      <c r="Y173" s="3">
        <f t="shared" ref="Y173:Y180" si="66">X173*$M173</f>
        <v>4154588.1719999998</v>
      </c>
      <c r="Z173" s="21"/>
      <c r="AA173" s="22">
        <v>1E-3</v>
      </c>
      <c r="AB173" s="3">
        <f t="shared" ref="AB173:AB180" si="67">AA173*$M173</f>
        <v>5935125.96</v>
      </c>
      <c r="AC173" s="21"/>
      <c r="AD173" s="22">
        <v>1.4E-3</v>
      </c>
      <c r="AE173" s="3">
        <f t="shared" ref="AE173:AE180" si="68">AD173*$M173</f>
        <v>8309176.3439999996</v>
      </c>
      <c r="AF173" s="7" t="e">
        <f>#REF!+#REF!+#REF!+#REF!+#REF!+#REF!+#REF!+#REF!+#REF!+#REF!+#REF!+#REF!</f>
        <v>#REF!</v>
      </c>
      <c r="AG173" s="1" t="e">
        <f>#REF!+#REF!+#REF!+#REF!+#REF!+#REF!+#REF!+#REF!+#REF!+#REF!+#REF!+#REF!-M173</f>
        <v>#REF!</v>
      </c>
      <c r="AH173" s="1">
        <f t="shared" si="4"/>
        <v>293195222.42400002</v>
      </c>
    </row>
    <row r="174" spans="3:34" x14ac:dyDescent="0.25">
      <c r="C174" s="2"/>
      <c r="D174" s="2"/>
      <c r="E174" s="17"/>
      <c r="F174" s="66" t="s">
        <v>48</v>
      </c>
      <c r="G174" s="12"/>
      <c r="H174" s="12"/>
      <c r="I174" s="12"/>
      <c r="J174" s="12"/>
      <c r="K174" s="12" t="s">
        <v>49</v>
      </c>
      <c r="L174" s="58"/>
      <c r="M174" s="12"/>
      <c r="N174" s="12"/>
      <c r="O174" s="13"/>
      <c r="P174" s="14"/>
      <c r="Q174" s="12"/>
      <c r="R174" s="13"/>
      <c r="S174" s="14"/>
      <c r="T174" s="12"/>
      <c r="U174" s="13"/>
      <c r="V174" s="14"/>
      <c r="W174" s="12"/>
      <c r="X174" s="13"/>
      <c r="Y174" s="14"/>
      <c r="Z174" s="12">
        <v>0.22</v>
      </c>
      <c r="AA174" s="13"/>
      <c r="AB174" s="14">
        <f>Z174*H173</f>
        <v>7268.58</v>
      </c>
      <c r="AC174" s="12"/>
      <c r="AD174" s="13"/>
      <c r="AE174" s="14"/>
      <c r="AF174" s="7"/>
      <c r="AG174" s="1"/>
      <c r="AH174" s="1">
        <f t="shared" ref="AH174:AH179" si="69">AE174+AB174+Y174+V174+S174+P174</f>
        <v>7268.58</v>
      </c>
    </row>
    <row r="175" spans="3:34" x14ac:dyDescent="0.25">
      <c r="C175" s="2"/>
      <c r="D175" s="2"/>
      <c r="E175" s="17"/>
      <c r="F175" s="66" t="s">
        <v>48</v>
      </c>
      <c r="G175" s="12"/>
      <c r="H175" s="12"/>
      <c r="I175" s="12"/>
      <c r="J175" s="12"/>
      <c r="K175" s="12" t="s">
        <v>51</v>
      </c>
      <c r="L175" s="58"/>
      <c r="M175" s="12"/>
      <c r="N175" s="12">
        <v>3.29</v>
      </c>
      <c r="O175" s="13"/>
      <c r="P175" s="14">
        <f>N175*H173</f>
        <v>108698.31</v>
      </c>
      <c r="Q175" s="12"/>
      <c r="R175" s="13"/>
      <c r="S175" s="14"/>
      <c r="T175" s="12"/>
      <c r="U175" s="13"/>
      <c r="V175" s="14"/>
      <c r="W175" s="12"/>
      <c r="X175" s="13"/>
      <c r="Y175" s="14"/>
      <c r="Z175" s="12"/>
      <c r="AA175" s="13"/>
      <c r="AB175" s="14"/>
      <c r="AC175" s="12"/>
      <c r="AD175" s="13"/>
      <c r="AE175" s="14"/>
      <c r="AF175" s="7"/>
      <c r="AG175" s="1"/>
      <c r="AH175" s="1">
        <f t="shared" si="69"/>
        <v>108698.31</v>
      </c>
    </row>
    <row r="176" spans="3:34" x14ac:dyDescent="0.25">
      <c r="C176" s="2"/>
      <c r="D176" s="2"/>
      <c r="E176" s="17"/>
      <c r="F176" s="66" t="s">
        <v>48</v>
      </c>
      <c r="G176" s="12"/>
      <c r="H176" s="12"/>
      <c r="I176" s="12"/>
      <c r="J176" s="12"/>
      <c r="K176" s="12" t="s">
        <v>52</v>
      </c>
      <c r="L176" s="58"/>
      <c r="M176" s="12"/>
      <c r="N176" s="12"/>
      <c r="O176" s="13"/>
      <c r="P176" s="14"/>
      <c r="Q176" s="12">
        <v>4.7300000000000004</v>
      </c>
      <c r="R176" s="13"/>
      <c r="S176" s="14">
        <f>Q176*H173</f>
        <v>156274.47</v>
      </c>
      <c r="T176" s="12"/>
      <c r="U176" s="13"/>
      <c r="V176" s="14"/>
      <c r="W176" s="12"/>
      <c r="X176" s="13"/>
      <c r="Y176" s="14"/>
      <c r="Z176" s="12"/>
      <c r="AA176" s="13"/>
      <c r="AB176" s="14"/>
      <c r="AC176" s="12"/>
      <c r="AD176" s="13"/>
      <c r="AE176" s="14"/>
      <c r="AF176" s="7"/>
      <c r="AG176" s="1"/>
      <c r="AH176" s="1">
        <f t="shared" si="69"/>
        <v>156274.47</v>
      </c>
    </row>
    <row r="177" spans="3:34" x14ac:dyDescent="0.25">
      <c r="C177" s="2"/>
      <c r="D177" s="2"/>
      <c r="E177" s="17"/>
      <c r="F177" s="66" t="s">
        <v>48</v>
      </c>
      <c r="G177" s="12"/>
      <c r="H177" s="12"/>
      <c r="I177" s="12"/>
      <c r="J177" s="12"/>
      <c r="K177" s="12" t="s">
        <v>53</v>
      </c>
      <c r="L177" s="58"/>
      <c r="M177" s="12"/>
      <c r="N177" s="12"/>
      <c r="O177" s="13"/>
      <c r="P177" s="14"/>
      <c r="Q177" s="12"/>
      <c r="R177" s="13"/>
      <c r="S177" s="14"/>
      <c r="T177" s="12">
        <v>1.4</v>
      </c>
      <c r="U177" s="13"/>
      <c r="V177" s="14">
        <f>T177*H173</f>
        <v>46254.6</v>
      </c>
      <c r="W177" s="12"/>
      <c r="X177" s="13"/>
      <c r="Y177" s="14"/>
      <c r="Z177" s="12"/>
      <c r="AA177" s="13"/>
      <c r="AB177" s="14"/>
      <c r="AC177" s="12"/>
      <c r="AD177" s="13"/>
      <c r="AE177" s="14"/>
      <c r="AF177" s="7"/>
      <c r="AG177" s="1"/>
      <c r="AH177" s="1">
        <f t="shared" si="69"/>
        <v>46254.6</v>
      </c>
    </row>
    <row r="178" spans="3:34" x14ac:dyDescent="0.25">
      <c r="C178" s="2"/>
      <c r="D178" s="2"/>
      <c r="E178" s="17"/>
      <c r="F178" s="66" t="s">
        <v>48</v>
      </c>
      <c r="G178" s="12"/>
      <c r="H178" s="12"/>
      <c r="I178" s="12"/>
      <c r="J178" s="12"/>
      <c r="K178" s="12" t="s">
        <v>54</v>
      </c>
      <c r="L178" s="58"/>
      <c r="M178" s="12"/>
      <c r="N178" s="12"/>
      <c r="O178" s="13"/>
      <c r="P178" s="14"/>
      <c r="Q178" s="12"/>
      <c r="R178" s="13"/>
      <c r="S178" s="14"/>
      <c r="T178" s="12"/>
      <c r="U178" s="13"/>
      <c r="V178" s="14"/>
      <c r="W178" s="12">
        <v>0.15</v>
      </c>
      <c r="X178" s="13"/>
      <c r="Y178" s="14">
        <f>W178*H173</f>
        <v>4955.8499999999995</v>
      </c>
      <c r="Z178" s="12"/>
      <c r="AA178" s="13"/>
      <c r="AB178" s="14"/>
      <c r="AC178" s="12"/>
      <c r="AD178" s="13"/>
      <c r="AE178" s="14"/>
      <c r="AF178" s="7"/>
      <c r="AG178" s="1"/>
      <c r="AH178" s="1">
        <f t="shared" si="69"/>
        <v>4955.8499999999995</v>
      </c>
    </row>
    <row r="179" spans="3:34" x14ac:dyDescent="0.25">
      <c r="C179" s="2"/>
      <c r="D179" s="2"/>
      <c r="E179" s="17"/>
      <c r="F179" s="66" t="s">
        <v>48</v>
      </c>
      <c r="G179" s="12"/>
      <c r="H179" s="12"/>
      <c r="I179" s="12"/>
      <c r="J179" s="12"/>
      <c r="K179" s="12" t="s">
        <v>55</v>
      </c>
      <c r="L179" s="58"/>
      <c r="M179" s="12"/>
      <c r="N179" s="12"/>
      <c r="O179" s="13"/>
      <c r="P179" s="14"/>
      <c r="Q179" s="12"/>
      <c r="R179" s="13"/>
      <c r="S179" s="14"/>
      <c r="T179" s="12"/>
      <c r="U179" s="13"/>
      <c r="V179" s="14"/>
      <c r="W179" s="12"/>
      <c r="X179" s="13"/>
      <c r="Y179" s="14"/>
      <c r="Z179" s="12"/>
      <c r="AA179" s="13"/>
      <c r="AB179" s="14"/>
      <c r="AC179" s="12">
        <v>0.25</v>
      </c>
      <c r="AD179" s="13"/>
      <c r="AE179" s="14">
        <f>AC179*H173</f>
        <v>8259.75</v>
      </c>
      <c r="AF179" s="7"/>
      <c r="AG179" s="1"/>
      <c r="AH179" s="1">
        <f t="shared" si="69"/>
        <v>8259.75</v>
      </c>
    </row>
    <row r="180" spans="3:34" ht="31.5" x14ac:dyDescent="0.25">
      <c r="C180" s="2"/>
      <c r="D180" s="2"/>
      <c r="E180" s="34"/>
      <c r="F180" s="24" t="s">
        <v>30</v>
      </c>
      <c r="G180" s="4"/>
      <c r="H180" s="4">
        <v>861.5</v>
      </c>
      <c r="I180" s="4"/>
      <c r="J180" s="12"/>
      <c r="K180" s="12" t="s">
        <v>21</v>
      </c>
      <c r="L180" s="61">
        <f>125.81*1000</f>
        <v>125810</v>
      </c>
      <c r="M180" s="12">
        <f>L180*H180</f>
        <v>108385315</v>
      </c>
      <c r="N180" s="12"/>
      <c r="O180" s="13">
        <v>1.6E-2</v>
      </c>
      <c r="P180" s="14">
        <f t="shared" si="63"/>
        <v>1734165.04</v>
      </c>
      <c r="Q180" s="12"/>
      <c r="R180" s="13">
        <v>2.3300000000000001E-2</v>
      </c>
      <c r="S180" s="3">
        <f t="shared" si="64"/>
        <v>2525377.8395000002</v>
      </c>
      <c r="T180" s="12"/>
      <c r="U180" s="13">
        <v>7.0000000000000001E-3</v>
      </c>
      <c r="V180" s="3">
        <f t="shared" si="65"/>
        <v>758697.20499999996</v>
      </c>
      <c r="W180" s="12"/>
      <c r="X180" s="13">
        <v>6.9999999999999999E-4</v>
      </c>
      <c r="Y180" s="3">
        <f t="shared" si="66"/>
        <v>75869.720499999996</v>
      </c>
      <c r="Z180" s="12"/>
      <c r="AA180" s="13">
        <v>1E-3</v>
      </c>
      <c r="AB180" s="3">
        <f t="shared" si="67"/>
        <v>108385.315</v>
      </c>
      <c r="AC180" s="12"/>
      <c r="AD180" s="13">
        <v>1.4E-3</v>
      </c>
      <c r="AE180" s="3">
        <f t="shared" si="68"/>
        <v>151739.44099999999</v>
      </c>
      <c r="AF180" s="7" t="e">
        <f>#REF!+#REF!+#REF!+#REF!+#REF!+#REF!+#REF!+#REF!+#REF!+#REF!+#REF!+#REF!</f>
        <v>#REF!</v>
      </c>
      <c r="AG180" s="1" t="e">
        <f>#REF!+#REF!+#REF!+#REF!+#REF!+#REF!+#REF!+#REF!+#REF!+#REF!+#REF!+#REF!-M180</f>
        <v>#REF!</v>
      </c>
      <c r="AH180" s="1">
        <f t="shared" si="4"/>
        <v>5354234.5610000007</v>
      </c>
    </row>
    <row r="181" spans="3:34" x14ac:dyDescent="0.25">
      <c r="C181" s="2"/>
      <c r="D181" s="2"/>
      <c r="E181" s="17"/>
      <c r="F181" s="66" t="s">
        <v>48</v>
      </c>
      <c r="G181" s="12"/>
      <c r="H181" s="12"/>
      <c r="I181" s="12"/>
      <c r="J181" s="12"/>
      <c r="K181" s="12" t="s">
        <v>49</v>
      </c>
      <c r="L181" s="58"/>
      <c r="M181" s="12"/>
      <c r="N181" s="12"/>
      <c r="O181" s="13"/>
      <c r="P181" s="14"/>
      <c r="Q181" s="12"/>
      <c r="R181" s="13"/>
      <c r="S181" s="14"/>
      <c r="T181" s="12"/>
      <c r="U181" s="13"/>
      <c r="V181" s="14"/>
      <c r="W181" s="12"/>
      <c r="X181" s="13"/>
      <c r="Y181" s="14"/>
      <c r="Z181" s="12">
        <v>0.14000000000000001</v>
      </c>
      <c r="AA181" s="13"/>
      <c r="AB181" s="14">
        <f>Z181*H180</f>
        <v>120.61000000000001</v>
      </c>
      <c r="AC181" s="12"/>
      <c r="AD181" s="13"/>
      <c r="AE181" s="14"/>
      <c r="AF181" s="7"/>
      <c r="AG181" s="1"/>
      <c r="AH181" s="1">
        <f t="shared" ref="AH181:AH186" si="70">AE181+AB181+Y181+V181+S181+P181</f>
        <v>120.61000000000001</v>
      </c>
    </row>
    <row r="182" spans="3:34" x14ac:dyDescent="0.25">
      <c r="C182" s="2"/>
      <c r="D182" s="2"/>
      <c r="E182" s="17"/>
      <c r="F182" s="66" t="s">
        <v>48</v>
      </c>
      <c r="G182" s="12"/>
      <c r="H182" s="12"/>
      <c r="I182" s="12"/>
      <c r="J182" s="12"/>
      <c r="K182" s="12" t="s">
        <v>51</v>
      </c>
      <c r="L182" s="58"/>
      <c r="M182" s="12"/>
      <c r="N182" s="12">
        <v>2.25</v>
      </c>
      <c r="O182" s="13"/>
      <c r="P182" s="14">
        <f>N182*H180</f>
        <v>1938.375</v>
      </c>
      <c r="Q182" s="12"/>
      <c r="R182" s="13"/>
      <c r="S182" s="14"/>
      <c r="T182" s="12"/>
      <c r="U182" s="13"/>
      <c r="V182" s="14"/>
      <c r="W182" s="12"/>
      <c r="X182" s="13"/>
      <c r="Y182" s="14"/>
      <c r="Z182" s="12"/>
      <c r="AA182" s="13"/>
      <c r="AB182" s="14"/>
      <c r="AC182" s="12"/>
      <c r="AD182" s="13"/>
      <c r="AE182" s="14"/>
      <c r="AF182" s="7"/>
      <c r="AG182" s="1"/>
      <c r="AH182" s="1">
        <f t="shared" si="70"/>
        <v>1938.375</v>
      </c>
    </row>
    <row r="183" spans="3:34" x14ac:dyDescent="0.25">
      <c r="C183" s="2"/>
      <c r="D183" s="2"/>
      <c r="E183" s="17"/>
      <c r="F183" s="66" t="s">
        <v>48</v>
      </c>
      <c r="G183" s="12"/>
      <c r="H183" s="12"/>
      <c r="I183" s="12"/>
      <c r="J183" s="12"/>
      <c r="K183" s="12" t="s">
        <v>52</v>
      </c>
      <c r="L183" s="58"/>
      <c r="M183" s="12"/>
      <c r="N183" s="12"/>
      <c r="O183" s="13"/>
      <c r="P183" s="14"/>
      <c r="Q183" s="12">
        <v>3.24</v>
      </c>
      <c r="R183" s="13"/>
      <c r="S183" s="14">
        <f>Q183*H180</f>
        <v>2791.26</v>
      </c>
      <c r="T183" s="12"/>
      <c r="U183" s="13"/>
      <c r="V183" s="14"/>
      <c r="W183" s="12"/>
      <c r="X183" s="13"/>
      <c r="Y183" s="14"/>
      <c r="Z183" s="12"/>
      <c r="AA183" s="13"/>
      <c r="AB183" s="14"/>
      <c r="AC183" s="12"/>
      <c r="AD183" s="13"/>
      <c r="AE183" s="14"/>
      <c r="AF183" s="7"/>
      <c r="AG183" s="1"/>
      <c r="AH183" s="1">
        <f t="shared" si="70"/>
        <v>2791.26</v>
      </c>
    </row>
    <row r="184" spans="3:34" x14ac:dyDescent="0.25">
      <c r="C184" s="2"/>
      <c r="D184" s="2"/>
      <c r="E184" s="17"/>
      <c r="F184" s="66" t="s">
        <v>48</v>
      </c>
      <c r="G184" s="12"/>
      <c r="H184" s="12"/>
      <c r="I184" s="12"/>
      <c r="J184" s="12"/>
      <c r="K184" s="12" t="s">
        <v>53</v>
      </c>
      <c r="L184" s="58"/>
      <c r="M184" s="12"/>
      <c r="N184" s="12"/>
      <c r="O184" s="13"/>
      <c r="P184" s="14"/>
      <c r="Q184" s="12"/>
      <c r="R184" s="13"/>
      <c r="S184" s="14"/>
      <c r="T184" s="12">
        <v>0.95</v>
      </c>
      <c r="U184" s="13"/>
      <c r="V184" s="14">
        <f>T184*H180</f>
        <v>818.42499999999995</v>
      </c>
      <c r="W184" s="12"/>
      <c r="X184" s="13"/>
      <c r="Y184" s="14"/>
      <c r="Z184" s="12"/>
      <c r="AA184" s="13"/>
      <c r="AB184" s="14"/>
      <c r="AC184" s="12"/>
      <c r="AD184" s="13"/>
      <c r="AE184" s="14"/>
      <c r="AF184" s="7"/>
      <c r="AG184" s="1"/>
      <c r="AH184" s="1">
        <f t="shared" si="70"/>
        <v>818.42499999999995</v>
      </c>
    </row>
    <row r="185" spans="3:34" x14ac:dyDescent="0.25">
      <c r="C185" s="2"/>
      <c r="D185" s="2"/>
      <c r="E185" s="17"/>
      <c r="F185" s="66" t="s">
        <v>48</v>
      </c>
      <c r="G185" s="12"/>
      <c r="H185" s="12"/>
      <c r="I185" s="12"/>
      <c r="J185" s="12"/>
      <c r="K185" s="12" t="s">
        <v>54</v>
      </c>
      <c r="L185" s="58"/>
      <c r="M185" s="12"/>
      <c r="N185" s="12"/>
      <c r="O185" s="13"/>
      <c r="P185" s="14"/>
      <c r="Q185" s="12"/>
      <c r="R185" s="13"/>
      <c r="S185" s="14"/>
      <c r="T185" s="12"/>
      <c r="U185" s="13"/>
      <c r="V185" s="14"/>
      <c r="W185" s="12">
        <v>0.1</v>
      </c>
      <c r="X185" s="13"/>
      <c r="Y185" s="14">
        <f>W185*H180</f>
        <v>86.15</v>
      </c>
      <c r="Z185" s="12"/>
      <c r="AA185" s="13"/>
      <c r="AB185" s="14"/>
      <c r="AC185" s="12"/>
      <c r="AD185" s="13"/>
      <c r="AE185" s="14"/>
      <c r="AF185" s="7"/>
      <c r="AG185" s="1"/>
      <c r="AH185" s="1">
        <f t="shared" si="70"/>
        <v>86.15</v>
      </c>
    </row>
    <row r="186" spans="3:34" x14ac:dyDescent="0.25">
      <c r="C186" s="2"/>
      <c r="D186" s="2"/>
      <c r="E186" s="17"/>
      <c r="F186" s="66" t="s">
        <v>48</v>
      </c>
      <c r="G186" s="12"/>
      <c r="H186" s="12"/>
      <c r="I186" s="12"/>
      <c r="J186" s="12"/>
      <c r="K186" s="12" t="s">
        <v>55</v>
      </c>
      <c r="L186" s="58"/>
      <c r="M186" s="12"/>
      <c r="N186" s="12"/>
      <c r="O186" s="13"/>
      <c r="P186" s="14"/>
      <c r="Q186" s="12"/>
      <c r="R186" s="13"/>
      <c r="S186" s="14"/>
      <c r="T186" s="12"/>
      <c r="U186" s="13"/>
      <c r="V186" s="14"/>
      <c r="W186" s="12"/>
      <c r="X186" s="13"/>
      <c r="Y186" s="14"/>
      <c r="Z186" s="12"/>
      <c r="AA186" s="13"/>
      <c r="AB186" s="14"/>
      <c r="AC186" s="12">
        <v>0.17</v>
      </c>
      <c r="AD186" s="13"/>
      <c r="AE186" s="14">
        <f>AC186*H180</f>
        <v>146.45500000000001</v>
      </c>
      <c r="AF186" s="7"/>
      <c r="AG186" s="1"/>
      <c r="AH186" s="1">
        <f t="shared" si="70"/>
        <v>146.45500000000001</v>
      </c>
    </row>
    <row r="187" spans="3:34" x14ac:dyDescent="0.25">
      <c r="C187" s="2"/>
      <c r="D187" s="2"/>
      <c r="E187" s="34"/>
      <c r="F187" s="25" t="s">
        <v>28</v>
      </c>
      <c r="G187" s="4"/>
      <c r="H187" s="4"/>
      <c r="I187" s="4">
        <f>160*3*6</f>
        <v>2880</v>
      </c>
      <c r="J187" s="4"/>
      <c r="K187" s="4" t="s">
        <v>25</v>
      </c>
      <c r="L187" s="58">
        <f>276.67*1000</f>
        <v>276670</v>
      </c>
      <c r="M187" s="4">
        <f>L187*I187</f>
        <v>796809600</v>
      </c>
      <c r="N187" s="4"/>
      <c r="O187" s="6">
        <v>1.5900000000000001E-2</v>
      </c>
      <c r="P187" s="3">
        <f t="shared" ref="P187:P194" si="71">O187*$M187</f>
        <v>12669272.640000001</v>
      </c>
      <c r="Q187" s="4"/>
      <c r="R187" s="6">
        <v>2.4500000000000001E-2</v>
      </c>
      <c r="S187" s="3">
        <f t="shared" ref="S187:S194" si="72">R187*$M187</f>
        <v>19521835.199999999</v>
      </c>
      <c r="T187" s="4"/>
      <c r="U187" s="6">
        <v>2.8999999999999998E-3</v>
      </c>
      <c r="V187" s="3">
        <f t="shared" ref="V187:V194" si="73">U187*$M187</f>
        <v>2310747.84</v>
      </c>
      <c r="W187" s="4"/>
      <c r="X187" s="6">
        <v>5.0000000000000001E-4</v>
      </c>
      <c r="Y187" s="3">
        <f t="shared" ref="Y187:Y194" si="74">X187*$M187</f>
        <v>398404.8</v>
      </c>
      <c r="Z187" s="4"/>
      <c r="AA187" s="6">
        <v>1.1000000000000001E-3</v>
      </c>
      <c r="AB187" s="3">
        <f t="shared" ref="AB187:AB194" si="75">AA187*$M187</f>
        <v>876490.56</v>
      </c>
      <c r="AC187" s="4"/>
      <c r="AD187" s="6">
        <v>1.4E-3</v>
      </c>
      <c r="AE187" s="3">
        <f t="shared" ref="AE187:AE194" si="76">AD187*$M187</f>
        <v>1115533.44</v>
      </c>
      <c r="AF187" s="7" t="e">
        <f>#REF!+#REF!+#REF!+#REF!+#REF!+#REF!+#REF!+#REF!+#REF!+#REF!+#REF!+#REF!</f>
        <v>#REF!</v>
      </c>
      <c r="AG187" s="1" t="e">
        <f>#REF!+#REF!+#REF!+#REF!+#REF!+#REF!+#REF!+#REF!+#REF!+#REF!+#REF!+#REF!-M187</f>
        <v>#REF!</v>
      </c>
      <c r="AH187" s="1">
        <f t="shared" si="4"/>
        <v>36892284.480000004</v>
      </c>
    </row>
    <row r="188" spans="3:34" x14ac:dyDescent="0.25">
      <c r="C188" s="2"/>
      <c r="D188" s="2"/>
      <c r="E188" s="17"/>
      <c r="F188" s="66" t="s">
        <v>56</v>
      </c>
      <c r="G188" s="12"/>
      <c r="H188" s="12"/>
      <c r="I188" s="12"/>
      <c r="J188" s="12"/>
      <c r="K188" s="12" t="s">
        <v>57</v>
      </c>
      <c r="L188" s="58"/>
      <c r="M188" s="12"/>
      <c r="N188" s="12"/>
      <c r="O188" s="13"/>
      <c r="P188" s="14"/>
      <c r="Q188" s="12"/>
      <c r="R188" s="13"/>
      <c r="S188" s="14"/>
      <c r="T188" s="12"/>
      <c r="U188" s="13"/>
      <c r="V188" s="14"/>
      <c r="W188" s="12"/>
      <c r="X188" s="13"/>
      <c r="Y188" s="14"/>
      <c r="Z188" s="12">
        <v>0.3</v>
      </c>
      <c r="AA188" s="13"/>
      <c r="AB188" s="14">
        <f>Z188*I187</f>
        <v>864</v>
      </c>
      <c r="AC188" s="12"/>
      <c r="AD188" s="13"/>
      <c r="AE188" s="14"/>
      <c r="AF188" s="7"/>
      <c r="AG188" s="1"/>
      <c r="AH188" s="1">
        <f t="shared" si="4"/>
        <v>864</v>
      </c>
    </row>
    <row r="189" spans="3:34" x14ac:dyDescent="0.25">
      <c r="C189" s="2"/>
      <c r="D189" s="2"/>
      <c r="E189" s="17"/>
      <c r="F189" s="66" t="s">
        <v>56</v>
      </c>
      <c r="G189" s="12"/>
      <c r="H189" s="12"/>
      <c r="I189" s="12"/>
      <c r="J189" s="12"/>
      <c r="K189" s="12" t="s">
        <v>58</v>
      </c>
      <c r="L189" s="58"/>
      <c r="M189" s="12"/>
      <c r="N189" s="12">
        <v>4.58</v>
      </c>
      <c r="O189" s="13"/>
      <c r="P189" s="14">
        <f>N189*I187</f>
        <v>13190.4</v>
      </c>
      <c r="Q189" s="12"/>
      <c r="R189" s="13"/>
      <c r="S189" s="14"/>
      <c r="T189" s="12"/>
      <c r="U189" s="13"/>
      <c r="V189" s="14"/>
      <c r="W189" s="12"/>
      <c r="X189" s="13"/>
      <c r="Y189" s="14"/>
      <c r="Z189" s="12"/>
      <c r="AA189" s="13"/>
      <c r="AB189" s="14"/>
      <c r="AC189" s="12"/>
      <c r="AD189" s="13"/>
      <c r="AE189" s="14"/>
      <c r="AF189" s="7"/>
      <c r="AG189" s="1"/>
      <c r="AH189" s="1">
        <f t="shared" si="4"/>
        <v>13190.4</v>
      </c>
    </row>
    <row r="190" spans="3:34" x14ac:dyDescent="0.25">
      <c r="C190" s="2"/>
      <c r="D190" s="2"/>
      <c r="E190" s="17"/>
      <c r="F190" s="66" t="s">
        <v>56</v>
      </c>
      <c r="G190" s="12"/>
      <c r="H190" s="12"/>
      <c r="I190" s="12"/>
      <c r="J190" s="12"/>
      <c r="K190" s="12" t="s">
        <v>59</v>
      </c>
      <c r="L190" s="58"/>
      <c r="M190" s="12"/>
      <c r="N190" s="12"/>
      <c r="O190" s="13"/>
      <c r="P190" s="14"/>
      <c r="Q190" s="12">
        <v>6.59</v>
      </c>
      <c r="R190" s="13"/>
      <c r="S190" s="14">
        <f>Q190*I187</f>
        <v>18979.2</v>
      </c>
      <c r="T190" s="12"/>
      <c r="U190" s="13"/>
      <c r="V190" s="14"/>
      <c r="W190" s="12"/>
      <c r="X190" s="13"/>
      <c r="Y190" s="14"/>
      <c r="Z190" s="12"/>
      <c r="AA190" s="13"/>
      <c r="AB190" s="14"/>
      <c r="AC190" s="12"/>
      <c r="AD190" s="13"/>
      <c r="AE190" s="14"/>
      <c r="AF190" s="7"/>
      <c r="AG190" s="1"/>
      <c r="AH190" s="1">
        <f t="shared" si="4"/>
        <v>18979.2</v>
      </c>
    </row>
    <row r="191" spans="3:34" x14ac:dyDescent="0.25">
      <c r="C191" s="2"/>
      <c r="D191" s="2"/>
      <c r="E191" s="17"/>
      <c r="F191" s="66" t="s">
        <v>56</v>
      </c>
      <c r="G191" s="12"/>
      <c r="H191" s="12"/>
      <c r="I191" s="12"/>
      <c r="J191" s="12"/>
      <c r="K191" s="12" t="s">
        <v>60</v>
      </c>
      <c r="L191" s="58"/>
      <c r="M191" s="12"/>
      <c r="N191" s="12"/>
      <c r="O191" s="13"/>
      <c r="P191" s="14"/>
      <c r="Q191" s="12"/>
      <c r="R191" s="13"/>
      <c r="S191" s="14"/>
      <c r="T191" s="12">
        <v>0.87</v>
      </c>
      <c r="U191" s="13"/>
      <c r="V191" s="14">
        <f>T191*I187</f>
        <v>2505.6</v>
      </c>
      <c r="W191" s="12"/>
      <c r="X191" s="13"/>
      <c r="Y191" s="14"/>
      <c r="Z191" s="12"/>
      <c r="AA191" s="13"/>
      <c r="AB191" s="14"/>
      <c r="AC191" s="12"/>
      <c r="AD191" s="13"/>
      <c r="AE191" s="14"/>
      <c r="AF191" s="7"/>
      <c r="AG191" s="1"/>
      <c r="AH191" s="1">
        <f t="shared" si="4"/>
        <v>2505.6</v>
      </c>
    </row>
    <row r="192" spans="3:34" x14ac:dyDescent="0.25">
      <c r="C192" s="2"/>
      <c r="D192" s="2"/>
      <c r="E192" s="17"/>
      <c r="F192" s="66" t="s">
        <v>56</v>
      </c>
      <c r="G192" s="12"/>
      <c r="H192" s="12"/>
      <c r="I192" s="12"/>
      <c r="J192" s="12"/>
      <c r="K192" s="12" t="s">
        <v>61</v>
      </c>
      <c r="L192" s="58"/>
      <c r="M192" s="12"/>
      <c r="N192" s="12"/>
      <c r="O192" s="13"/>
      <c r="P192" s="14"/>
      <c r="Q192" s="12"/>
      <c r="R192" s="13"/>
      <c r="S192" s="14"/>
      <c r="T192" s="12"/>
      <c r="U192" s="13"/>
      <c r="V192" s="14"/>
      <c r="W192" s="12">
        <v>0.13</v>
      </c>
      <c r="X192" s="13"/>
      <c r="Y192" s="14">
        <f>W192*I187</f>
        <v>374.40000000000003</v>
      </c>
      <c r="Z192" s="12"/>
      <c r="AA192" s="13"/>
      <c r="AB192" s="14"/>
      <c r="AC192" s="12"/>
      <c r="AD192" s="13"/>
      <c r="AE192" s="14"/>
      <c r="AF192" s="7"/>
      <c r="AG192" s="1"/>
      <c r="AH192" s="1">
        <f t="shared" si="4"/>
        <v>374.40000000000003</v>
      </c>
    </row>
    <row r="193" spans="3:34" x14ac:dyDescent="0.25">
      <c r="C193" s="2"/>
      <c r="D193" s="2"/>
      <c r="E193" s="17"/>
      <c r="F193" s="66" t="s">
        <v>56</v>
      </c>
      <c r="G193" s="12"/>
      <c r="H193" s="12"/>
      <c r="I193" s="12"/>
      <c r="J193" s="12"/>
      <c r="K193" s="12" t="s">
        <v>62</v>
      </c>
      <c r="L193" s="58"/>
      <c r="M193" s="12"/>
      <c r="N193" s="12"/>
      <c r="O193" s="13"/>
      <c r="P193" s="14"/>
      <c r="Q193" s="12"/>
      <c r="R193" s="13"/>
      <c r="S193" s="14"/>
      <c r="T193" s="12"/>
      <c r="U193" s="13"/>
      <c r="V193" s="14"/>
      <c r="W193" s="12"/>
      <c r="X193" s="13"/>
      <c r="Y193" s="14"/>
      <c r="Z193" s="12"/>
      <c r="AA193" s="13"/>
      <c r="AB193" s="14"/>
      <c r="AC193" s="12">
        <v>0.39</v>
      </c>
      <c r="AD193" s="13"/>
      <c r="AE193" s="14">
        <f>AC193*I187</f>
        <v>1123.2</v>
      </c>
      <c r="AF193" s="7"/>
      <c r="AG193" s="1"/>
      <c r="AH193" s="1">
        <f t="shared" si="4"/>
        <v>1123.2</v>
      </c>
    </row>
    <row r="194" spans="3:34" x14ac:dyDescent="0.25">
      <c r="C194" s="2"/>
      <c r="D194" s="2"/>
      <c r="E194" s="34"/>
      <c r="F194" s="42" t="s">
        <v>29</v>
      </c>
      <c r="G194" s="45"/>
      <c r="H194" s="45"/>
      <c r="I194" s="45"/>
      <c r="J194" s="45">
        <v>0</v>
      </c>
      <c r="K194" s="4" t="s">
        <v>37</v>
      </c>
      <c r="L194" s="58"/>
      <c r="M194" s="4"/>
      <c r="N194" s="9"/>
      <c r="O194" s="10">
        <v>1.8100000000000002E-2</v>
      </c>
      <c r="P194" s="3">
        <f t="shared" si="71"/>
        <v>0</v>
      </c>
      <c r="Q194" s="9"/>
      <c r="R194" s="10">
        <v>3.0000000000000001E-3</v>
      </c>
      <c r="S194" s="3">
        <f t="shared" si="72"/>
        <v>0</v>
      </c>
      <c r="T194" s="9"/>
      <c r="U194" s="10">
        <v>7.6E-3</v>
      </c>
      <c r="V194" s="3">
        <f t="shared" si="73"/>
        <v>0</v>
      </c>
      <c r="W194" s="9"/>
      <c r="X194" s="10">
        <v>5.1000000000000004E-3</v>
      </c>
      <c r="Y194" s="3">
        <f t="shared" si="74"/>
        <v>0</v>
      </c>
      <c r="Z194" s="9"/>
      <c r="AA194" s="10"/>
      <c r="AB194" s="3">
        <f t="shared" si="75"/>
        <v>0</v>
      </c>
      <c r="AC194" s="9"/>
      <c r="AD194" s="10">
        <v>1.4E-3</v>
      </c>
      <c r="AE194" s="3">
        <f t="shared" si="76"/>
        <v>0</v>
      </c>
      <c r="AF194" s="7" t="e">
        <f>#REF!+#REF!+#REF!+#REF!+#REF!+#REF!+#REF!+#REF!+#REF!+#REF!+#REF!+#REF!</f>
        <v>#REF!</v>
      </c>
      <c r="AG194" s="1" t="e">
        <f>#REF!+#REF!+#REF!+#REF!+#REF!+#REF!+#REF!+#REF!+#REF!+#REF!+#REF!+#REF!-M194</f>
        <v>#REF!</v>
      </c>
      <c r="AH194" s="1">
        <f t="shared" si="4"/>
        <v>0</v>
      </c>
    </row>
    <row r="195" spans="3:34" x14ac:dyDescent="0.25">
      <c r="C195" s="2"/>
      <c r="D195" s="2"/>
      <c r="E195" s="17"/>
      <c r="F195" s="66" t="s">
        <v>56</v>
      </c>
      <c r="G195" s="4"/>
      <c r="H195" s="4"/>
      <c r="I195" s="4"/>
      <c r="J195" s="4"/>
      <c r="K195" s="4" t="s">
        <v>63</v>
      </c>
      <c r="L195" s="58"/>
      <c r="M195" s="4"/>
      <c r="N195" s="4">
        <v>4.67</v>
      </c>
      <c r="O195" s="6"/>
      <c r="P195" s="3">
        <f>N195*J194</f>
        <v>0</v>
      </c>
      <c r="Q195" s="4"/>
      <c r="R195" s="6"/>
      <c r="S195" s="3"/>
      <c r="T195" s="4"/>
      <c r="U195" s="6"/>
      <c r="V195" s="3"/>
      <c r="W195" s="4"/>
      <c r="X195" s="6"/>
      <c r="Y195" s="3"/>
      <c r="Z195" s="4"/>
      <c r="AA195" s="6"/>
      <c r="AB195" s="3"/>
      <c r="AC195" s="4"/>
      <c r="AD195" s="6"/>
      <c r="AE195" s="3"/>
      <c r="AF195" s="7"/>
      <c r="AG195" s="1"/>
      <c r="AH195" s="1">
        <f t="shared" ref="AH195:AH199" si="77">AE195+AB195+Y195+V195+S195+P195</f>
        <v>0</v>
      </c>
    </row>
    <row r="196" spans="3:34" x14ac:dyDescent="0.25">
      <c r="C196" s="2"/>
      <c r="D196" s="2"/>
      <c r="E196" s="17"/>
      <c r="F196" s="66" t="s">
        <v>56</v>
      </c>
      <c r="G196" s="4"/>
      <c r="H196" s="4"/>
      <c r="I196" s="4"/>
      <c r="J196" s="4"/>
      <c r="K196" s="4" t="s">
        <v>64</v>
      </c>
      <c r="L196" s="58"/>
      <c r="M196" s="4"/>
      <c r="N196" s="4"/>
      <c r="O196" s="6"/>
      <c r="P196" s="3"/>
      <c r="Q196" s="4">
        <v>0.86</v>
      </c>
      <c r="R196" s="6"/>
      <c r="S196" s="3">
        <f>Q196*J194</f>
        <v>0</v>
      </c>
      <c r="T196" s="4"/>
      <c r="U196" s="6"/>
      <c r="V196" s="3"/>
      <c r="W196" s="4"/>
      <c r="X196" s="6"/>
      <c r="Y196" s="3"/>
      <c r="Z196" s="4"/>
      <c r="AA196" s="6"/>
      <c r="AB196" s="3"/>
      <c r="AC196" s="4"/>
      <c r="AD196" s="6"/>
      <c r="AE196" s="3"/>
      <c r="AF196" s="7"/>
      <c r="AG196" s="1"/>
      <c r="AH196" s="1">
        <f t="shared" si="77"/>
        <v>0</v>
      </c>
    </row>
    <row r="197" spans="3:34" x14ac:dyDescent="0.25">
      <c r="C197" s="2"/>
      <c r="D197" s="2"/>
      <c r="E197" s="17"/>
      <c r="F197" s="66" t="s">
        <v>56</v>
      </c>
      <c r="G197" s="12"/>
      <c r="H197" s="12"/>
      <c r="I197" s="12"/>
      <c r="J197" s="12"/>
      <c r="K197" s="12" t="s">
        <v>65</v>
      </c>
      <c r="L197" s="58"/>
      <c r="M197" s="12"/>
      <c r="N197" s="12"/>
      <c r="O197" s="13"/>
      <c r="P197" s="14"/>
      <c r="Q197" s="12"/>
      <c r="R197" s="13"/>
      <c r="S197" s="14"/>
      <c r="T197" s="12">
        <v>1.94</v>
      </c>
      <c r="U197" s="13"/>
      <c r="V197" s="14">
        <f>T197*J194</f>
        <v>0</v>
      </c>
      <c r="W197" s="12"/>
      <c r="X197" s="13"/>
      <c r="Y197" s="14"/>
      <c r="Z197" s="12"/>
      <c r="AA197" s="13"/>
      <c r="AB197" s="14"/>
      <c r="AC197" s="12"/>
      <c r="AD197" s="13"/>
      <c r="AE197" s="14"/>
      <c r="AF197" s="7"/>
      <c r="AG197" s="1"/>
      <c r="AH197" s="1">
        <f t="shared" si="77"/>
        <v>0</v>
      </c>
    </row>
    <row r="198" spans="3:34" x14ac:dyDescent="0.25">
      <c r="C198" s="2"/>
      <c r="D198" s="2"/>
      <c r="E198" s="17"/>
      <c r="F198" s="66" t="s">
        <v>56</v>
      </c>
      <c r="G198" s="12"/>
      <c r="H198" s="12"/>
      <c r="I198" s="12"/>
      <c r="J198" s="12"/>
      <c r="K198" s="12" t="s">
        <v>66</v>
      </c>
      <c r="L198" s="58"/>
      <c r="M198" s="12"/>
      <c r="N198" s="12"/>
      <c r="O198" s="13"/>
      <c r="P198" s="14"/>
      <c r="Q198" s="12"/>
      <c r="R198" s="13"/>
      <c r="S198" s="14"/>
      <c r="T198" s="12"/>
      <c r="U198" s="13"/>
      <c r="V198" s="14"/>
      <c r="W198" s="12">
        <v>1.32</v>
      </c>
      <c r="X198" s="13"/>
      <c r="Y198" s="14">
        <f>W198*J194</f>
        <v>0</v>
      </c>
      <c r="Z198" s="12"/>
      <c r="AA198" s="13"/>
      <c r="AB198" s="14"/>
      <c r="AC198" s="12"/>
      <c r="AD198" s="13"/>
      <c r="AE198" s="14"/>
      <c r="AF198" s="7"/>
      <c r="AG198" s="1"/>
      <c r="AH198" s="1">
        <f t="shared" si="77"/>
        <v>0</v>
      </c>
    </row>
    <row r="199" spans="3:34" x14ac:dyDescent="0.25">
      <c r="C199" s="2"/>
      <c r="D199" s="2"/>
      <c r="E199" s="17"/>
      <c r="F199" s="66" t="s">
        <v>56</v>
      </c>
      <c r="G199" s="12"/>
      <c r="H199" s="12"/>
      <c r="I199" s="12"/>
      <c r="J199" s="12"/>
      <c r="K199" s="12" t="s">
        <v>67</v>
      </c>
      <c r="L199" s="58"/>
      <c r="M199" s="12"/>
      <c r="N199" s="12"/>
      <c r="O199" s="13"/>
      <c r="P199" s="14"/>
      <c r="Q199" s="12"/>
      <c r="R199" s="13"/>
      <c r="S199" s="14"/>
      <c r="T199" s="12"/>
      <c r="U199" s="13"/>
      <c r="V199" s="14"/>
      <c r="W199" s="12"/>
      <c r="X199" s="13"/>
      <c r="Y199" s="14"/>
      <c r="Z199" s="12"/>
      <c r="AA199" s="13"/>
      <c r="AB199" s="14"/>
      <c r="AC199" s="12">
        <v>0.53</v>
      </c>
      <c r="AD199" s="13"/>
      <c r="AE199" s="14">
        <f>AC199*J194</f>
        <v>0</v>
      </c>
      <c r="AF199" s="7"/>
      <c r="AG199" s="1"/>
      <c r="AH199" s="1">
        <f t="shared" si="77"/>
        <v>0</v>
      </c>
    </row>
    <row r="200" spans="3:34" ht="32.25" thickBot="1" x14ac:dyDescent="0.3">
      <c r="C200" s="15"/>
      <c r="D200" s="15"/>
      <c r="E200" s="35"/>
      <c r="F200" s="32" t="s">
        <v>11</v>
      </c>
      <c r="G200" s="27"/>
      <c r="H200" s="27"/>
      <c r="I200" s="27"/>
      <c r="J200" s="27"/>
      <c r="K200" s="27"/>
      <c r="L200" s="59"/>
      <c r="M200" s="33">
        <f>SUM(M173:M199)</f>
        <v>6840320875</v>
      </c>
      <c r="N200" s="33"/>
      <c r="O200" s="28"/>
      <c r="P200" s="68">
        <f>SUM(P173:P199)</f>
        <v>109489280.12500001</v>
      </c>
      <c r="Q200" s="33"/>
      <c r="R200" s="28"/>
      <c r="S200" s="68">
        <f>SUM(S173:S199)</f>
        <v>160513692.83749998</v>
      </c>
      <c r="T200" s="33"/>
      <c r="U200" s="28"/>
      <c r="V200" s="68">
        <f>SUM(V173:V199)</f>
        <v>44664905.389999993</v>
      </c>
      <c r="W200" s="33"/>
      <c r="X200" s="28"/>
      <c r="Y200" s="68">
        <f>SUM(Y173:Y199)</f>
        <v>4634279.0925000003</v>
      </c>
      <c r="Z200" s="33"/>
      <c r="AA200" s="28"/>
      <c r="AB200" s="68">
        <f>SUM(AB173:AB199)</f>
        <v>6928255.0250000004</v>
      </c>
      <c r="AC200" s="33"/>
      <c r="AD200" s="28"/>
      <c r="AE200" s="68">
        <f>SUM(AE173:AE199)</f>
        <v>9585978.629999999</v>
      </c>
      <c r="AF200" s="7" t="e">
        <f>#REF!+#REF!+#REF!+#REF!+#REF!+#REF!+#REF!+#REF!+#REF!+#REF!+#REF!+#REF!</f>
        <v>#REF!</v>
      </c>
      <c r="AG200" s="1" t="e">
        <f>#REF!+#REF!+#REF!+#REF!+#REF!+#REF!+#REF!+#REF!+#REF!+#REF!+#REF!+#REF!-M200</f>
        <v>#REF!</v>
      </c>
      <c r="AH200" s="69">
        <f t="shared" si="4"/>
        <v>335816391.09999996</v>
      </c>
    </row>
    <row r="201" spans="3:34" ht="63" x14ac:dyDescent="0.25">
      <c r="C201" s="5" t="s">
        <v>12</v>
      </c>
      <c r="D201" s="5" t="s">
        <v>13</v>
      </c>
      <c r="E201" s="34" t="s">
        <v>2</v>
      </c>
      <c r="F201" s="31" t="s">
        <v>15</v>
      </c>
      <c r="G201" s="21">
        <v>19443.84</v>
      </c>
      <c r="H201" s="21">
        <v>12395</v>
      </c>
      <c r="I201" s="21"/>
      <c r="J201" s="21"/>
      <c r="K201" s="21" t="s">
        <v>21</v>
      </c>
      <c r="L201" s="60">
        <f>179.64*1000</f>
        <v>179640</v>
      </c>
      <c r="M201" s="21">
        <f>L201*H201</f>
        <v>2226637800</v>
      </c>
      <c r="N201" s="21"/>
      <c r="O201" s="22">
        <v>1.6E-2</v>
      </c>
      <c r="P201" s="23">
        <f t="shared" ref="P201:P208" si="78">O201*$M201</f>
        <v>35626204.799999997</v>
      </c>
      <c r="Q201" s="21"/>
      <c r="R201" s="22">
        <v>2.3300000000000001E-2</v>
      </c>
      <c r="S201" s="3">
        <f t="shared" ref="S201:S208" si="79">R201*$M201</f>
        <v>51880660.740000002</v>
      </c>
      <c r="T201" s="21"/>
      <c r="U201" s="22">
        <v>7.0000000000000001E-3</v>
      </c>
      <c r="V201" s="3">
        <f t="shared" ref="V201:V208" si="80">U201*$M201</f>
        <v>15586464.6</v>
      </c>
      <c r="W201" s="21"/>
      <c r="X201" s="22">
        <v>6.9999999999999999E-4</v>
      </c>
      <c r="Y201" s="3">
        <f t="shared" ref="Y201:Y208" si="81">X201*$M201</f>
        <v>1558646.46</v>
      </c>
      <c r="Z201" s="21"/>
      <c r="AA201" s="22">
        <v>1E-3</v>
      </c>
      <c r="AB201" s="3">
        <f t="shared" ref="AB201:AB208" si="82">AA201*$M201</f>
        <v>2226637.7999999998</v>
      </c>
      <c r="AC201" s="21"/>
      <c r="AD201" s="22">
        <v>1.4E-3</v>
      </c>
      <c r="AE201" s="3">
        <f t="shared" ref="AE201:AE208" si="83">AD201*$M201</f>
        <v>3117292.92</v>
      </c>
      <c r="AF201" s="7" t="e">
        <f>#REF!+#REF!+#REF!+#REF!+#REF!+#REF!+#REF!+#REF!+#REF!+#REF!+#REF!+#REF!</f>
        <v>#REF!</v>
      </c>
      <c r="AG201" s="1" t="e">
        <f>#REF!+#REF!+#REF!+#REF!+#REF!+#REF!+#REF!+#REF!+#REF!+#REF!+#REF!+#REF!-M201</f>
        <v>#REF!</v>
      </c>
      <c r="AH201" s="1">
        <f t="shared" si="4"/>
        <v>109995907.32000001</v>
      </c>
    </row>
    <row r="202" spans="3:34" x14ac:dyDescent="0.25">
      <c r="C202" s="2"/>
      <c r="D202" s="2"/>
      <c r="E202" s="17"/>
      <c r="F202" s="66" t="s">
        <v>48</v>
      </c>
      <c r="G202" s="12"/>
      <c r="H202" s="12"/>
      <c r="I202" s="12"/>
      <c r="J202" s="12"/>
      <c r="K202" s="12" t="s">
        <v>49</v>
      </c>
      <c r="L202" s="58"/>
      <c r="M202" s="12"/>
      <c r="N202" s="12"/>
      <c r="O202" s="13"/>
      <c r="P202" s="14"/>
      <c r="Q202" s="12"/>
      <c r="R202" s="13"/>
      <c r="S202" s="14"/>
      <c r="T202" s="12"/>
      <c r="U202" s="13"/>
      <c r="V202" s="14"/>
      <c r="W202" s="12"/>
      <c r="X202" s="13"/>
      <c r="Y202" s="14"/>
      <c r="Z202" s="12">
        <v>0.22</v>
      </c>
      <c r="AA202" s="13"/>
      <c r="AB202" s="14">
        <f>Z202*H201</f>
        <v>2726.9</v>
      </c>
      <c r="AC202" s="12"/>
      <c r="AD202" s="13"/>
      <c r="AE202" s="14"/>
      <c r="AF202" s="7"/>
      <c r="AG202" s="1"/>
      <c r="AH202" s="1">
        <f t="shared" si="4"/>
        <v>2726.9</v>
      </c>
    </row>
    <row r="203" spans="3:34" x14ac:dyDescent="0.25">
      <c r="C203" s="2"/>
      <c r="D203" s="2"/>
      <c r="E203" s="17"/>
      <c r="F203" s="66" t="s">
        <v>48</v>
      </c>
      <c r="G203" s="12"/>
      <c r="H203" s="12"/>
      <c r="I203" s="12"/>
      <c r="J203" s="12"/>
      <c r="K203" s="12" t="s">
        <v>51</v>
      </c>
      <c r="L203" s="58"/>
      <c r="M203" s="12"/>
      <c r="N203" s="12">
        <v>3.29</v>
      </c>
      <c r="O203" s="13"/>
      <c r="P203" s="14">
        <f>N203*H201</f>
        <v>40779.550000000003</v>
      </c>
      <c r="Q203" s="12"/>
      <c r="R203" s="13"/>
      <c r="S203" s="14"/>
      <c r="T203" s="12"/>
      <c r="U203" s="13"/>
      <c r="V203" s="14"/>
      <c r="W203" s="12"/>
      <c r="X203" s="13"/>
      <c r="Y203" s="14"/>
      <c r="Z203" s="12"/>
      <c r="AA203" s="13"/>
      <c r="AB203" s="14"/>
      <c r="AC203" s="12"/>
      <c r="AD203" s="13"/>
      <c r="AE203" s="14"/>
      <c r="AF203" s="7"/>
      <c r="AG203" s="1"/>
      <c r="AH203" s="1">
        <f t="shared" si="4"/>
        <v>40779.550000000003</v>
      </c>
    </row>
    <row r="204" spans="3:34" x14ac:dyDescent="0.25">
      <c r="C204" s="2"/>
      <c r="D204" s="2"/>
      <c r="E204" s="17"/>
      <c r="F204" s="66" t="s">
        <v>48</v>
      </c>
      <c r="G204" s="12"/>
      <c r="H204" s="12"/>
      <c r="I204" s="12"/>
      <c r="J204" s="12"/>
      <c r="K204" s="12" t="s">
        <v>52</v>
      </c>
      <c r="L204" s="58"/>
      <c r="M204" s="12"/>
      <c r="N204" s="12"/>
      <c r="O204" s="13"/>
      <c r="P204" s="14"/>
      <c r="Q204" s="12">
        <v>4.7300000000000004</v>
      </c>
      <c r="R204" s="13"/>
      <c r="S204" s="14">
        <f>Q204*H201</f>
        <v>58628.350000000006</v>
      </c>
      <c r="T204" s="12"/>
      <c r="U204" s="13"/>
      <c r="V204" s="14"/>
      <c r="W204" s="12"/>
      <c r="X204" s="13"/>
      <c r="Y204" s="14"/>
      <c r="Z204" s="12"/>
      <c r="AA204" s="13"/>
      <c r="AB204" s="14"/>
      <c r="AC204" s="12"/>
      <c r="AD204" s="13"/>
      <c r="AE204" s="14"/>
      <c r="AF204" s="7"/>
      <c r="AG204" s="1"/>
      <c r="AH204" s="1">
        <f t="shared" si="4"/>
        <v>58628.350000000006</v>
      </c>
    </row>
    <row r="205" spans="3:34" x14ac:dyDescent="0.25">
      <c r="C205" s="2"/>
      <c r="D205" s="2"/>
      <c r="E205" s="17"/>
      <c r="F205" s="66" t="s">
        <v>48</v>
      </c>
      <c r="G205" s="12"/>
      <c r="H205" s="12"/>
      <c r="I205" s="12"/>
      <c r="J205" s="12"/>
      <c r="K205" s="12" t="s">
        <v>53</v>
      </c>
      <c r="L205" s="58"/>
      <c r="M205" s="12"/>
      <c r="N205" s="12"/>
      <c r="O205" s="13"/>
      <c r="P205" s="14"/>
      <c r="Q205" s="12"/>
      <c r="R205" s="13"/>
      <c r="S205" s="14"/>
      <c r="T205" s="12">
        <v>1.4</v>
      </c>
      <c r="U205" s="13"/>
      <c r="V205" s="14">
        <f>T205*H201</f>
        <v>17353</v>
      </c>
      <c r="W205" s="12"/>
      <c r="X205" s="13"/>
      <c r="Y205" s="14"/>
      <c r="Z205" s="12"/>
      <c r="AA205" s="13"/>
      <c r="AB205" s="14"/>
      <c r="AC205" s="12"/>
      <c r="AD205" s="13"/>
      <c r="AE205" s="14"/>
      <c r="AF205" s="7"/>
      <c r="AG205" s="1"/>
      <c r="AH205" s="1">
        <f t="shared" si="4"/>
        <v>17353</v>
      </c>
    </row>
    <row r="206" spans="3:34" x14ac:dyDescent="0.25">
      <c r="C206" s="2"/>
      <c r="D206" s="2"/>
      <c r="E206" s="17"/>
      <c r="F206" s="66" t="s">
        <v>48</v>
      </c>
      <c r="G206" s="12"/>
      <c r="H206" s="12"/>
      <c r="I206" s="12"/>
      <c r="J206" s="12"/>
      <c r="K206" s="12" t="s">
        <v>54</v>
      </c>
      <c r="L206" s="58"/>
      <c r="M206" s="12"/>
      <c r="N206" s="12"/>
      <c r="O206" s="13"/>
      <c r="P206" s="14"/>
      <c r="Q206" s="12"/>
      <c r="R206" s="13"/>
      <c r="S206" s="14"/>
      <c r="T206" s="12"/>
      <c r="U206" s="13"/>
      <c r="V206" s="14"/>
      <c r="W206" s="12">
        <v>0.15</v>
      </c>
      <c r="X206" s="13"/>
      <c r="Y206" s="14">
        <f>W206*H201</f>
        <v>1859.25</v>
      </c>
      <c r="Z206" s="12"/>
      <c r="AA206" s="13"/>
      <c r="AB206" s="14"/>
      <c r="AC206" s="12"/>
      <c r="AD206" s="13"/>
      <c r="AE206" s="14"/>
      <c r="AF206" s="7"/>
      <c r="AG206" s="1"/>
      <c r="AH206" s="1">
        <f t="shared" si="4"/>
        <v>1859.25</v>
      </c>
    </row>
    <row r="207" spans="3:34" x14ac:dyDescent="0.25">
      <c r="C207" s="2"/>
      <c r="D207" s="2"/>
      <c r="E207" s="17"/>
      <c r="F207" s="66" t="s">
        <v>48</v>
      </c>
      <c r="G207" s="12"/>
      <c r="H207" s="12"/>
      <c r="I207" s="12"/>
      <c r="J207" s="12"/>
      <c r="K207" s="12" t="s">
        <v>55</v>
      </c>
      <c r="L207" s="58"/>
      <c r="M207" s="12"/>
      <c r="N207" s="12"/>
      <c r="O207" s="13"/>
      <c r="P207" s="14"/>
      <c r="Q207" s="12"/>
      <c r="R207" s="13"/>
      <c r="S207" s="14"/>
      <c r="T207" s="12"/>
      <c r="U207" s="13"/>
      <c r="V207" s="14"/>
      <c r="W207" s="12"/>
      <c r="X207" s="13"/>
      <c r="Y207" s="14"/>
      <c r="Z207" s="12"/>
      <c r="AA207" s="13"/>
      <c r="AB207" s="14"/>
      <c r="AC207" s="12">
        <v>0.25</v>
      </c>
      <c r="AD207" s="13"/>
      <c r="AE207" s="14">
        <f>AC207*H201</f>
        <v>3098.75</v>
      </c>
      <c r="AF207" s="7"/>
      <c r="AG207" s="1"/>
      <c r="AH207" s="1">
        <f t="shared" si="4"/>
        <v>3098.75</v>
      </c>
    </row>
    <row r="208" spans="3:34" ht="31.5" x14ac:dyDescent="0.25">
      <c r="C208" s="5"/>
      <c r="D208" s="5"/>
      <c r="E208" s="34"/>
      <c r="F208" s="24" t="s">
        <v>30</v>
      </c>
      <c r="G208" s="4"/>
      <c r="H208" s="4">
        <v>374</v>
      </c>
      <c r="I208" s="4"/>
      <c r="J208" s="12"/>
      <c r="K208" s="12" t="s">
        <v>21</v>
      </c>
      <c r="L208" s="61">
        <f>125.81*1000</f>
        <v>125810</v>
      </c>
      <c r="M208" s="12">
        <f>L208*H208</f>
        <v>47052940</v>
      </c>
      <c r="N208" s="12"/>
      <c r="O208" s="13">
        <v>1.6E-2</v>
      </c>
      <c r="P208" s="14">
        <f t="shared" si="78"/>
        <v>752847.04</v>
      </c>
      <c r="Q208" s="12"/>
      <c r="R208" s="13">
        <v>2.3300000000000001E-2</v>
      </c>
      <c r="S208" s="3">
        <f t="shared" si="79"/>
        <v>1096333.5020000001</v>
      </c>
      <c r="T208" s="12"/>
      <c r="U208" s="13">
        <v>7.0000000000000001E-3</v>
      </c>
      <c r="V208" s="3">
        <f t="shared" si="80"/>
        <v>329370.58</v>
      </c>
      <c r="W208" s="12"/>
      <c r="X208" s="13">
        <v>6.9999999999999999E-4</v>
      </c>
      <c r="Y208" s="3">
        <f t="shared" si="81"/>
        <v>32937.057999999997</v>
      </c>
      <c r="Z208" s="12"/>
      <c r="AA208" s="13">
        <v>1E-3</v>
      </c>
      <c r="AB208" s="3">
        <f t="shared" si="82"/>
        <v>47052.94</v>
      </c>
      <c r="AC208" s="12"/>
      <c r="AD208" s="13">
        <v>1.4E-3</v>
      </c>
      <c r="AE208" s="3">
        <f t="shared" si="83"/>
        <v>65874.115999999995</v>
      </c>
      <c r="AF208" s="7" t="e">
        <f>#REF!+#REF!+#REF!+#REF!+#REF!+#REF!+#REF!+#REF!+#REF!+#REF!+#REF!+#REF!</f>
        <v>#REF!</v>
      </c>
      <c r="AG208" s="1" t="e">
        <f>#REF!+#REF!+#REF!+#REF!+#REF!+#REF!+#REF!+#REF!+#REF!+#REF!+#REF!+#REF!-M208</f>
        <v>#REF!</v>
      </c>
      <c r="AH208" s="1">
        <f t="shared" si="4"/>
        <v>2324415.236</v>
      </c>
    </row>
    <row r="209" spans="3:34" x14ac:dyDescent="0.25">
      <c r="C209" s="2"/>
      <c r="D209" s="2"/>
      <c r="E209" s="17"/>
      <c r="F209" s="66" t="s">
        <v>48</v>
      </c>
      <c r="G209" s="12"/>
      <c r="H209" s="12"/>
      <c r="I209" s="12"/>
      <c r="J209" s="12"/>
      <c r="K209" s="12" t="s">
        <v>49</v>
      </c>
      <c r="L209" s="58"/>
      <c r="M209" s="12"/>
      <c r="N209" s="12"/>
      <c r="O209" s="13"/>
      <c r="P209" s="14"/>
      <c r="Q209" s="12"/>
      <c r="R209" s="13"/>
      <c r="S209" s="14"/>
      <c r="T209" s="12"/>
      <c r="U209" s="13"/>
      <c r="V209" s="14"/>
      <c r="W209" s="12"/>
      <c r="X209" s="13"/>
      <c r="Y209" s="14"/>
      <c r="Z209" s="12">
        <v>0.14000000000000001</v>
      </c>
      <c r="AA209" s="13"/>
      <c r="AB209" s="14">
        <f>Z209*H208</f>
        <v>52.360000000000007</v>
      </c>
      <c r="AC209" s="12"/>
      <c r="AD209" s="13"/>
      <c r="AE209" s="14"/>
      <c r="AF209" s="7"/>
      <c r="AG209" s="1"/>
      <c r="AH209" s="1">
        <f t="shared" si="4"/>
        <v>52.360000000000007</v>
      </c>
    </row>
    <row r="210" spans="3:34" x14ac:dyDescent="0.25">
      <c r="C210" s="2"/>
      <c r="D210" s="2"/>
      <c r="E210" s="17"/>
      <c r="F210" s="66" t="s">
        <v>48</v>
      </c>
      <c r="G210" s="12"/>
      <c r="H210" s="12"/>
      <c r="I210" s="12"/>
      <c r="J210" s="12"/>
      <c r="K210" s="12" t="s">
        <v>51</v>
      </c>
      <c r="L210" s="58"/>
      <c r="M210" s="12"/>
      <c r="N210" s="12">
        <v>2.25</v>
      </c>
      <c r="O210" s="13"/>
      <c r="P210" s="14">
        <f>N210*H208</f>
        <v>841.5</v>
      </c>
      <c r="Q210" s="12"/>
      <c r="R210" s="13"/>
      <c r="S210" s="14"/>
      <c r="T210" s="12"/>
      <c r="U210" s="13"/>
      <c r="V210" s="14"/>
      <c r="W210" s="12"/>
      <c r="X210" s="13"/>
      <c r="Y210" s="14"/>
      <c r="Z210" s="12"/>
      <c r="AA210" s="13"/>
      <c r="AB210" s="14"/>
      <c r="AC210" s="12"/>
      <c r="AD210" s="13"/>
      <c r="AE210" s="14"/>
      <c r="AF210" s="7"/>
      <c r="AG210" s="1"/>
      <c r="AH210" s="1">
        <f t="shared" si="4"/>
        <v>841.5</v>
      </c>
    </row>
    <row r="211" spans="3:34" x14ac:dyDescent="0.25">
      <c r="C211" s="2"/>
      <c r="D211" s="2"/>
      <c r="E211" s="17"/>
      <c r="F211" s="66" t="s">
        <v>48</v>
      </c>
      <c r="G211" s="12"/>
      <c r="H211" s="12"/>
      <c r="I211" s="12"/>
      <c r="J211" s="12"/>
      <c r="K211" s="12" t="s">
        <v>52</v>
      </c>
      <c r="L211" s="58"/>
      <c r="M211" s="12"/>
      <c r="N211" s="12"/>
      <c r="O211" s="13"/>
      <c r="P211" s="14"/>
      <c r="Q211" s="12">
        <v>3.24</v>
      </c>
      <c r="R211" s="13"/>
      <c r="S211" s="14">
        <f>Q211*H208</f>
        <v>1211.76</v>
      </c>
      <c r="T211" s="12"/>
      <c r="U211" s="13"/>
      <c r="V211" s="14"/>
      <c r="W211" s="12"/>
      <c r="X211" s="13"/>
      <c r="Y211" s="14"/>
      <c r="Z211" s="12"/>
      <c r="AA211" s="13"/>
      <c r="AB211" s="14"/>
      <c r="AC211" s="12"/>
      <c r="AD211" s="13"/>
      <c r="AE211" s="14"/>
      <c r="AF211" s="7"/>
      <c r="AG211" s="1"/>
      <c r="AH211" s="1">
        <f t="shared" si="4"/>
        <v>1211.76</v>
      </c>
    </row>
    <row r="212" spans="3:34" x14ac:dyDescent="0.25">
      <c r="C212" s="2"/>
      <c r="D212" s="2"/>
      <c r="E212" s="17"/>
      <c r="F212" s="66" t="s">
        <v>48</v>
      </c>
      <c r="G212" s="12"/>
      <c r="H212" s="12"/>
      <c r="I212" s="12"/>
      <c r="J212" s="12"/>
      <c r="K212" s="12" t="s">
        <v>53</v>
      </c>
      <c r="L212" s="58"/>
      <c r="M212" s="12"/>
      <c r="N212" s="12"/>
      <c r="O212" s="13"/>
      <c r="P212" s="14"/>
      <c r="Q212" s="12"/>
      <c r="R212" s="13"/>
      <c r="S212" s="14"/>
      <c r="T212" s="12">
        <v>0.95</v>
      </c>
      <c r="U212" s="13"/>
      <c r="V212" s="14">
        <f>T212*H208</f>
        <v>355.3</v>
      </c>
      <c r="W212" s="12"/>
      <c r="X212" s="13"/>
      <c r="Y212" s="14"/>
      <c r="Z212" s="12"/>
      <c r="AA212" s="13"/>
      <c r="AB212" s="14"/>
      <c r="AC212" s="12"/>
      <c r="AD212" s="13"/>
      <c r="AE212" s="14"/>
      <c r="AF212" s="7"/>
      <c r="AG212" s="1"/>
      <c r="AH212" s="1">
        <f t="shared" si="4"/>
        <v>355.3</v>
      </c>
    </row>
    <row r="213" spans="3:34" x14ac:dyDescent="0.25">
      <c r="C213" s="2"/>
      <c r="D213" s="2"/>
      <c r="E213" s="17"/>
      <c r="F213" s="66" t="s">
        <v>48</v>
      </c>
      <c r="G213" s="12"/>
      <c r="H213" s="12"/>
      <c r="I213" s="12"/>
      <c r="J213" s="12"/>
      <c r="K213" s="12" t="s">
        <v>54</v>
      </c>
      <c r="L213" s="58"/>
      <c r="M213" s="12"/>
      <c r="N213" s="12"/>
      <c r="O213" s="13"/>
      <c r="P213" s="14"/>
      <c r="Q213" s="12"/>
      <c r="R213" s="13"/>
      <c r="S213" s="14"/>
      <c r="T213" s="12"/>
      <c r="U213" s="13"/>
      <c r="V213" s="14"/>
      <c r="W213" s="12">
        <v>0.1</v>
      </c>
      <c r="X213" s="13"/>
      <c r="Y213" s="14">
        <f>W213*H208</f>
        <v>37.4</v>
      </c>
      <c r="Z213" s="12"/>
      <c r="AA213" s="13"/>
      <c r="AB213" s="14"/>
      <c r="AC213" s="12"/>
      <c r="AD213" s="13"/>
      <c r="AE213" s="14"/>
      <c r="AF213" s="7"/>
      <c r="AG213" s="1"/>
      <c r="AH213" s="1">
        <f t="shared" si="4"/>
        <v>37.4</v>
      </c>
    </row>
    <row r="214" spans="3:34" x14ac:dyDescent="0.25">
      <c r="C214" s="2"/>
      <c r="D214" s="2"/>
      <c r="E214" s="17"/>
      <c r="F214" s="66" t="s">
        <v>48</v>
      </c>
      <c r="G214" s="12"/>
      <c r="H214" s="12"/>
      <c r="I214" s="12"/>
      <c r="J214" s="12"/>
      <c r="K214" s="12" t="s">
        <v>55</v>
      </c>
      <c r="L214" s="58"/>
      <c r="M214" s="12"/>
      <c r="N214" s="12"/>
      <c r="O214" s="13"/>
      <c r="P214" s="14"/>
      <c r="Q214" s="12"/>
      <c r="R214" s="13"/>
      <c r="S214" s="14"/>
      <c r="T214" s="12"/>
      <c r="U214" s="13"/>
      <c r="V214" s="14"/>
      <c r="W214" s="12"/>
      <c r="X214" s="13"/>
      <c r="Y214" s="14"/>
      <c r="Z214" s="12"/>
      <c r="AA214" s="13"/>
      <c r="AB214" s="14"/>
      <c r="AC214" s="12">
        <v>0.17</v>
      </c>
      <c r="AD214" s="13"/>
      <c r="AE214" s="14">
        <f>AC214*H208</f>
        <v>63.580000000000005</v>
      </c>
      <c r="AF214" s="7"/>
      <c r="AG214" s="1"/>
      <c r="AH214" s="1">
        <f t="shared" si="4"/>
        <v>63.580000000000005</v>
      </c>
    </row>
    <row r="215" spans="3:34" x14ac:dyDescent="0.25">
      <c r="C215" s="5"/>
      <c r="D215" s="5"/>
      <c r="E215" s="34"/>
      <c r="F215" s="25" t="s">
        <v>28</v>
      </c>
      <c r="G215" s="4"/>
      <c r="H215" s="4"/>
      <c r="I215" s="4">
        <f>72*3*6</f>
        <v>1296</v>
      </c>
      <c r="J215" s="4"/>
      <c r="K215" s="4" t="s">
        <v>25</v>
      </c>
      <c r="L215" s="58">
        <f>276.67*1000</f>
        <v>276670</v>
      </c>
      <c r="M215" s="4">
        <f>L215*I215</f>
        <v>358564320</v>
      </c>
      <c r="N215" s="4"/>
      <c r="O215" s="6">
        <v>1.5900000000000001E-2</v>
      </c>
      <c r="P215" s="3">
        <f t="shared" ref="P215:P222" si="84">O215*$M215</f>
        <v>5701172.6880000001</v>
      </c>
      <c r="Q215" s="4"/>
      <c r="R215" s="6">
        <v>2.4500000000000001E-2</v>
      </c>
      <c r="S215" s="3">
        <f t="shared" ref="S215:S222" si="85">R215*$M215</f>
        <v>8784825.8399999999</v>
      </c>
      <c r="T215" s="4"/>
      <c r="U215" s="6">
        <v>2.8999999999999998E-3</v>
      </c>
      <c r="V215" s="3">
        <f t="shared" ref="V215:V222" si="86">U215*$M215</f>
        <v>1039836.5279999999</v>
      </c>
      <c r="W215" s="4"/>
      <c r="X215" s="6">
        <v>5.0000000000000001E-4</v>
      </c>
      <c r="Y215" s="3">
        <f t="shared" ref="Y215:Y222" si="87">X215*$M215</f>
        <v>179282.16</v>
      </c>
      <c r="Z215" s="4"/>
      <c r="AA215" s="6">
        <v>1.1000000000000001E-3</v>
      </c>
      <c r="AB215" s="3">
        <f t="shared" ref="AB215:AB222" si="88">AA215*$M215</f>
        <v>394420.75200000004</v>
      </c>
      <c r="AC215" s="4"/>
      <c r="AD215" s="6">
        <v>1.4E-3</v>
      </c>
      <c r="AE215" s="3">
        <f t="shared" ref="AE215:AE222" si="89">AD215*$M215</f>
        <v>501990.04800000001</v>
      </c>
      <c r="AF215" s="7" t="e">
        <f>#REF!+#REF!+#REF!+#REF!+#REF!+#REF!+#REF!+#REF!+#REF!+#REF!+#REF!+#REF!</f>
        <v>#REF!</v>
      </c>
      <c r="AG215" s="1" t="e">
        <f>#REF!+#REF!+#REF!+#REF!+#REF!+#REF!+#REF!+#REF!+#REF!+#REF!+#REF!+#REF!-M215</f>
        <v>#REF!</v>
      </c>
      <c r="AH215" s="1">
        <f t="shared" si="4"/>
        <v>16601528.015999999</v>
      </c>
    </row>
    <row r="216" spans="3:34" x14ac:dyDescent="0.25">
      <c r="C216" s="2"/>
      <c r="D216" s="2"/>
      <c r="E216" s="17"/>
      <c r="F216" s="66" t="s">
        <v>56</v>
      </c>
      <c r="G216" s="12"/>
      <c r="H216" s="12"/>
      <c r="I216" s="12"/>
      <c r="J216" s="12"/>
      <c r="K216" s="12" t="s">
        <v>57</v>
      </c>
      <c r="L216" s="58"/>
      <c r="M216" s="12"/>
      <c r="N216" s="12"/>
      <c r="O216" s="13"/>
      <c r="P216" s="14"/>
      <c r="Q216" s="12"/>
      <c r="R216" s="13"/>
      <c r="S216" s="14"/>
      <c r="T216" s="12"/>
      <c r="U216" s="13"/>
      <c r="V216" s="14"/>
      <c r="W216" s="12"/>
      <c r="X216" s="13"/>
      <c r="Y216" s="14"/>
      <c r="Z216" s="12">
        <v>0.3</v>
      </c>
      <c r="AA216" s="13"/>
      <c r="AB216" s="14">
        <f>Z216*I215</f>
        <v>388.8</v>
      </c>
      <c r="AC216" s="12"/>
      <c r="AD216" s="13"/>
      <c r="AE216" s="14"/>
      <c r="AF216" s="7"/>
      <c r="AG216" s="1"/>
      <c r="AH216" s="1">
        <f t="shared" ref="AH216:AH221" si="90">AE216+AB216+Y216+V216+S216+P216</f>
        <v>388.8</v>
      </c>
    </row>
    <row r="217" spans="3:34" x14ac:dyDescent="0.25">
      <c r="C217" s="2"/>
      <c r="D217" s="2"/>
      <c r="E217" s="17"/>
      <c r="F217" s="66" t="s">
        <v>56</v>
      </c>
      <c r="G217" s="12"/>
      <c r="H217" s="12"/>
      <c r="I217" s="12"/>
      <c r="J217" s="12"/>
      <c r="K217" s="12" t="s">
        <v>58</v>
      </c>
      <c r="L217" s="58"/>
      <c r="M217" s="12"/>
      <c r="N217" s="12">
        <v>4.58</v>
      </c>
      <c r="O217" s="13"/>
      <c r="P217" s="14">
        <f>N217*I215</f>
        <v>5935.68</v>
      </c>
      <c r="Q217" s="12"/>
      <c r="R217" s="13"/>
      <c r="S217" s="14"/>
      <c r="T217" s="12"/>
      <c r="U217" s="13"/>
      <c r="V217" s="14"/>
      <c r="W217" s="12"/>
      <c r="X217" s="13"/>
      <c r="Y217" s="14"/>
      <c r="Z217" s="12"/>
      <c r="AA217" s="13"/>
      <c r="AB217" s="14"/>
      <c r="AC217" s="12"/>
      <c r="AD217" s="13"/>
      <c r="AE217" s="14"/>
      <c r="AF217" s="7"/>
      <c r="AG217" s="1"/>
      <c r="AH217" s="1">
        <f t="shared" si="90"/>
        <v>5935.68</v>
      </c>
    </row>
    <row r="218" spans="3:34" x14ac:dyDescent="0.25">
      <c r="C218" s="2"/>
      <c r="D218" s="2"/>
      <c r="E218" s="17"/>
      <c r="F218" s="66" t="s">
        <v>56</v>
      </c>
      <c r="G218" s="12"/>
      <c r="H218" s="12"/>
      <c r="I218" s="12"/>
      <c r="J218" s="12"/>
      <c r="K218" s="12" t="s">
        <v>59</v>
      </c>
      <c r="L218" s="58"/>
      <c r="M218" s="12"/>
      <c r="N218" s="12"/>
      <c r="O218" s="13"/>
      <c r="P218" s="14"/>
      <c r="Q218" s="12">
        <v>6.59</v>
      </c>
      <c r="R218" s="13"/>
      <c r="S218" s="14">
        <f>Q218*I215</f>
        <v>8540.64</v>
      </c>
      <c r="T218" s="12"/>
      <c r="U218" s="13"/>
      <c r="V218" s="14"/>
      <c r="W218" s="12"/>
      <c r="X218" s="13"/>
      <c r="Y218" s="14"/>
      <c r="Z218" s="12"/>
      <c r="AA218" s="13"/>
      <c r="AB218" s="14"/>
      <c r="AC218" s="12"/>
      <c r="AD218" s="13"/>
      <c r="AE218" s="14"/>
      <c r="AF218" s="7"/>
      <c r="AG218" s="1"/>
      <c r="AH218" s="1">
        <f t="shared" si="90"/>
        <v>8540.64</v>
      </c>
    </row>
    <row r="219" spans="3:34" x14ac:dyDescent="0.25">
      <c r="C219" s="2"/>
      <c r="D219" s="2"/>
      <c r="E219" s="17"/>
      <c r="F219" s="66" t="s">
        <v>56</v>
      </c>
      <c r="G219" s="12"/>
      <c r="H219" s="12"/>
      <c r="I219" s="12"/>
      <c r="J219" s="12"/>
      <c r="K219" s="12" t="s">
        <v>60</v>
      </c>
      <c r="L219" s="58"/>
      <c r="M219" s="12"/>
      <c r="N219" s="12"/>
      <c r="O219" s="13"/>
      <c r="P219" s="14"/>
      <c r="Q219" s="12"/>
      <c r="R219" s="13"/>
      <c r="S219" s="14"/>
      <c r="T219" s="12">
        <v>0.87</v>
      </c>
      <c r="U219" s="13"/>
      <c r="V219" s="14">
        <f>T219*I215</f>
        <v>1127.52</v>
      </c>
      <c r="W219" s="12"/>
      <c r="X219" s="13"/>
      <c r="Y219" s="14"/>
      <c r="Z219" s="12"/>
      <c r="AA219" s="13"/>
      <c r="AB219" s="14"/>
      <c r="AC219" s="12"/>
      <c r="AD219" s="13"/>
      <c r="AE219" s="14"/>
      <c r="AF219" s="7"/>
      <c r="AG219" s="1"/>
      <c r="AH219" s="1">
        <f t="shared" si="90"/>
        <v>1127.52</v>
      </c>
    </row>
    <row r="220" spans="3:34" x14ac:dyDescent="0.25">
      <c r="C220" s="2"/>
      <c r="D220" s="2"/>
      <c r="E220" s="17"/>
      <c r="F220" s="66" t="s">
        <v>56</v>
      </c>
      <c r="G220" s="12"/>
      <c r="H220" s="12"/>
      <c r="I220" s="12"/>
      <c r="J220" s="12"/>
      <c r="K220" s="12" t="s">
        <v>61</v>
      </c>
      <c r="L220" s="58"/>
      <c r="M220" s="12"/>
      <c r="N220" s="12"/>
      <c r="O220" s="13"/>
      <c r="P220" s="14"/>
      <c r="Q220" s="12"/>
      <c r="R220" s="13"/>
      <c r="S220" s="14"/>
      <c r="T220" s="12"/>
      <c r="U220" s="13"/>
      <c r="V220" s="14"/>
      <c r="W220" s="12">
        <v>0.13</v>
      </c>
      <c r="X220" s="13"/>
      <c r="Y220" s="14">
        <f>W220*I215</f>
        <v>168.48000000000002</v>
      </c>
      <c r="Z220" s="12"/>
      <c r="AA220" s="13"/>
      <c r="AB220" s="14"/>
      <c r="AC220" s="12"/>
      <c r="AD220" s="13"/>
      <c r="AE220" s="14"/>
      <c r="AF220" s="7"/>
      <c r="AG220" s="1"/>
      <c r="AH220" s="1">
        <f t="shared" si="90"/>
        <v>168.48000000000002</v>
      </c>
    </row>
    <row r="221" spans="3:34" x14ac:dyDescent="0.25">
      <c r="C221" s="2"/>
      <c r="D221" s="2"/>
      <c r="E221" s="17"/>
      <c r="F221" s="66" t="s">
        <v>56</v>
      </c>
      <c r="G221" s="12"/>
      <c r="H221" s="12"/>
      <c r="I221" s="12"/>
      <c r="J221" s="12"/>
      <c r="K221" s="12" t="s">
        <v>62</v>
      </c>
      <c r="L221" s="58"/>
      <c r="M221" s="12"/>
      <c r="N221" s="12"/>
      <c r="O221" s="13"/>
      <c r="P221" s="14"/>
      <c r="Q221" s="12"/>
      <c r="R221" s="13"/>
      <c r="S221" s="14"/>
      <c r="T221" s="12"/>
      <c r="U221" s="13"/>
      <c r="V221" s="14"/>
      <c r="W221" s="12"/>
      <c r="X221" s="13"/>
      <c r="Y221" s="14"/>
      <c r="Z221" s="12"/>
      <c r="AA221" s="13"/>
      <c r="AB221" s="14"/>
      <c r="AC221" s="12">
        <v>0.39</v>
      </c>
      <c r="AD221" s="13"/>
      <c r="AE221" s="14">
        <f>AC221*I215</f>
        <v>505.44</v>
      </c>
      <c r="AF221" s="7"/>
      <c r="AG221" s="1"/>
      <c r="AH221" s="1">
        <f t="shared" si="90"/>
        <v>505.44</v>
      </c>
    </row>
    <row r="222" spans="3:34" x14ac:dyDescent="0.25">
      <c r="C222" s="5"/>
      <c r="D222" s="5"/>
      <c r="E222" s="34"/>
      <c r="F222" s="44" t="s">
        <v>29</v>
      </c>
      <c r="G222" s="4"/>
      <c r="H222" s="4"/>
      <c r="I222" s="4"/>
      <c r="J222" s="4">
        <v>9500</v>
      </c>
      <c r="K222" s="4" t="s">
        <v>37</v>
      </c>
      <c r="L222" s="58">
        <v>382230</v>
      </c>
      <c r="M222" s="4">
        <f>J222*L222/100</f>
        <v>36311850</v>
      </c>
      <c r="N222" s="9"/>
      <c r="O222" s="10">
        <v>1.8100000000000002E-2</v>
      </c>
      <c r="P222" s="3">
        <f t="shared" si="84"/>
        <v>657244.4850000001</v>
      </c>
      <c r="Q222" s="9"/>
      <c r="R222" s="10">
        <v>3.0000000000000001E-3</v>
      </c>
      <c r="S222" s="3">
        <f t="shared" si="85"/>
        <v>108935.55</v>
      </c>
      <c r="T222" s="9"/>
      <c r="U222" s="10">
        <v>7.6E-3</v>
      </c>
      <c r="V222" s="3">
        <f t="shared" si="86"/>
        <v>275970.06</v>
      </c>
      <c r="W222" s="9"/>
      <c r="X222" s="10">
        <v>5.1000000000000004E-3</v>
      </c>
      <c r="Y222" s="3">
        <f t="shared" si="87"/>
        <v>185190.43500000003</v>
      </c>
      <c r="Z222" s="9"/>
      <c r="AA222" s="10"/>
      <c r="AB222" s="3">
        <f t="shared" si="88"/>
        <v>0</v>
      </c>
      <c r="AC222" s="9"/>
      <c r="AD222" s="10">
        <v>1.4E-3</v>
      </c>
      <c r="AE222" s="3">
        <f t="shared" si="89"/>
        <v>50836.59</v>
      </c>
      <c r="AF222" s="7" t="e">
        <f>#REF!+#REF!+#REF!+#REF!+#REF!+#REF!+#REF!+#REF!+#REF!+#REF!+#REF!+#REF!</f>
        <v>#REF!</v>
      </c>
      <c r="AG222" s="1" t="e">
        <f>#REF!+#REF!+#REF!+#REF!+#REF!+#REF!+#REF!+#REF!+#REF!+#REF!+#REF!+#REF!-M222</f>
        <v>#REF!</v>
      </c>
      <c r="AH222" s="1">
        <f t="shared" si="4"/>
        <v>1278177.1200000001</v>
      </c>
    </row>
    <row r="223" spans="3:34" x14ac:dyDescent="0.25">
      <c r="C223" s="2"/>
      <c r="D223" s="2"/>
      <c r="E223" s="17"/>
      <c r="F223" s="66" t="s">
        <v>56</v>
      </c>
      <c r="G223" s="4"/>
      <c r="H223" s="4"/>
      <c r="I223" s="4"/>
      <c r="J223" s="4"/>
      <c r="K223" s="4" t="s">
        <v>63</v>
      </c>
      <c r="L223" s="58"/>
      <c r="M223" s="4"/>
      <c r="N223" s="4">
        <v>4.67</v>
      </c>
      <c r="O223" s="6"/>
      <c r="P223" s="3">
        <f>N223*J222</f>
        <v>44365</v>
      </c>
      <c r="Q223" s="4"/>
      <c r="R223" s="6"/>
      <c r="S223" s="3"/>
      <c r="T223" s="4"/>
      <c r="U223" s="6"/>
      <c r="V223" s="3"/>
      <c r="W223" s="4"/>
      <c r="X223" s="6"/>
      <c r="Y223" s="3"/>
      <c r="Z223" s="4"/>
      <c r="AA223" s="6"/>
      <c r="AB223" s="3"/>
      <c r="AC223" s="4"/>
      <c r="AD223" s="6"/>
      <c r="AE223" s="3"/>
      <c r="AF223" s="7"/>
      <c r="AG223" s="1"/>
      <c r="AH223" s="1">
        <f t="shared" si="4"/>
        <v>44365</v>
      </c>
    </row>
    <row r="224" spans="3:34" x14ac:dyDescent="0.25">
      <c r="C224" s="2"/>
      <c r="D224" s="2"/>
      <c r="E224" s="17"/>
      <c r="F224" s="66" t="s">
        <v>56</v>
      </c>
      <c r="G224" s="4"/>
      <c r="H224" s="4"/>
      <c r="I224" s="4"/>
      <c r="J224" s="4"/>
      <c r="K224" s="4" t="s">
        <v>64</v>
      </c>
      <c r="L224" s="58"/>
      <c r="M224" s="4"/>
      <c r="N224" s="4"/>
      <c r="O224" s="6"/>
      <c r="P224" s="3"/>
      <c r="Q224" s="4">
        <v>0.86</v>
      </c>
      <c r="R224" s="6"/>
      <c r="S224" s="3">
        <f>Q224*J222</f>
        <v>8170</v>
      </c>
      <c r="T224" s="4"/>
      <c r="U224" s="6"/>
      <c r="V224" s="3"/>
      <c r="W224" s="4"/>
      <c r="X224" s="6"/>
      <c r="Y224" s="3"/>
      <c r="Z224" s="4"/>
      <c r="AA224" s="6"/>
      <c r="AB224" s="3"/>
      <c r="AC224" s="4"/>
      <c r="AD224" s="6"/>
      <c r="AE224" s="3"/>
      <c r="AF224" s="7"/>
      <c r="AG224" s="1"/>
      <c r="AH224" s="1">
        <f t="shared" si="4"/>
        <v>8170</v>
      </c>
    </row>
    <row r="225" spans="3:34" x14ac:dyDescent="0.25">
      <c r="C225" s="2"/>
      <c r="D225" s="2"/>
      <c r="E225" s="17"/>
      <c r="F225" s="66" t="s">
        <v>56</v>
      </c>
      <c r="G225" s="12"/>
      <c r="H225" s="12"/>
      <c r="I225" s="12"/>
      <c r="J225" s="12"/>
      <c r="K225" s="12" t="s">
        <v>65</v>
      </c>
      <c r="L225" s="58"/>
      <c r="M225" s="12"/>
      <c r="N225" s="12"/>
      <c r="O225" s="13"/>
      <c r="P225" s="14"/>
      <c r="Q225" s="12"/>
      <c r="R225" s="13"/>
      <c r="S225" s="14"/>
      <c r="T225" s="12">
        <v>1.94</v>
      </c>
      <c r="U225" s="13"/>
      <c r="V225" s="14">
        <f>T225*J222</f>
        <v>18430</v>
      </c>
      <c r="W225" s="12"/>
      <c r="X225" s="13"/>
      <c r="Y225" s="14"/>
      <c r="Z225" s="12"/>
      <c r="AA225" s="13"/>
      <c r="AB225" s="14"/>
      <c r="AC225" s="12"/>
      <c r="AD225" s="13"/>
      <c r="AE225" s="14"/>
      <c r="AF225" s="7"/>
      <c r="AG225" s="1"/>
      <c r="AH225" s="1">
        <f t="shared" si="4"/>
        <v>18430</v>
      </c>
    </row>
    <row r="226" spans="3:34" x14ac:dyDescent="0.25">
      <c r="C226" s="2"/>
      <c r="D226" s="2"/>
      <c r="E226" s="17"/>
      <c r="F226" s="66" t="s">
        <v>56</v>
      </c>
      <c r="G226" s="12"/>
      <c r="H226" s="12"/>
      <c r="I226" s="12"/>
      <c r="J226" s="12"/>
      <c r="K226" s="12" t="s">
        <v>66</v>
      </c>
      <c r="L226" s="58"/>
      <c r="M226" s="12"/>
      <c r="N226" s="12"/>
      <c r="O226" s="13"/>
      <c r="P226" s="14"/>
      <c r="Q226" s="12"/>
      <c r="R226" s="13"/>
      <c r="S226" s="14"/>
      <c r="T226" s="12"/>
      <c r="U226" s="13"/>
      <c r="V226" s="14"/>
      <c r="W226" s="12">
        <v>1.32</v>
      </c>
      <c r="X226" s="13"/>
      <c r="Y226" s="14">
        <f>W226*J222</f>
        <v>12540</v>
      </c>
      <c r="Z226" s="12"/>
      <c r="AA226" s="13"/>
      <c r="AB226" s="14"/>
      <c r="AC226" s="12"/>
      <c r="AD226" s="13"/>
      <c r="AE226" s="14"/>
      <c r="AF226" s="7"/>
      <c r="AG226" s="1"/>
      <c r="AH226" s="1">
        <f t="shared" si="4"/>
        <v>12540</v>
      </c>
    </row>
    <row r="227" spans="3:34" x14ac:dyDescent="0.25">
      <c r="C227" s="2"/>
      <c r="D227" s="2"/>
      <c r="E227" s="17"/>
      <c r="F227" s="66" t="s">
        <v>56</v>
      </c>
      <c r="G227" s="12"/>
      <c r="H227" s="12"/>
      <c r="I227" s="12"/>
      <c r="J227" s="12"/>
      <c r="K227" s="12" t="s">
        <v>67</v>
      </c>
      <c r="L227" s="58"/>
      <c r="M227" s="12"/>
      <c r="N227" s="12"/>
      <c r="O227" s="13"/>
      <c r="P227" s="14"/>
      <c r="Q227" s="12"/>
      <c r="R227" s="13"/>
      <c r="S227" s="14"/>
      <c r="T227" s="12"/>
      <c r="U227" s="13"/>
      <c r="V227" s="14"/>
      <c r="W227" s="12"/>
      <c r="X227" s="13"/>
      <c r="Y227" s="14"/>
      <c r="Z227" s="12"/>
      <c r="AA227" s="13"/>
      <c r="AB227" s="14"/>
      <c r="AC227" s="12">
        <v>0.53</v>
      </c>
      <c r="AD227" s="13"/>
      <c r="AE227" s="14">
        <f>AC227*J222</f>
        <v>5035</v>
      </c>
      <c r="AF227" s="7"/>
      <c r="AG227" s="1"/>
      <c r="AH227" s="1">
        <f t="shared" si="4"/>
        <v>5035</v>
      </c>
    </row>
    <row r="228" spans="3:34" ht="63.75" thickBot="1" x14ac:dyDescent="0.3">
      <c r="C228" s="16"/>
      <c r="D228" s="16"/>
      <c r="E228" s="35"/>
      <c r="F228" s="32" t="s">
        <v>15</v>
      </c>
      <c r="G228" s="27"/>
      <c r="H228" s="27"/>
      <c r="I228" s="27"/>
      <c r="J228" s="27"/>
      <c r="K228" s="27"/>
      <c r="L228" s="59"/>
      <c r="M228" s="27">
        <f>SUM(M201:M227)</f>
        <v>2668566910</v>
      </c>
      <c r="N228" s="27"/>
      <c r="O228" s="28"/>
      <c r="P228" s="27">
        <f>SUM(P201:P227)</f>
        <v>42829390.742999993</v>
      </c>
      <c r="Q228" s="27"/>
      <c r="R228" s="28"/>
      <c r="S228" s="27">
        <f>SUM(S201:S227)</f>
        <v>61947306.381999999</v>
      </c>
      <c r="T228" s="27"/>
      <c r="U228" s="28"/>
      <c r="V228" s="27">
        <f>SUM(V201:V227)</f>
        <v>17268907.588</v>
      </c>
      <c r="W228" s="27"/>
      <c r="X228" s="28"/>
      <c r="Y228" s="27">
        <f>SUM(Y201:Y227)</f>
        <v>1970661.2429999998</v>
      </c>
      <c r="Z228" s="27"/>
      <c r="AA228" s="28"/>
      <c r="AB228" s="27">
        <f>SUM(AB201:AB227)</f>
        <v>2671279.5519999992</v>
      </c>
      <c r="AC228" s="27"/>
      <c r="AD228" s="28"/>
      <c r="AE228" s="27">
        <f>SUM(AE201:AE227)</f>
        <v>3744696.4439999997</v>
      </c>
      <c r="AF228" s="7" t="e">
        <f>#REF!+#REF!+#REF!+#REF!+#REF!+#REF!+#REF!+#REF!+#REF!+#REF!+#REF!+#REF!</f>
        <v>#REF!</v>
      </c>
      <c r="AG228" s="1" t="e">
        <f>#REF!+#REF!+#REF!+#REF!+#REF!+#REF!+#REF!+#REF!+#REF!+#REF!+#REF!+#REF!-M228</f>
        <v>#REF!</v>
      </c>
      <c r="AH228" s="69">
        <f t="shared" si="4"/>
        <v>130432241.95199999</v>
      </c>
    </row>
    <row r="229" spans="3:34" ht="63" x14ac:dyDescent="0.25">
      <c r="C229" s="5" t="s">
        <v>12</v>
      </c>
      <c r="D229" s="5" t="s">
        <v>13</v>
      </c>
      <c r="E229" s="34" t="s">
        <v>9</v>
      </c>
      <c r="F229" s="31" t="s">
        <v>16</v>
      </c>
      <c r="G229" s="21">
        <v>19236.8</v>
      </c>
      <c r="H229" s="21">
        <v>12263</v>
      </c>
      <c r="I229" s="21"/>
      <c r="J229" s="21"/>
      <c r="K229" s="21" t="s">
        <v>21</v>
      </c>
      <c r="L229" s="60">
        <f>179.64*1000</f>
        <v>179640</v>
      </c>
      <c r="M229" s="21">
        <f>L229*H229</f>
        <v>2202925320</v>
      </c>
      <c r="N229" s="21"/>
      <c r="O229" s="22">
        <v>1.6E-2</v>
      </c>
      <c r="P229" s="23">
        <f t="shared" ref="P229:P236" si="91">O229*$M229</f>
        <v>35246805.119999997</v>
      </c>
      <c r="Q229" s="21"/>
      <c r="R229" s="22">
        <v>2.3300000000000001E-2</v>
      </c>
      <c r="S229" s="3">
        <f t="shared" ref="S229:S236" si="92">R229*$M229</f>
        <v>51328159.956</v>
      </c>
      <c r="T229" s="21"/>
      <c r="U229" s="22">
        <v>7.0000000000000001E-3</v>
      </c>
      <c r="V229" s="3">
        <f t="shared" ref="V229:V236" si="93">U229*$M229</f>
        <v>15420477.24</v>
      </c>
      <c r="W229" s="21"/>
      <c r="X229" s="22">
        <v>6.9999999999999999E-4</v>
      </c>
      <c r="Y229" s="3">
        <f t="shared" ref="Y229:Y236" si="94">X229*$M229</f>
        <v>1542047.7239999999</v>
      </c>
      <c r="Z229" s="21"/>
      <c r="AA229" s="22">
        <v>1E-3</v>
      </c>
      <c r="AB229" s="3">
        <f t="shared" ref="AB229:AB236" si="95">AA229*$M229</f>
        <v>2202925.3199999998</v>
      </c>
      <c r="AC229" s="21"/>
      <c r="AD229" s="22">
        <v>1.4E-3</v>
      </c>
      <c r="AE229" s="3">
        <f t="shared" ref="AE229:AE236" si="96">AD229*$M229</f>
        <v>3084095.4479999999</v>
      </c>
      <c r="AF229" s="7" t="e">
        <f>#REF!+#REF!+#REF!+#REF!+#REF!+#REF!+#REF!+#REF!+#REF!+#REF!+#REF!+#REF!</f>
        <v>#REF!</v>
      </c>
      <c r="AG229" s="1" t="e">
        <f>#REF!+#REF!+#REF!+#REF!+#REF!+#REF!+#REF!+#REF!+#REF!+#REF!+#REF!+#REF!-M229</f>
        <v>#REF!</v>
      </c>
      <c r="AH229" s="1">
        <f t="shared" si="4"/>
        <v>108824510.808</v>
      </c>
    </row>
    <row r="230" spans="3:34" x14ac:dyDescent="0.25">
      <c r="C230" s="2"/>
      <c r="D230" s="2"/>
      <c r="E230" s="17"/>
      <c r="F230" s="66" t="s">
        <v>48</v>
      </c>
      <c r="G230" s="12"/>
      <c r="H230" s="12"/>
      <c r="I230" s="12"/>
      <c r="J230" s="12"/>
      <c r="K230" s="12" t="s">
        <v>49</v>
      </c>
      <c r="L230" s="58"/>
      <c r="M230" s="12"/>
      <c r="N230" s="12"/>
      <c r="O230" s="13"/>
      <c r="P230" s="14"/>
      <c r="Q230" s="12"/>
      <c r="R230" s="13"/>
      <c r="S230" s="14"/>
      <c r="T230" s="12"/>
      <c r="U230" s="13"/>
      <c r="V230" s="14"/>
      <c r="W230" s="12"/>
      <c r="X230" s="13"/>
      <c r="Y230" s="14"/>
      <c r="Z230" s="12">
        <v>0.22</v>
      </c>
      <c r="AA230" s="13"/>
      <c r="AB230" s="14">
        <f>Z230*H229</f>
        <v>2697.86</v>
      </c>
      <c r="AC230" s="12"/>
      <c r="AD230" s="13"/>
      <c r="AE230" s="14"/>
      <c r="AF230" s="7"/>
      <c r="AG230" s="1"/>
      <c r="AH230" s="1">
        <f t="shared" ref="AH230:AH235" si="97">AE230+AB230+Y230+V230+S230+P230</f>
        <v>2697.86</v>
      </c>
    </row>
    <row r="231" spans="3:34" x14ac:dyDescent="0.25">
      <c r="C231" s="2"/>
      <c r="D231" s="2"/>
      <c r="E231" s="17"/>
      <c r="F231" s="66" t="s">
        <v>48</v>
      </c>
      <c r="G231" s="12"/>
      <c r="H231" s="12"/>
      <c r="I231" s="12"/>
      <c r="J231" s="12"/>
      <c r="K231" s="12" t="s">
        <v>51</v>
      </c>
      <c r="L231" s="58"/>
      <c r="M231" s="12"/>
      <c r="N231" s="12">
        <v>3.29</v>
      </c>
      <c r="O231" s="13"/>
      <c r="P231" s="14">
        <f>N231*H229</f>
        <v>40345.270000000004</v>
      </c>
      <c r="Q231" s="12"/>
      <c r="R231" s="13"/>
      <c r="S231" s="14"/>
      <c r="T231" s="12"/>
      <c r="U231" s="13"/>
      <c r="V231" s="14"/>
      <c r="W231" s="12"/>
      <c r="X231" s="13"/>
      <c r="Y231" s="14"/>
      <c r="Z231" s="12"/>
      <c r="AA231" s="13"/>
      <c r="AB231" s="14"/>
      <c r="AC231" s="12"/>
      <c r="AD231" s="13"/>
      <c r="AE231" s="14"/>
      <c r="AF231" s="7"/>
      <c r="AG231" s="1"/>
      <c r="AH231" s="1">
        <f t="shared" si="97"/>
        <v>40345.270000000004</v>
      </c>
    </row>
    <row r="232" spans="3:34" x14ac:dyDescent="0.25">
      <c r="C232" s="2"/>
      <c r="D232" s="2"/>
      <c r="E232" s="17"/>
      <c r="F232" s="66" t="s">
        <v>48</v>
      </c>
      <c r="G232" s="12"/>
      <c r="H232" s="12"/>
      <c r="I232" s="12"/>
      <c r="J232" s="12"/>
      <c r="K232" s="12" t="s">
        <v>52</v>
      </c>
      <c r="L232" s="58"/>
      <c r="M232" s="12"/>
      <c r="N232" s="12"/>
      <c r="O232" s="13"/>
      <c r="P232" s="14"/>
      <c r="Q232" s="12">
        <v>4.7300000000000004</v>
      </c>
      <c r="R232" s="13"/>
      <c r="S232" s="14">
        <f>Q232*H229</f>
        <v>58003.990000000005</v>
      </c>
      <c r="T232" s="12"/>
      <c r="U232" s="13"/>
      <c r="V232" s="14"/>
      <c r="W232" s="12"/>
      <c r="X232" s="13"/>
      <c r="Y232" s="14"/>
      <c r="Z232" s="12"/>
      <c r="AA232" s="13"/>
      <c r="AB232" s="14"/>
      <c r="AC232" s="12"/>
      <c r="AD232" s="13"/>
      <c r="AE232" s="14"/>
      <c r="AF232" s="7"/>
      <c r="AG232" s="1"/>
      <c r="AH232" s="1">
        <f t="shared" si="97"/>
        <v>58003.990000000005</v>
      </c>
    </row>
    <row r="233" spans="3:34" x14ac:dyDescent="0.25">
      <c r="C233" s="2"/>
      <c r="D233" s="2"/>
      <c r="E233" s="17"/>
      <c r="F233" s="66" t="s">
        <v>48</v>
      </c>
      <c r="G233" s="12"/>
      <c r="H233" s="12"/>
      <c r="I233" s="12"/>
      <c r="J233" s="12"/>
      <c r="K233" s="12" t="s">
        <v>53</v>
      </c>
      <c r="L233" s="58"/>
      <c r="M233" s="12"/>
      <c r="N233" s="12"/>
      <c r="O233" s="13"/>
      <c r="P233" s="14"/>
      <c r="Q233" s="12"/>
      <c r="R233" s="13"/>
      <c r="S233" s="14"/>
      <c r="T233" s="12">
        <v>1.4</v>
      </c>
      <c r="U233" s="13"/>
      <c r="V233" s="14">
        <f>T233*H229</f>
        <v>17168.2</v>
      </c>
      <c r="W233" s="12"/>
      <c r="X233" s="13"/>
      <c r="Y233" s="14"/>
      <c r="Z233" s="12"/>
      <c r="AA233" s="13"/>
      <c r="AB233" s="14"/>
      <c r="AC233" s="12"/>
      <c r="AD233" s="13"/>
      <c r="AE233" s="14"/>
      <c r="AF233" s="7"/>
      <c r="AG233" s="1"/>
      <c r="AH233" s="1">
        <f t="shared" si="97"/>
        <v>17168.2</v>
      </c>
    </row>
    <row r="234" spans="3:34" x14ac:dyDescent="0.25">
      <c r="C234" s="2"/>
      <c r="D234" s="2"/>
      <c r="E234" s="17"/>
      <c r="F234" s="66" t="s">
        <v>48</v>
      </c>
      <c r="G234" s="12"/>
      <c r="H234" s="12"/>
      <c r="I234" s="12"/>
      <c r="J234" s="12"/>
      <c r="K234" s="12" t="s">
        <v>54</v>
      </c>
      <c r="L234" s="58"/>
      <c r="M234" s="12"/>
      <c r="N234" s="12"/>
      <c r="O234" s="13"/>
      <c r="P234" s="14"/>
      <c r="Q234" s="12"/>
      <c r="R234" s="13"/>
      <c r="S234" s="14"/>
      <c r="T234" s="12"/>
      <c r="U234" s="13"/>
      <c r="V234" s="14"/>
      <c r="W234" s="12">
        <v>0.15</v>
      </c>
      <c r="X234" s="13"/>
      <c r="Y234" s="14">
        <f>W234*H229</f>
        <v>1839.45</v>
      </c>
      <c r="Z234" s="12"/>
      <c r="AA234" s="13"/>
      <c r="AB234" s="14"/>
      <c r="AC234" s="12"/>
      <c r="AD234" s="13"/>
      <c r="AE234" s="14"/>
      <c r="AF234" s="7"/>
      <c r="AG234" s="1"/>
      <c r="AH234" s="1">
        <f t="shared" si="97"/>
        <v>1839.45</v>
      </c>
    </row>
    <row r="235" spans="3:34" x14ac:dyDescent="0.25">
      <c r="C235" s="2"/>
      <c r="D235" s="2"/>
      <c r="E235" s="17"/>
      <c r="F235" s="66" t="s">
        <v>48</v>
      </c>
      <c r="G235" s="12"/>
      <c r="H235" s="12"/>
      <c r="I235" s="12"/>
      <c r="J235" s="12"/>
      <c r="K235" s="12" t="s">
        <v>55</v>
      </c>
      <c r="L235" s="58"/>
      <c r="M235" s="12"/>
      <c r="N235" s="12"/>
      <c r="O235" s="13"/>
      <c r="P235" s="14"/>
      <c r="Q235" s="12"/>
      <c r="R235" s="13"/>
      <c r="S235" s="14"/>
      <c r="T235" s="12"/>
      <c r="U235" s="13"/>
      <c r="V235" s="14"/>
      <c r="W235" s="12"/>
      <c r="X235" s="13"/>
      <c r="Y235" s="14"/>
      <c r="Z235" s="12"/>
      <c r="AA235" s="13"/>
      <c r="AB235" s="14"/>
      <c r="AC235" s="12">
        <v>0.25</v>
      </c>
      <c r="AD235" s="13"/>
      <c r="AE235" s="14">
        <f>AC235*H229</f>
        <v>3065.75</v>
      </c>
      <c r="AF235" s="7"/>
      <c r="AG235" s="1"/>
      <c r="AH235" s="1">
        <f t="shared" si="97"/>
        <v>3065.75</v>
      </c>
    </row>
    <row r="236" spans="3:34" ht="31.5" x14ac:dyDescent="0.25">
      <c r="C236" s="5"/>
      <c r="D236" s="5"/>
      <c r="E236" s="34"/>
      <c r="F236" s="24" t="s">
        <v>30</v>
      </c>
      <c r="G236" s="4"/>
      <c r="H236" s="4">
        <v>370</v>
      </c>
      <c r="I236" s="4"/>
      <c r="J236" s="12"/>
      <c r="K236" s="12" t="s">
        <v>21</v>
      </c>
      <c r="L236" s="61">
        <f>125.81*1000</f>
        <v>125810</v>
      </c>
      <c r="M236" s="12">
        <f>L236*H236</f>
        <v>46549700</v>
      </c>
      <c r="N236" s="12"/>
      <c r="O236" s="13">
        <v>1.6E-2</v>
      </c>
      <c r="P236" s="14">
        <f t="shared" si="91"/>
        <v>744795.20000000007</v>
      </c>
      <c r="Q236" s="12"/>
      <c r="R236" s="13">
        <v>2.3300000000000001E-2</v>
      </c>
      <c r="S236" s="3">
        <f t="shared" si="92"/>
        <v>1084608.01</v>
      </c>
      <c r="T236" s="12"/>
      <c r="U236" s="13">
        <v>7.0000000000000001E-3</v>
      </c>
      <c r="V236" s="3">
        <f t="shared" si="93"/>
        <v>325847.90000000002</v>
      </c>
      <c r="W236" s="12"/>
      <c r="X236" s="13">
        <v>6.9999999999999999E-4</v>
      </c>
      <c r="Y236" s="3">
        <f t="shared" si="94"/>
        <v>32584.79</v>
      </c>
      <c r="Z236" s="12"/>
      <c r="AA236" s="13">
        <v>1E-3</v>
      </c>
      <c r="AB236" s="3">
        <f t="shared" si="95"/>
        <v>46549.700000000004</v>
      </c>
      <c r="AC236" s="12"/>
      <c r="AD236" s="13">
        <v>1.4E-3</v>
      </c>
      <c r="AE236" s="3">
        <f t="shared" si="96"/>
        <v>65169.58</v>
      </c>
      <c r="AF236" s="7" t="e">
        <f>#REF!+#REF!+#REF!+#REF!+#REF!+#REF!+#REF!+#REF!+#REF!+#REF!+#REF!+#REF!</f>
        <v>#REF!</v>
      </c>
      <c r="AG236" s="1" t="e">
        <f>#REF!+#REF!+#REF!+#REF!+#REF!+#REF!+#REF!+#REF!+#REF!+#REF!+#REF!+#REF!-M236</f>
        <v>#REF!</v>
      </c>
      <c r="AH236" s="1">
        <f t="shared" si="4"/>
        <v>2299555.1800000002</v>
      </c>
    </row>
    <row r="237" spans="3:34" x14ac:dyDescent="0.25">
      <c r="C237" s="2"/>
      <c r="D237" s="2"/>
      <c r="E237" s="17"/>
      <c r="F237" s="66" t="s">
        <v>48</v>
      </c>
      <c r="G237" s="12"/>
      <c r="H237" s="12"/>
      <c r="I237" s="12"/>
      <c r="J237" s="12"/>
      <c r="K237" s="12" t="s">
        <v>49</v>
      </c>
      <c r="L237" s="58"/>
      <c r="M237" s="12"/>
      <c r="N237" s="12"/>
      <c r="O237" s="13"/>
      <c r="P237" s="14"/>
      <c r="Q237" s="12"/>
      <c r="R237" s="13"/>
      <c r="S237" s="14"/>
      <c r="T237" s="12"/>
      <c r="U237" s="13"/>
      <c r="V237" s="14"/>
      <c r="W237" s="12"/>
      <c r="X237" s="13"/>
      <c r="Y237" s="14"/>
      <c r="Z237" s="12">
        <v>0.14000000000000001</v>
      </c>
      <c r="AA237" s="13"/>
      <c r="AB237" s="14">
        <f>Z237*H236</f>
        <v>51.800000000000004</v>
      </c>
      <c r="AC237" s="12"/>
      <c r="AD237" s="13"/>
      <c r="AE237" s="14"/>
      <c r="AF237" s="7"/>
      <c r="AG237" s="1"/>
      <c r="AH237" s="1">
        <f t="shared" ref="AH237:AH242" si="98">AE237+AB237+Y237+V237+S237+P237</f>
        <v>51.800000000000004</v>
      </c>
    </row>
    <row r="238" spans="3:34" x14ac:dyDescent="0.25">
      <c r="C238" s="2"/>
      <c r="D238" s="2"/>
      <c r="E238" s="17"/>
      <c r="F238" s="66" t="s">
        <v>48</v>
      </c>
      <c r="G238" s="12"/>
      <c r="H238" s="12"/>
      <c r="I238" s="12"/>
      <c r="J238" s="12"/>
      <c r="K238" s="12" t="s">
        <v>51</v>
      </c>
      <c r="L238" s="58"/>
      <c r="M238" s="12"/>
      <c r="N238" s="12">
        <v>2.25</v>
      </c>
      <c r="O238" s="13"/>
      <c r="P238" s="14">
        <f>N238*H236</f>
        <v>832.5</v>
      </c>
      <c r="Q238" s="12"/>
      <c r="R238" s="13"/>
      <c r="S238" s="14"/>
      <c r="T238" s="12"/>
      <c r="U238" s="13"/>
      <c r="V238" s="14"/>
      <c r="W238" s="12"/>
      <c r="X238" s="13"/>
      <c r="Y238" s="14"/>
      <c r="Z238" s="12"/>
      <c r="AA238" s="13"/>
      <c r="AB238" s="14"/>
      <c r="AC238" s="12"/>
      <c r="AD238" s="13"/>
      <c r="AE238" s="14"/>
      <c r="AF238" s="7"/>
      <c r="AG238" s="1"/>
      <c r="AH238" s="1">
        <f t="shared" si="98"/>
        <v>832.5</v>
      </c>
    </row>
    <row r="239" spans="3:34" x14ac:dyDescent="0.25">
      <c r="C239" s="2"/>
      <c r="D239" s="2"/>
      <c r="E239" s="17"/>
      <c r="F239" s="66" t="s">
        <v>48</v>
      </c>
      <c r="G239" s="12"/>
      <c r="H239" s="12"/>
      <c r="I239" s="12"/>
      <c r="J239" s="12"/>
      <c r="K239" s="12" t="s">
        <v>52</v>
      </c>
      <c r="L239" s="58"/>
      <c r="M239" s="12"/>
      <c r="N239" s="12"/>
      <c r="O239" s="13"/>
      <c r="P239" s="14"/>
      <c r="Q239" s="12">
        <v>3.24</v>
      </c>
      <c r="R239" s="13"/>
      <c r="S239" s="14">
        <f>Q239*H236</f>
        <v>1198.8000000000002</v>
      </c>
      <c r="T239" s="12"/>
      <c r="U239" s="13"/>
      <c r="V239" s="14"/>
      <c r="W239" s="12"/>
      <c r="X239" s="13"/>
      <c r="Y239" s="14"/>
      <c r="Z239" s="12"/>
      <c r="AA239" s="13"/>
      <c r="AB239" s="14"/>
      <c r="AC239" s="12"/>
      <c r="AD239" s="13"/>
      <c r="AE239" s="14"/>
      <c r="AF239" s="7"/>
      <c r="AG239" s="1"/>
      <c r="AH239" s="1">
        <f t="shared" si="98"/>
        <v>1198.8000000000002</v>
      </c>
    </row>
    <row r="240" spans="3:34" x14ac:dyDescent="0.25">
      <c r="C240" s="2"/>
      <c r="D240" s="2"/>
      <c r="E240" s="17"/>
      <c r="F240" s="66" t="s">
        <v>48</v>
      </c>
      <c r="G240" s="12"/>
      <c r="H240" s="12"/>
      <c r="I240" s="12"/>
      <c r="J240" s="12"/>
      <c r="K240" s="12" t="s">
        <v>53</v>
      </c>
      <c r="L240" s="58"/>
      <c r="M240" s="12"/>
      <c r="N240" s="12"/>
      <c r="O240" s="13"/>
      <c r="P240" s="14"/>
      <c r="Q240" s="12"/>
      <c r="R240" s="13"/>
      <c r="S240" s="14"/>
      <c r="T240" s="12">
        <v>0.95</v>
      </c>
      <c r="U240" s="13"/>
      <c r="V240" s="14">
        <f>T240*H236</f>
        <v>351.5</v>
      </c>
      <c r="W240" s="12"/>
      <c r="X240" s="13"/>
      <c r="Y240" s="14"/>
      <c r="Z240" s="12"/>
      <c r="AA240" s="13"/>
      <c r="AB240" s="14"/>
      <c r="AC240" s="12"/>
      <c r="AD240" s="13"/>
      <c r="AE240" s="14"/>
      <c r="AF240" s="7"/>
      <c r="AG240" s="1"/>
      <c r="AH240" s="1">
        <f t="shared" si="98"/>
        <v>351.5</v>
      </c>
    </row>
    <row r="241" spans="3:34" x14ac:dyDescent="0.25">
      <c r="C241" s="2"/>
      <c r="D241" s="2"/>
      <c r="E241" s="17"/>
      <c r="F241" s="66" t="s">
        <v>48</v>
      </c>
      <c r="G241" s="12"/>
      <c r="H241" s="12"/>
      <c r="I241" s="12"/>
      <c r="J241" s="12"/>
      <c r="K241" s="12" t="s">
        <v>54</v>
      </c>
      <c r="L241" s="58"/>
      <c r="M241" s="12"/>
      <c r="N241" s="12"/>
      <c r="O241" s="13"/>
      <c r="P241" s="14"/>
      <c r="Q241" s="12"/>
      <c r="R241" s="13"/>
      <c r="S241" s="14"/>
      <c r="T241" s="12"/>
      <c r="U241" s="13"/>
      <c r="V241" s="14"/>
      <c r="W241" s="12">
        <v>0.1</v>
      </c>
      <c r="X241" s="13"/>
      <c r="Y241" s="14">
        <f>W241*H236</f>
        <v>37</v>
      </c>
      <c r="Z241" s="12"/>
      <c r="AA241" s="13"/>
      <c r="AB241" s="14"/>
      <c r="AC241" s="12"/>
      <c r="AD241" s="13"/>
      <c r="AE241" s="14"/>
      <c r="AF241" s="7"/>
      <c r="AG241" s="1"/>
      <c r="AH241" s="1">
        <f t="shared" si="98"/>
        <v>37</v>
      </c>
    </row>
    <row r="242" spans="3:34" x14ac:dyDescent="0.25">
      <c r="C242" s="2"/>
      <c r="D242" s="2"/>
      <c r="E242" s="17"/>
      <c r="F242" s="66" t="s">
        <v>48</v>
      </c>
      <c r="G242" s="12"/>
      <c r="H242" s="12"/>
      <c r="I242" s="12"/>
      <c r="J242" s="12"/>
      <c r="K242" s="12" t="s">
        <v>55</v>
      </c>
      <c r="L242" s="58"/>
      <c r="M242" s="12"/>
      <c r="N242" s="12"/>
      <c r="O242" s="13"/>
      <c r="P242" s="14"/>
      <c r="Q242" s="12"/>
      <c r="R242" s="13"/>
      <c r="S242" s="14"/>
      <c r="T242" s="12"/>
      <c r="U242" s="13"/>
      <c r="V242" s="14"/>
      <c r="W242" s="12"/>
      <c r="X242" s="13"/>
      <c r="Y242" s="14"/>
      <c r="Z242" s="12"/>
      <c r="AA242" s="13"/>
      <c r="AB242" s="14"/>
      <c r="AC242" s="12">
        <v>0.17</v>
      </c>
      <c r="AD242" s="13"/>
      <c r="AE242" s="14">
        <f>AC242*H236</f>
        <v>62.900000000000006</v>
      </c>
      <c r="AF242" s="7"/>
      <c r="AG242" s="1"/>
      <c r="AH242" s="1">
        <f t="shared" si="98"/>
        <v>62.900000000000006</v>
      </c>
    </row>
    <row r="243" spans="3:34" x14ac:dyDescent="0.25">
      <c r="C243" s="5"/>
      <c r="D243" s="5"/>
      <c r="E243" s="34"/>
      <c r="F243" s="25" t="s">
        <v>28</v>
      </c>
      <c r="G243" s="4"/>
      <c r="H243" s="4"/>
      <c r="I243" s="4">
        <f>82*3*6</f>
        <v>1476</v>
      </c>
      <c r="J243" s="4"/>
      <c r="K243" s="4" t="s">
        <v>25</v>
      </c>
      <c r="L243" s="58">
        <f>276.67*1000</f>
        <v>276670</v>
      </c>
      <c r="M243" s="4">
        <f>L243*I243</f>
        <v>408364920</v>
      </c>
      <c r="N243" s="4"/>
      <c r="O243" s="6">
        <v>1.5900000000000001E-2</v>
      </c>
      <c r="P243" s="3">
        <f t="shared" ref="P243:P250" si="99">O243*$M243</f>
        <v>6493002.2280000001</v>
      </c>
      <c r="Q243" s="4"/>
      <c r="R243" s="6">
        <v>2.4500000000000001E-2</v>
      </c>
      <c r="S243" s="3">
        <f t="shared" ref="S243:S250" si="100">R243*$M243</f>
        <v>10004940.540000001</v>
      </c>
      <c r="T243" s="4"/>
      <c r="U243" s="6">
        <v>2.8999999999999998E-3</v>
      </c>
      <c r="V243" s="3">
        <f t="shared" ref="V243:V250" si="101">U243*$M243</f>
        <v>1184258.2679999999</v>
      </c>
      <c r="W243" s="4"/>
      <c r="X243" s="6">
        <v>5.0000000000000001E-4</v>
      </c>
      <c r="Y243" s="3">
        <f t="shared" ref="Y243:Y250" si="102">X243*$M243</f>
        <v>204182.46</v>
      </c>
      <c r="Z243" s="4"/>
      <c r="AA243" s="6">
        <v>1.1000000000000001E-3</v>
      </c>
      <c r="AB243" s="3">
        <f t="shared" ref="AB243:AB250" si="103">AA243*$M243</f>
        <v>449201.41200000001</v>
      </c>
      <c r="AC243" s="4"/>
      <c r="AD243" s="6">
        <v>1.4E-3</v>
      </c>
      <c r="AE243" s="3">
        <f t="shared" ref="AE243:AE250" si="104">AD243*$M243</f>
        <v>571710.88800000004</v>
      </c>
      <c r="AF243" s="7" t="e">
        <f>#REF!+#REF!+#REF!+#REF!+#REF!+#REF!+#REF!+#REF!+#REF!+#REF!+#REF!+#REF!</f>
        <v>#REF!</v>
      </c>
      <c r="AG243" s="1" t="e">
        <f>#REF!+#REF!+#REF!+#REF!+#REF!+#REF!+#REF!+#REF!+#REF!+#REF!+#REF!+#REF!-M243</f>
        <v>#REF!</v>
      </c>
      <c r="AH243" s="1">
        <f t="shared" si="4"/>
        <v>18907295.796</v>
      </c>
    </row>
    <row r="244" spans="3:34" x14ac:dyDescent="0.25">
      <c r="C244" s="2"/>
      <c r="D244" s="2"/>
      <c r="E244" s="17"/>
      <c r="F244" s="66" t="s">
        <v>56</v>
      </c>
      <c r="G244" s="12"/>
      <c r="H244" s="12"/>
      <c r="I244" s="12"/>
      <c r="J244" s="12"/>
      <c r="K244" s="12" t="s">
        <v>57</v>
      </c>
      <c r="L244" s="58"/>
      <c r="M244" s="12"/>
      <c r="N244" s="12"/>
      <c r="O244" s="13"/>
      <c r="P244" s="14"/>
      <c r="Q244" s="12"/>
      <c r="R244" s="13"/>
      <c r="S244" s="14"/>
      <c r="T244" s="12"/>
      <c r="U244" s="13"/>
      <c r="V244" s="14"/>
      <c r="W244" s="12"/>
      <c r="X244" s="13"/>
      <c r="Y244" s="14"/>
      <c r="Z244" s="12">
        <v>0.3</v>
      </c>
      <c r="AA244" s="13"/>
      <c r="AB244" s="14">
        <f>Z244*I243</f>
        <v>442.8</v>
      </c>
      <c r="AC244" s="12"/>
      <c r="AD244" s="13"/>
      <c r="AE244" s="14"/>
      <c r="AF244" s="7"/>
      <c r="AG244" s="1"/>
      <c r="AH244" s="1">
        <f t="shared" si="4"/>
        <v>442.8</v>
      </c>
    </row>
    <row r="245" spans="3:34" x14ac:dyDescent="0.25">
      <c r="C245" s="2"/>
      <c r="D245" s="2"/>
      <c r="E245" s="17"/>
      <c r="F245" s="66" t="s">
        <v>56</v>
      </c>
      <c r="G245" s="12"/>
      <c r="H245" s="12"/>
      <c r="I245" s="12"/>
      <c r="J245" s="12"/>
      <c r="K245" s="12" t="s">
        <v>58</v>
      </c>
      <c r="L245" s="58"/>
      <c r="M245" s="12"/>
      <c r="N245" s="12">
        <v>4.58</v>
      </c>
      <c r="O245" s="13"/>
      <c r="P245" s="14">
        <f>N245*I243</f>
        <v>6760.08</v>
      </c>
      <c r="Q245" s="12"/>
      <c r="R245" s="13"/>
      <c r="S245" s="14"/>
      <c r="T245" s="12"/>
      <c r="U245" s="13"/>
      <c r="V245" s="14"/>
      <c r="W245" s="12"/>
      <c r="X245" s="13"/>
      <c r="Y245" s="14"/>
      <c r="Z245" s="12"/>
      <c r="AA245" s="13"/>
      <c r="AB245" s="14"/>
      <c r="AC245" s="12"/>
      <c r="AD245" s="13"/>
      <c r="AE245" s="14"/>
      <c r="AF245" s="7"/>
      <c r="AG245" s="1"/>
      <c r="AH245" s="1">
        <f t="shared" si="4"/>
        <v>6760.08</v>
      </c>
    </row>
    <row r="246" spans="3:34" x14ac:dyDescent="0.25">
      <c r="C246" s="2"/>
      <c r="D246" s="2"/>
      <c r="E246" s="17"/>
      <c r="F246" s="66" t="s">
        <v>56</v>
      </c>
      <c r="G246" s="12"/>
      <c r="H246" s="12"/>
      <c r="I246" s="12"/>
      <c r="J246" s="12"/>
      <c r="K246" s="12" t="s">
        <v>59</v>
      </c>
      <c r="L246" s="58"/>
      <c r="M246" s="12"/>
      <c r="N246" s="12"/>
      <c r="O246" s="13"/>
      <c r="P246" s="14"/>
      <c r="Q246" s="12">
        <v>6.59</v>
      </c>
      <c r="R246" s="13"/>
      <c r="S246" s="14">
        <f>Q246*I243</f>
        <v>9726.84</v>
      </c>
      <c r="T246" s="12"/>
      <c r="U246" s="13"/>
      <c r="V246" s="14"/>
      <c r="W246" s="12"/>
      <c r="X246" s="13"/>
      <c r="Y246" s="14"/>
      <c r="Z246" s="12"/>
      <c r="AA246" s="13"/>
      <c r="AB246" s="14"/>
      <c r="AC246" s="12"/>
      <c r="AD246" s="13"/>
      <c r="AE246" s="14"/>
      <c r="AF246" s="7"/>
      <c r="AG246" s="1"/>
      <c r="AH246" s="1">
        <f t="shared" si="4"/>
        <v>9726.84</v>
      </c>
    </row>
    <row r="247" spans="3:34" x14ac:dyDescent="0.25">
      <c r="C247" s="2"/>
      <c r="D247" s="2"/>
      <c r="E247" s="17"/>
      <c r="F247" s="66" t="s">
        <v>56</v>
      </c>
      <c r="G247" s="12"/>
      <c r="H247" s="12"/>
      <c r="I247" s="12"/>
      <c r="J247" s="12"/>
      <c r="K247" s="12" t="s">
        <v>60</v>
      </c>
      <c r="L247" s="58"/>
      <c r="M247" s="12"/>
      <c r="N247" s="12"/>
      <c r="O247" s="13"/>
      <c r="P247" s="14"/>
      <c r="Q247" s="12"/>
      <c r="R247" s="13"/>
      <c r="S247" s="14"/>
      <c r="T247" s="12">
        <v>0.87</v>
      </c>
      <c r="U247" s="13"/>
      <c r="V247" s="14">
        <f>T247*I243</f>
        <v>1284.1199999999999</v>
      </c>
      <c r="W247" s="12"/>
      <c r="X247" s="13"/>
      <c r="Y247" s="14"/>
      <c r="Z247" s="12"/>
      <c r="AA247" s="13"/>
      <c r="AB247" s="14"/>
      <c r="AC247" s="12"/>
      <c r="AD247" s="13"/>
      <c r="AE247" s="14"/>
      <c r="AF247" s="7"/>
      <c r="AG247" s="1"/>
      <c r="AH247" s="1">
        <f t="shared" si="4"/>
        <v>1284.1199999999999</v>
      </c>
    </row>
    <row r="248" spans="3:34" x14ac:dyDescent="0.25">
      <c r="C248" s="2"/>
      <c r="D248" s="2"/>
      <c r="E248" s="17"/>
      <c r="F248" s="66" t="s">
        <v>56</v>
      </c>
      <c r="G248" s="12"/>
      <c r="H248" s="12"/>
      <c r="I248" s="12"/>
      <c r="J248" s="12"/>
      <c r="K248" s="12" t="s">
        <v>61</v>
      </c>
      <c r="L248" s="58"/>
      <c r="M248" s="12"/>
      <c r="N248" s="12"/>
      <c r="O248" s="13"/>
      <c r="P248" s="14"/>
      <c r="Q248" s="12"/>
      <c r="R248" s="13"/>
      <c r="S248" s="14"/>
      <c r="T248" s="12"/>
      <c r="U248" s="13"/>
      <c r="V248" s="14"/>
      <c r="W248" s="12">
        <v>0.13</v>
      </c>
      <c r="X248" s="13"/>
      <c r="Y248" s="14">
        <f>W248*I243</f>
        <v>191.88</v>
      </c>
      <c r="Z248" s="12"/>
      <c r="AA248" s="13"/>
      <c r="AB248" s="14"/>
      <c r="AC248" s="12"/>
      <c r="AD248" s="13"/>
      <c r="AE248" s="14"/>
      <c r="AF248" s="7"/>
      <c r="AG248" s="1"/>
      <c r="AH248" s="1">
        <f t="shared" si="4"/>
        <v>191.88</v>
      </c>
    </row>
    <row r="249" spans="3:34" x14ac:dyDescent="0.25">
      <c r="C249" s="2"/>
      <c r="D249" s="2"/>
      <c r="E249" s="17"/>
      <c r="F249" s="66" t="s">
        <v>56</v>
      </c>
      <c r="G249" s="12"/>
      <c r="H249" s="12"/>
      <c r="I249" s="12"/>
      <c r="J249" s="12"/>
      <c r="K249" s="12" t="s">
        <v>62</v>
      </c>
      <c r="L249" s="58"/>
      <c r="M249" s="12"/>
      <c r="N249" s="12"/>
      <c r="O249" s="13"/>
      <c r="P249" s="14"/>
      <c r="Q249" s="12"/>
      <c r="R249" s="13"/>
      <c r="S249" s="14"/>
      <c r="T249" s="12"/>
      <c r="U249" s="13"/>
      <c r="V249" s="14"/>
      <c r="W249" s="12"/>
      <c r="X249" s="13"/>
      <c r="Y249" s="14"/>
      <c r="Z249" s="12"/>
      <c r="AA249" s="13"/>
      <c r="AB249" s="14"/>
      <c r="AC249" s="12">
        <v>0.39</v>
      </c>
      <c r="AD249" s="13"/>
      <c r="AE249" s="14">
        <f>AC249*I243</f>
        <v>575.64</v>
      </c>
      <c r="AF249" s="7"/>
      <c r="AG249" s="1"/>
      <c r="AH249" s="1">
        <f t="shared" si="4"/>
        <v>575.64</v>
      </c>
    </row>
    <row r="250" spans="3:34" x14ac:dyDescent="0.25">
      <c r="C250" s="5"/>
      <c r="D250" s="5"/>
      <c r="E250" s="34"/>
      <c r="F250" s="42" t="s">
        <v>29</v>
      </c>
      <c r="G250" s="4"/>
      <c r="H250" s="4"/>
      <c r="I250" s="4"/>
      <c r="J250" s="45">
        <f>9500*0</f>
        <v>0</v>
      </c>
      <c r="K250" s="4" t="s">
        <v>37</v>
      </c>
      <c r="L250" s="58">
        <v>382230</v>
      </c>
      <c r="M250" s="4">
        <f>J250*L250/100</f>
        <v>0</v>
      </c>
      <c r="N250" s="9"/>
      <c r="O250" s="10">
        <v>1.8100000000000002E-2</v>
      </c>
      <c r="P250" s="3">
        <f t="shared" si="99"/>
        <v>0</v>
      </c>
      <c r="Q250" s="9"/>
      <c r="R250" s="10">
        <v>3.0000000000000001E-3</v>
      </c>
      <c r="S250" s="3">
        <f t="shared" si="100"/>
        <v>0</v>
      </c>
      <c r="T250" s="9"/>
      <c r="U250" s="10">
        <v>7.6E-3</v>
      </c>
      <c r="V250" s="3">
        <f t="shared" si="101"/>
        <v>0</v>
      </c>
      <c r="W250" s="9"/>
      <c r="X250" s="10">
        <v>5.1000000000000004E-3</v>
      </c>
      <c r="Y250" s="3">
        <f t="shared" si="102"/>
        <v>0</v>
      </c>
      <c r="Z250" s="9"/>
      <c r="AA250" s="10"/>
      <c r="AB250" s="3">
        <f t="shared" si="103"/>
        <v>0</v>
      </c>
      <c r="AC250" s="9"/>
      <c r="AD250" s="10">
        <v>1.4E-3</v>
      </c>
      <c r="AE250" s="3">
        <f t="shared" si="104"/>
        <v>0</v>
      </c>
      <c r="AF250" s="7" t="e">
        <f>#REF!+#REF!+#REF!+#REF!+#REF!+#REF!+#REF!+#REF!+#REF!+#REF!+#REF!+#REF!</f>
        <v>#REF!</v>
      </c>
      <c r="AG250" s="1" t="e">
        <f>#REF!+#REF!+#REF!+#REF!+#REF!+#REF!+#REF!+#REF!+#REF!+#REF!+#REF!+#REF!-M250</f>
        <v>#REF!</v>
      </c>
      <c r="AH250" s="1">
        <f t="shared" si="4"/>
        <v>0</v>
      </c>
    </row>
    <row r="251" spans="3:34" x14ac:dyDescent="0.25">
      <c r="C251" s="2"/>
      <c r="D251" s="2"/>
      <c r="E251" s="17"/>
      <c r="F251" s="66" t="s">
        <v>56</v>
      </c>
      <c r="G251" s="4"/>
      <c r="H251" s="4"/>
      <c r="I251" s="4"/>
      <c r="J251" s="4"/>
      <c r="K251" s="4" t="s">
        <v>63</v>
      </c>
      <c r="L251" s="58"/>
      <c r="M251" s="4"/>
      <c r="N251" s="4">
        <v>4.67</v>
      </c>
      <c r="O251" s="6"/>
      <c r="P251" s="3">
        <f>N251*J250</f>
        <v>0</v>
      </c>
      <c r="Q251" s="4"/>
      <c r="R251" s="6"/>
      <c r="S251" s="3"/>
      <c r="T251" s="4"/>
      <c r="U251" s="6"/>
      <c r="V251" s="3"/>
      <c r="W251" s="4"/>
      <c r="X251" s="6"/>
      <c r="Y251" s="3"/>
      <c r="Z251" s="4"/>
      <c r="AA251" s="6"/>
      <c r="AB251" s="3"/>
      <c r="AC251" s="4"/>
      <c r="AD251" s="6"/>
      <c r="AE251" s="3"/>
      <c r="AF251" s="7"/>
      <c r="AG251" s="1"/>
      <c r="AH251" s="1">
        <f t="shared" ref="AH251:AH255" si="105">AE251+AB251+Y251+V251+S251+P251</f>
        <v>0</v>
      </c>
    </row>
    <row r="252" spans="3:34" x14ac:dyDescent="0.25">
      <c r="C252" s="2"/>
      <c r="D252" s="2"/>
      <c r="E252" s="17"/>
      <c r="F252" s="66" t="s">
        <v>56</v>
      </c>
      <c r="G252" s="4"/>
      <c r="H252" s="4"/>
      <c r="I252" s="4"/>
      <c r="J252" s="4"/>
      <c r="K252" s="4" t="s">
        <v>64</v>
      </c>
      <c r="L252" s="58"/>
      <c r="M252" s="4"/>
      <c r="N252" s="4"/>
      <c r="O252" s="6"/>
      <c r="P252" s="3"/>
      <c r="Q252" s="4">
        <v>0.86</v>
      </c>
      <c r="R252" s="6"/>
      <c r="S252" s="3">
        <f>Q252*J250</f>
        <v>0</v>
      </c>
      <c r="T252" s="4"/>
      <c r="U252" s="6"/>
      <c r="V252" s="3"/>
      <c r="W252" s="4"/>
      <c r="X252" s="6"/>
      <c r="Y252" s="3"/>
      <c r="Z252" s="4"/>
      <c r="AA252" s="6"/>
      <c r="AB252" s="3"/>
      <c r="AC252" s="4"/>
      <c r="AD252" s="6"/>
      <c r="AE252" s="3"/>
      <c r="AF252" s="7"/>
      <c r="AG252" s="1"/>
      <c r="AH252" s="1">
        <f t="shared" si="105"/>
        <v>0</v>
      </c>
    </row>
    <row r="253" spans="3:34" x14ac:dyDescent="0.25">
      <c r="C253" s="2"/>
      <c r="D253" s="2"/>
      <c r="E253" s="17"/>
      <c r="F253" s="66" t="s">
        <v>56</v>
      </c>
      <c r="G253" s="12"/>
      <c r="H253" s="12"/>
      <c r="I253" s="12"/>
      <c r="J253" s="12"/>
      <c r="K253" s="12" t="s">
        <v>65</v>
      </c>
      <c r="L253" s="58"/>
      <c r="M253" s="12"/>
      <c r="N253" s="12"/>
      <c r="O253" s="13"/>
      <c r="P253" s="14"/>
      <c r="Q253" s="12"/>
      <c r="R253" s="13"/>
      <c r="S253" s="14"/>
      <c r="T253" s="12">
        <v>1.94</v>
      </c>
      <c r="U253" s="13"/>
      <c r="V253" s="14">
        <f>T253*J250</f>
        <v>0</v>
      </c>
      <c r="W253" s="12"/>
      <c r="X253" s="13"/>
      <c r="Y253" s="14"/>
      <c r="Z253" s="12"/>
      <c r="AA253" s="13"/>
      <c r="AB253" s="14"/>
      <c r="AC253" s="12"/>
      <c r="AD253" s="13"/>
      <c r="AE253" s="14"/>
      <c r="AF253" s="7"/>
      <c r="AG253" s="1"/>
      <c r="AH253" s="1">
        <f t="shared" si="105"/>
        <v>0</v>
      </c>
    </row>
    <row r="254" spans="3:34" x14ac:dyDescent="0.25">
      <c r="C254" s="2"/>
      <c r="D254" s="2"/>
      <c r="E254" s="17"/>
      <c r="F254" s="66" t="s">
        <v>56</v>
      </c>
      <c r="G254" s="12"/>
      <c r="H254" s="12"/>
      <c r="I254" s="12"/>
      <c r="J254" s="12"/>
      <c r="K254" s="12" t="s">
        <v>66</v>
      </c>
      <c r="L254" s="58"/>
      <c r="M254" s="12"/>
      <c r="N254" s="12"/>
      <c r="O254" s="13"/>
      <c r="P254" s="14"/>
      <c r="Q254" s="12"/>
      <c r="R254" s="13"/>
      <c r="S254" s="14"/>
      <c r="T254" s="12"/>
      <c r="U254" s="13"/>
      <c r="V254" s="14"/>
      <c r="W254" s="12">
        <v>1.32</v>
      </c>
      <c r="X254" s="13"/>
      <c r="Y254" s="14">
        <f>W254*J250</f>
        <v>0</v>
      </c>
      <c r="Z254" s="12"/>
      <c r="AA254" s="13"/>
      <c r="AB254" s="14"/>
      <c r="AC254" s="12"/>
      <c r="AD254" s="13"/>
      <c r="AE254" s="14"/>
      <c r="AF254" s="7"/>
      <c r="AG254" s="1"/>
      <c r="AH254" s="1">
        <f t="shared" si="105"/>
        <v>0</v>
      </c>
    </row>
    <row r="255" spans="3:34" x14ac:dyDescent="0.25">
      <c r="C255" s="2"/>
      <c r="D255" s="2"/>
      <c r="E255" s="17"/>
      <c r="F255" s="66" t="s">
        <v>56</v>
      </c>
      <c r="G255" s="12"/>
      <c r="H255" s="12"/>
      <c r="I255" s="12"/>
      <c r="J255" s="12"/>
      <c r="K255" s="12" t="s">
        <v>67</v>
      </c>
      <c r="L255" s="58"/>
      <c r="M255" s="12"/>
      <c r="N255" s="12"/>
      <c r="O255" s="13"/>
      <c r="P255" s="14"/>
      <c r="Q255" s="12"/>
      <c r="R255" s="13"/>
      <c r="S255" s="14"/>
      <c r="T255" s="12"/>
      <c r="U255" s="13"/>
      <c r="V255" s="14"/>
      <c r="W255" s="12"/>
      <c r="X255" s="13"/>
      <c r="Y255" s="14"/>
      <c r="Z255" s="12"/>
      <c r="AA255" s="13"/>
      <c r="AB255" s="14"/>
      <c r="AC255" s="12">
        <v>0.53</v>
      </c>
      <c r="AD255" s="13"/>
      <c r="AE255" s="14">
        <f>AC255*J250</f>
        <v>0</v>
      </c>
      <c r="AF255" s="7"/>
      <c r="AG255" s="1"/>
      <c r="AH255" s="1">
        <f t="shared" si="105"/>
        <v>0</v>
      </c>
    </row>
    <row r="256" spans="3:34" ht="63.75" thickBot="1" x14ac:dyDescent="0.3">
      <c r="C256" s="16"/>
      <c r="D256" s="16"/>
      <c r="E256" s="35"/>
      <c r="F256" s="32" t="s">
        <v>16</v>
      </c>
      <c r="G256" s="27"/>
      <c r="H256" s="27"/>
      <c r="I256" s="27"/>
      <c r="J256" s="27"/>
      <c r="K256" s="27"/>
      <c r="L256" s="59"/>
      <c r="M256" s="27">
        <f>SUM(M229:M255)</f>
        <v>2657839940</v>
      </c>
      <c r="N256" s="27"/>
      <c r="O256" s="28"/>
      <c r="P256" s="27">
        <f>SUM(P229:P255)</f>
        <v>42532540.398000002</v>
      </c>
      <c r="Q256" s="27"/>
      <c r="R256" s="28"/>
      <c r="S256" s="27">
        <f>SUM(S229:S255)</f>
        <v>62486638.136</v>
      </c>
      <c r="T256" s="27"/>
      <c r="U256" s="28"/>
      <c r="V256" s="27">
        <f>SUM(V229:V255)</f>
        <v>16949387.228</v>
      </c>
      <c r="W256" s="27"/>
      <c r="X256" s="28"/>
      <c r="Y256" s="27">
        <f>SUM(Y229:Y255)</f>
        <v>1780883.3039999998</v>
      </c>
      <c r="Z256" s="27"/>
      <c r="AA256" s="28"/>
      <c r="AB256" s="27">
        <f>SUM(AB229:AB255)</f>
        <v>2701868.8919999995</v>
      </c>
      <c r="AC256" s="27"/>
      <c r="AD256" s="28"/>
      <c r="AE256" s="27">
        <f>SUM(AE229:AE255)</f>
        <v>3724680.2059999998</v>
      </c>
      <c r="AF256" s="7" t="e">
        <f>#REF!+#REF!+#REF!+#REF!+#REF!+#REF!+#REF!+#REF!+#REF!+#REF!+#REF!+#REF!</f>
        <v>#REF!</v>
      </c>
      <c r="AG256" s="1" t="e">
        <f>#REF!+#REF!+#REF!+#REF!+#REF!+#REF!+#REF!+#REF!+#REF!+#REF!+#REF!+#REF!-M256</f>
        <v>#REF!</v>
      </c>
      <c r="AH256" s="69">
        <f t="shared" si="4"/>
        <v>130175998.164</v>
      </c>
    </row>
    <row r="257" spans="3:34" ht="63" x14ac:dyDescent="0.25">
      <c r="C257" s="5" t="s">
        <v>14</v>
      </c>
      <c r="D257" s="5" t="s">
        <v>13</v>
      </c>
      <c r="E257" s="34" t="s">
        <v>2</v>
      </c>
      <c r="F257" s="31" t="s">
        <v>17</v>
      </c>
      <c r="G257" s="21">
        <v>19421.36</v>
      </c>
      <c r="H257" s="21">
        <v>12070</v>
      </c>
      <c r="I257" s="21"/>
      <c r="J257" s="21"/>
      <c r="K257" s="21" t="s">
        <v>21</v>
      </c>
      <c r="L257" s="60">
        <f>179.64*1000</f>
        <v>179640</v>
      </c>
      <c r="M257" s="21">
        <f>L257*H257</f>
        <v>2168254800</v>
      </c>
      <c r="N257" s="21"/>
      <c r="O257" s="22">
        <v>1.6E-2</v>
      </c>
      <c r="P257" s="23">
        <f t="shared" ref="P257:P264" si="106">O257*$M257</f>
        <v>34692076.799999997</v>
      </c>
      <c r="Q257" s="21"/>
      <c r="R257" s="22">
        <v>2.3300000000000001E-2</v>
      </c>
      <c r="S257" s="3">
        <f t="shared" ref="S257:S264" si="107">R257*$M257</f>
        <v>50520336.840000004</v>
      </c>
      <c r="T257" s="21"/>
      <c r="U257" s="22">
        <v>7.0000000000000001E-3</v>
      </c>
      <c r="V257" s="3">
        <f t="shared" ref="V257:V264" si="108">U257*$M257</f>
        <v>15177783.6</v>
      </c>
      <c r="W257" s="21"/>
      <c r="X257" s="22">
        <v>6.9999999999999999E-4</v>
      </c>
      <c r="Y257" s="3">
        <f t="shared" ref="Y257:Y264" si="109">X257*$M257</f>
        <v>1517778.3599999999</v>
      </c>
      <c r="Z257" s="21"/>
      <c r="AA257" s="22">
        <v>1E-3</v>
      </c>
      <c r="AB257" s="3">
        <f t="shared" ref="AB257:AB264" si="110">AA257*$M257</f>
        <v>2168254.7999999998</v>
      </c>
      <c r="AC257" s="21"/>
      <c r="AD257" s="22">
        <v>1.4E-3</v>
      </c>
      <c r="AE257" s="3">
        <f t="shared" ref="AE257:AE264" si="111">AD257*$M257</f>
        <v>3035556.7199999997</v>
      </c>
      <c r="AF257" s="7" t="e">
        <f>#REF!+#REF!+#REF!+#REF!+#REF!+#REF!+#REF!+#REF!+#REF!+#REF!+#REF!+#REF!</f>
        <v>#REF!</v>
      </c>
      <c r="AG257" s="1" t="e">
        <f>#REF!+#REF!+#REF!+#REF!+#REF!+#REF!+#REF!+#REF!+#REF!+#REF!+#REF!+#REF!-M257</f>
        <v>#REF!</v>
      </c>
      <c r="AH257" s="1">
        <f t="shared" si="4"/>
        <v>107111787.11999999</v>
      </c>
    </row>
    <row r="258" spans="3:34" x14ac:dyDescent="0.25">
      <c r="C258" s="2"/>
      <c r="D258" s="2"/>
      <c r="E258" s="17"/>
      <c r="F258" s="66" t="s">
        <v>48</v>
      </c>
      <c r="G258" s="12"/>
      <c r="H258" s="12"/>
      <c r="I258" s="12"/>
      <c r="J258" s="12"/>
      <c r="K258" s="12" t="s">
        <v>49</v>
      </c>
      <c r="L258" s="58"/>
      <c r="M258" s="12"/>
      <c r="N258" s="12"/>
      <c r="O258" s="13"/>
      <c r="P258" s="14"/>
      <c r="Q258" s="12"/>
      <c r="R258" s="13"/>
      <c r="S258" s="14"/>
      <c r="T258" s="12"/>
      <c r="U258" s="13"/>
      <c r="V258" s="14"/>
      <c r="W258" s="12"/>
      <c r="X258" s="13"/>
      <c r="Y258" s="14"/>
      <c r="Z258" s="12">
        <v>0.22</v>
      </c>
      <c r="AA258" s="13"/>
      <c r="AB258" s="14">
        <f>Z258*H257</f>
        <v>2655.4</v>
      </c>
      <c r="AC258" s="12"/>
      <c r="AD258" s="13"/>
      <c r="AE258" s="14"/>
      <c r="AF258" s="7"/>
      <c r="AG258" s="1"/>
      <c r="AH258" s="1">
        <f t="shared" si="4"/>
        <v>2655.4</v>
      </c>
    </row>
    <row r="259" spans="3:34" x14ac:dyDescent="0.25">
      <c r="C259" s="2"/>
      <c r="D259" s="2"/>
      <c r="E259" s="17"/>
      <c r="F259" s="66" t="s">
        <v>48</v>
      </c>
      <c r="G259" s="12"/>
      <c r="H259" s="12"/>
      <c r="I259" s="12"/>
      <c r="J259" s="12"/>
      <c r="K259" s="12" t="s">
        <v>51</v>
      </c>
      <c r="L259" s="58"/>
      <c r="M259" s="12"/>
      <c r="N259" s="12">
        <v>3.29</v>
      </c>
      <c r="O259" s="13"/>
      <c r="P259" s="14">
        <f>N259*H257</f>
        <v>39710.300000000003</v>
      </c>
      <c r="Q259" s="12"/>
      <c r="R259" s="13"/>
      <c r="S259" s="14"/>
      <c r="T259" s="12"/>
      <c r="U259" s="13"/>
      <c r="V259" s="14"/>
      <c r="W259" s="12"/>
      <c r="X259" s="13"/>
      <c r="Y259" s="14"/>
      <c r="Z259" s="12"/>
      <c r="AA259" s="13"/>
      <c r="AB259" s="14"/>
      <c r="AC259" s="12"/>
      <c r="AD259" s="13"/>
      <c r="AE259" s="14"/>
      <c r="AF259" s="7"/>
      <c r="AG259" s="1"/>
      <c r="AH259" s="1">
        <f t="shared" si="4"/>
        <v>39710.300000000003</v>
      </c>
    </row>
    <row r="260" spans="3:34" x14ac:dyDescent="0.25">
      <c r="C260" s="2"/>
      <c r="D260" s="2"/>
      <c r="E260" s="17"/>
      <c r="F260" s="66" t="s">
        <v>48</v>
      </c>
      <c r="G260" s="12"/>
      <c r="H260" s="12"/>
      <c r="I260" s="12"/>
      <c r="J260" s="12"/>
      <c r="K260" s="12" t="s">
        <v>52</v>
      </c>
      <c r="L260" s="58"/>
      <c r="M260" s="12"/>
      <c r="N260" s="12"/>
      <c r="O260" s="13"/>
      <c r="P260" s="14"/>
      <c r="Q260" s="12">
        <v>4.7300000000000004</v>
      </c>
      <c r="R260" s="13"/>
      <c r="S260" s="14">
        <f>Q260*H257</f>
        <v>57091.100000000006</v>
      </c>
      <c r="T260" s="12"/>
      <c r="U260" s="13"/>
      <c r="V260" s="14"/>
      <c r="W260" s="12"/>
      <c r="X260" s="13"/>
      <c r="Y260" s="14"/>
      <c r="Z260" s="12"/>
      <c r="AA260" s="13"/>
      <c r="AB260" s="14"/>
      <c r="AC260" s="12"/>
      <c r="AD260" s="13"/>
      <c r="AE260" s="14"/>
      <c r="AF260" s="7"/>
      <c r="AG260" s="1"/>
      <c r="AH260" s="1">
        <f t="shared" si="4"/>
        <v>57091.100000000006</v>
      </c>
    </row>
    <row r="261" spans="3:34" x14ac:dyDescent="0.25">
      <c r="C261" s="2"/>
      <c r="D261" s="2"/>
      <c r="E261" s="17"/>
      <c r="F261" s="66" t="s">
        <v>48</v>
      </c>
      <c r="G261" s="12"/>
      <c r="H261" s="12"/>
      <c r="I261" s="12"/>
      <c r="J261" s="12"/>
      <c r="K261" s="12" t="s">
        <v>53</v>
      </c>
      <c r="L261" s="58"/>
      <c r="M261" s="12"/>
      <c r="N261" s="12"/>
      <c r="O261" s="13"/>
      <c r="P261" s="14"/>
      <c r="Q261" s="12"/>
      <c r="R261" s="13"/>
      <c r="S261" s="14"/>
      <c r="T261" s="12">
        <v>1.4</v>
      </c>
      <c r="U261" s="13"/>
      <c r="V261" s="14">
        <f>T261*H257</f>
        <v>16898</v>
      </c>
      <c r="W261" s="12"/>
      <c r="X261" s="13"/>
      <c r="Y261" s="14"/>
      <c r="Z261" s="12"/>
      <c r="AA261" s="13"/>
      <c r="AB261" s="14"/>
      <c r="AC261" s="12"/>
      <c r="AD261" s="13"/>
      <c r="AE261" s="14"/>
      <c r="AF261" s="7"/>
      <c r="AG261" s="1"/>
      <c r="AH261" s="1">
        <f t="shared" si="4"/>
        <v>16898</v>
      </c>
    </row>
    <row r="262" spans="3:34" x14ac:dyDescent="0.25">
      <c r="C262" s="2"/>
      <c r="D262" s="2"/>
      <c r="E262" s="17"/>
      <c r="F262" s="66" t="s">
        <v>48</v>
      </c>
      <c r="G262" s="12"/>
      <c r="H262" s="12"/>
      <c r="I262" s="12"/>
      <c r="J262" s="12"/>
      <c r="K262" s="12" t="s">
        <v>54</v>
      </c>
      <c r="L262" s="58"/>
      <c r="M262" s="12"/>
      <c r="N262" s="12"/>
      <c r="O262" s="13"/>
      <c r="P262" s="14"/>
      <c r="Q262" s="12"/>
      <c r="R262" s="13"/>
      <c r="S262" s="14"/>
      <c r="T262" s="12"/>
      <c r="U262" s="13"/>
      <c r="V262" s="14"/>
      <c r="W262" s="12">
        <v>0.15</v>
      </c>
      <c r="X262" s="13"/>
      <c r="Y262" s="14">
        <f>W262*H257</f>
        <v>1810.5</v>
      </c>
      <c r="Z262" s="12"/>
      <c r="AA262" s="13"/>
      <c r="AB262" s="14"/>
      <c r="AC262" s="12"/>
      <c r="AD262" s="13"/>
      <c r="AE262" s="14"/>
      <c r="AF262" s="7"/>
      <c r="AG262" s="1"/>
      <c r="AH262" s="1">
        <f t="shared" si="4"/>
        <v>1810.5</v>
      </c>
    </row>
    <row r="263" spans="3:34" x14ac:dyDescent="0.25">
      <c r="C263" s="2"/>
      <c r="D263" s="2"/>
      <c r="E263" s="17"/>
      <c r="F263" s="66" t="s">
        <v>48</v>
      </c>
      <c r="G263" s="12"/>
      <c r="H263" s="12"/>
      <c r="I263" s="12"/>
      <c r="J263" s="12"/>
      <c r="K263" s="12" t="s">
        <v>55</v>
      </c>
      <c r="L263" s="58"/>
      <c r="M263" s="12"/>
      <c r="N263" s="12"/>
      <c r="O263" s="13"/>
      <c r="P263" s="14"/>
      <c r="Q263" s="12"/>
      <c r="R263" s="13"/>
      <c r="S263" s="14"/>
      <c r="T263" s="12"/>
      <c r="U263" s="13"/>
      <c r="V263" s="14"/>
      <c r="W263" s="12"/>
      <c r="X263" s="13"/>
      <c r="Y263" s="14"/>
      <c r="Z263" s="12"/>
      <c r="AA263" s="13"/>
      <c r="AB263" s="14"/>
      <c r="AC263" s="12">
        <v>0.25</v>
      </c>
      <c r="AD263" s="13"/>
      <c r="AE263" s="14">
        <f>AC263*H257</f>
        <v>3017.5</v>
      </c>
      <c r="AF263" s="7"/>
      <c r="AG263" s="1"/>
      <c r="AH263" s="1">
        <f t="shared" si="4"/>
        <v>3017.5</v>
      </c>
    </row>
    <row r="264" spans="3:34" ht="31.5" x14ac:dyDescent="0.25">
      <c r="C264" s="5"/>
      <c r="D264" s="5"/>
      <c r="E264" s="34"/>
      <c r="F264" s="24" t="s">
        <v>30</v>
      </c>
      <c r="G264" s="4"/>
      <c r="H264" s="4">
        <v>380</v>
      </c>
      <c r="I264" s="4"/>
      <c r="J264" s="12"/>
      <c r="K264" s="12" t="s">
        <v>21</v>
      </c>
      <c r="L264" s="61">
        <f>125.81*1000</f>
        <v>125810</v>
      </c>
      <c r="M264" s="12">
        <f>L264*H264</f>
        <v>47807800</v>
      </c>
      <c r="N264" s="12"/>
      <c r="O264" s="13">
        <v>1.6E-2</v>
      </c>
      <c r="P264" s="14">
        <f t="shared" si="106"/>
        <v>764924.8</v>
      </c>
      <c r="Q264" s="12"/>
      <c r="R264" s="13">
        <v>2.3300000000000001E-2</v>
      </c>
      <c r="S264" s="3">
        <f t="shared" si="107"/>
        <v>1113921.74</v>
      </c>
      <c r="T264" s="12"/>
      <c r="U264" s="13">
        <v>7.0000000000000001E-3</v>
      </c>
      <c r="V264" s="3">
        <f t="shared" si="108"/>
        <v>334654.60000000003</v>
      </c>
      <c r="W264" s="12"/>
      <c r="X264" s="13">
        <v>6.9999999999999999E-4</v>
      </c>
      <c r="Y264" s="3">
        <f t="shared" si="109"/>
        <v>33465.46</v>
      </c>
      <c r="Z264" s="12"/>
      <c r="AA264" s="13">
        <v>1E-3</v>
      </c>
      <c r="AB264" s="3">
        <f t="shared" si="110"/>
        <v>47807.8</v>
      </c>
      <c r="AC264" s="12"/>
      <c r="AD264" s="13">
        <v>1.4E-3</v>
      </c>
      <c r="AE264" s="3">
        <f t="shared" si="111"/>
        <v>66930.92</v>
      </c>
      <c r="AF264" s="7" t="e">
        <f>#REF!+#REF!+#REF!+#REF!+#REF!+#REF!+#REF!+#REF!+#REF!+#REF!+#REF!+#REF!</f>
        <v>#REF!</v>
      </c>
      <c r="AG264" s="1" t="e">
        <f>#REF!+#REF!+#REF!+#REF!+#REF!+#REF!+#REF!+#REF!+#REF!+#REF!+#REF!+#REF!-M264</f>
        <v>#REF!</v>
      </c>
      <c r="AH264" s="1">
        <f t="shared" si="4"/>
        <v>2361705.3200000003</v>
      </c>
    </row>
    <row r="265" spans="3:34" x14ac:dyDescent="0.25">
      <c r="C265" s="2"/>
      <c r="D265" s="2"/>
      <c r="E265" s="17"/>
      <c r="F265" s="66" t="s">
        <v>48</v>
      </c>
      <c r="G265" s="12"/>
      <c r="H265" s="12"/>
      <c r="I265" s="12"/>
      <c r="J265" s="12"/>
      <c r="K265" s="12" t="s">
        <v>49</v>
      </c>
      <c r="L265" s="58"/>
      <c r="M265" s="12"/>
      <c r="N265" s="12"/>
      <c r="O265" s="13"/>
      <c r="P265" s="14"/>
      <c r="Q265" s="12"/>
      <c r="R265" s="13"/>
      <c r="S265" s="14"/>
      <c r="T265" s="12"/>
      <c r="U265" s="13"/>
      <c r="V265" s="14"/>
      <c r="W265" s="12"/>
      <c r="X265" s="13"/>
      <c r="Y265" s="14"/>
      <c r="Z265" s="12">
        <v>0.14000000000000001</v>
      </c>
      <c r="AA265" s="13"/>
      <c r="AB265" s="14">
        <f>Z265*H264</f>
        <v>53.2</v>
      </c>
      <c r="AC265" s="12"/>
      <c r="AD265" s="13"/>
      <c r="AE265" s="14"/>
      <c r="AF265" s="7"/>
      <c r="AG265" s="1"/>
      <c r="AH265" s="1">
        <f t="shared" si="4"/>
        <v>53.2</v>
      </c>
    </row>
    <row r="266" spans="3:34" x14ac:dyDescent="0.25">
      <c r="C266" s="2"/>
      <c r="D266" s="2"/>
      <c r="E266" s="17"/>
      <c r="F266" s="66" t="s">
        <v>48</v>
      </c>
      <c r="G266" s="12"/>
      <c r="H266" s="12"/>
      <c r="I266" s="12"/>
      <c r="J266" s="12"/>
      <c r="K266" s="12" t="s">
        <v>51</v>
      </c>
      <c r="L266" s="58"/>
      <c r="M266" s="12"/>
      <c r="N266" s="12">
        <v>2.25</v>
      </c>
      <c r="O266" s="13"/>
      <c r="P266" s="14">
        <f>N266*H264</f>
        <v>855</v>
      </c>
      <c r="Q266" s="12"/>
      <c r="R266" s="13"/>
      <c r="S266" s="14"/>
      <c r="T266" s="12"/>
      <c r="U266" s="13"/>
      <c r="V266" s="14"/>
      <c r="W266" s="12"/>
      <c r="X266" s="13"/>
      <c r="Y266" s="14"/>
      <c r="Z266" s="12"/>
      <c r="AA266" s="13"/>
      <c r="AB266" s="14"/>
      <c r="AC266" s="12"/>
      <c r="AD266" s="13"/>
      <c r="AE266" s="14"/>
      <c r="AF266" s="7"/>
      <c r="AG266" s="1"/>
      <c r="AH266" s="1">
        <f t="shared" si="4"/>
        <v>855</v>
      </c>
    </row>
    <row r="267" spans="3:34" x14ac:dyDescent="0.25">
      <c r="C267" s="2"/>
      <c r="D267" s="2"/>
      <c r="E267" s="17"/>
      <c r="F267" s="66" t="s">
        <v>48</v>
      </c>
      <c r="G267" s="12"/>
      <c r="H267" s="12"/>
      <c r="I267" s="12"/>
      <c r="J267" s="12"/>
      <c r="K267" s="12" t="s">
        <v>52</v>
      </c>
      <c r="L267" s="58"/>
      <c r="M267" s="12"/>
      <c r="N267" s="12"/>
      <c r="O267" s="13"/>
      <c r="P267" s="14"/>
      <c r="Q267" s="12">
        <v>3.24</v>
      </c>
      <c r="R267" s="13"/>
      <c r="S267" s="14">
        <f>Q267*H264</f>
        <v>1231.2</v>
      </c>
      <c r="T267" s="12"/>
      <c r="U267" s="13"/>
      <c r="V267" s="14"/>
      <c r="W267" s="12"/>
      <c r="X267" s="13"/>
      <c r="Y267" s="14"/>
      <c r="Z267" s="12"/>
      <c r="AA267" s="13"/>
      <c r="AB267" s="14"/>
      <c r="AC267" s="12"/>
      <c r="AD267" s="13"/>
      <c r="AE267" s="14"/>
      <c r="AF267" s="7"/>
      <c r="AG267" s="1"/>
      <c r="AH267" s="1">
        <f t="shared" si="4"/>
        <v>1231.2</v>
      </c>
    </row>
    <row r="268" spans="3:34" x14ac:dyDescent="0.25">
      <c r="C268" s="2"/>
      <c r="D268" s="2"/>
      <c r="E268" s="17"/>
      <c r="F268" s="66" t="s">
        <v>48</v>
      </c>
      <c r="G268" s="12"/>
      <c r="H268" s="12"/>
      <c r="I268" s="12"/>
      <c r="J268" s="12"/>
      <c r="K268" s="12" t="s">
        <v>53</v>
      </c>
      <c r="L268" s="58"/>
      <c r="M268" s="12"/>
      <c r="N268" s="12"/>
      <c r="O268" s="13"/>
      <c r="P268" s="14"/>
      <c r="Q268" s="12"/>
      <c r="R268" s="13"/>
      <c r="S268" s="14"/>
      <c r="T268" s="12">
        <v>0.95</v>
      </c>
      <c r="U268" s="13"/>
      <c r="V268" s="14">
        <f>T268*H264</f>
        <v>361</v>
      </c>
      <c r="W268" s="12"/>
      <c r="X268" s="13"/>
      <c r="Y268" s="14"/>
      <c r="Z268" s="12"/>
      <c r="AA268" s="13"/>
      <c r="AB268" s="14"/>
      <c r="AC268" s="12"/>
      <c r="AD268" s="13"/>
      <c r="AE268" s="14"/>
      <c r="AF268" s="7"/>
      <c r="AG268" s="1"/>
      <c r="AH268" s="1">
        <f t="shared" si="4"/>
        <v>361</v>
      </c>
    </row>
    <row r="269" spans="3:34" x14ac:dyDescent="0.25">
      <c r="C269" s="2"/>
      <c r="D269" s="2"/>
      <c r="E269" s="17"/>
      <c r="F269" s="66" t="s">
        <v>48</v>
      </c>
      <c r="G269" s="12"/>
      <c r="H269" s="12"/>
      <c r="I269" s="12"/>
      <c r="J269" s="12"/>
      <c r="K269" s="12" t="s">
        <v>54</v>
      </c>
      <c r="L269" s="58"/>
      <c r="M269" s="12"/>
      <c r="N269" s="12"/>
      <c r="O269" s="13"/>
      <c r="P269" s="14"/>
      <c r="Q269" s="12"/>
      <c r="R269" s="13"/>
      <c r="S269" s="14"/>
      <c r="T269" s="12"/>
      <c r="U269" s="13"/>
      <c r="V269" s="14"/>
      <c r="W269" s="12">
        <v>0.1</v>
      </c>
      <c r="X269" s="13"/>
      <c r="Y269" s="14">
        <f>W269*H264</f>
        <v>38</v>
      </c>
      <c r="Z269" s="12"/>
      <c r="AA269" s="13"/>
      <c r="AB269" s="14"/>
      <c r="AC269" s="12"/>
      <c r="AD269" s="13"/>
      <c r="AE269" s="14"/>
      <c r="AF269" s="7"/>
      <c r="AG269" s="1"/>
      <c r="AH269" s="1">
        <f t="shared" si="4"/>
        <v>38</v>
      </c>
    </row>
    <row r="270" spans="3:34" x14ac:dyDescent="0.25">
      <c r="C270" s="2"/>
      <c r="D270" s="2"/>
      <c r="E270" s="17"/>
      <c r="F270" s="66" t="s">
        <v>48</v>
      </c>
      <c r="G270" s="12"/>
      <c r="H270" s="12"/>
      <c r="I270" s="12"/>
      <c r="J270" s="12"/>
      <c r="K270" s="12" t="s">
        <v>55</v>
      </c>
      <c r="L270" s="58"/>
      <c r="M270" s="12"/>
      <c r="N270" s="12"/>
      <c r="O270" s="13"/>
      <c r="P270" s="14"/>
      <c r="Q270" s="12"/>
      <c r="R270" s="13"/>
      <c r="S270" s="14"/>
      <c r="T270" s="12"/>
      <c r="U270" s="13"/>
      <c r="V270" s="14"/>
      <c r="W270" s="12"/>
      <c r="X270" s="13"/>
      <c r="Y270" s="14"/>
      <c r="Z270" s="12"/>
      <c r="AA270" s="13"/>
      <c r="AB270" s="14"/>
      <c r="AC270" s="12">
        <v>0.17</v>
      </c>
      <c r="AD270" s="13"/>
      <c r="AE270" s="14">
        <f>AC270*H264</f>
        <v>64.600000000000009</v>
      </c>
      <c r="AF270" s="7"/>
      <c r="AG270" s="1"/>
      <c r="AH270" s="1">
        <f t="shared" si="4"/>
        <v>64.600000000000009</v>
      </c>
    </row>
    <row r="271" spans="3:34" x14ac:dyDescent="0.25">
      <c r="C271" s="2"/>
      <c r="D271" s="2"/>
      <c r="E271" s="17"/>
      <c r="F271" s="25" t="s">
        <v>28</v>
      </c>
      <c r="G271" s="2"/>
      <c r="H271" s="2"/>
      <c r="I271" s="4">
        <v>0</v>
      </c>
      <c r="J271" s="4"/>
      <c r="K271" s="4" t="s">
        <v>25</v>
      </c>
      <c r="L271" s="58">
        <f>276.67*1000</f>
        <v>276670</v>
      </c>
      <c r="M271" s="4">
        <f>L271*I271</f>
        <v>0</v>
      </c>
      <c r="N271" s="4"/>
      <c r="O271" s="6">
        <v>1.5900000000000001E-2</v>
      </c>
      <c r="P271" s="3">
        <f t="shared" ref="P271:P278" si="112">O271*$M271</f>
        <v>0</v>
      </c>
      <c r="Q271" s="4"/>
      <c r="R271" s="6">
        <v>2.4500000000000001E-2</v>
      </c>
      <c r="S271" s="3">
        <f t="shared" ref="S271:S278" si="113">R271*$M271</f>
        <v>0</v>
      </c>
      <c r="T271" s="4"/>
      <c r="U271" s="6">
        <v>2.8999999999999998E-3</v>
      </c>
      <c r="V271" s="3">
        <f t="shared" ref="V271:V278" si="114">U271*$M271</f>
        <v>0</v>
      </c>
      <c r="W271" s="4"/>
      <c r="X271" s="6">
        <v>5.0000000000000001E-4</v>
      </c>
      <c r="Y271" s="3">
        <f t="shared" ref="Y271:Y278" si="115">X271*$M271</f>
        <v>0</v>
      </c>
      <c r="Z271" s="4"/>
      <c r="AA271" s="6">
        <v>1.1000000000000001E-3</v>
      </c>
      <c r="AB271" s="3">
        <f t="shared" ref="AB271:AB278" si="116">AA271*$M271</f>
        <v>0</v>
      </c>
      <c r="AC271" s="4"/>
      <c r="AD271" s="6">
        <v>1.4E-3</v>
      </c>
      <c r="AE271" s="3">
        <f t="shared" ref="AE271:AE278" si="117">AD271*$M271</f>
        <v>0</v>
      </c>
      <c r="AF271" s="7" t="e">
        <f>#REF!+#REF!+#REF!+#REF!+#REF!+#REF!+#REF!+#REF!+#REF!+#REF!+#REF!+#REF!</f>
        <v>#REF!</v>
      </c>
      <c r="AG271" s="1" t="e">
        <f>#REF!+#REF!+#REF!+#REF!+#REF!+#REF!+#REF!+#REF!+#REF!+#REF!+#REF!+#REF!-M271</f>
        <v>#REF!</v>
      </c>
      <c r="AH271" s="1">
        <f t="shared" si="4"/>
        <v>0</v>
      </c>
    </row>
    <row r="272" spans="3:34" x14ac:dyDescent="0.25">
      <c r="C272" s="2"/>
      <c r="D272" s="2"/>
      <c r="E272" s="17"/>
      <c r="F272" s="66" t="s">
        <v>56</v>
      </c>
      <c r="G272" s="12"/>
      <c r="H272" s="12"/>
      <c r="I272" s="12"/>
      <c r="J272" s="12"/>
      <c r="K272" s="12" t="s">
        <v>57</v>
      </c>
      <c r="L272" s="58"/>
      <c r="M272" s="12"/>
      <c r="N272" s="12"/>
      <c r="O272" s="13"/>
      <c r="P272" s="14"/>
      <c r="Q272" s="12"/>
      <c r="R272" s="13"/>
      <c r="S272" s="14"/>
      <c r="T272" s="12"/>
      <c r="U272" s="13"/>
      <c r="V272" s="14"/>
      <c r="W272" s="12"/>
      <c r="X272" s="13"/>
      <c r="Y272" s="14"/>
      <c r="Z272" s="12">
        <v>0.3</v>
      </c>
      <c r="AA272" s="13"/>
      <c r="AB272" s="14">
        <f>Z272*I271</f>
        <v>0</v>
      </c>
      <c r="AC272" s="12"/>
      <c r="AD272" s="13"/>
      <c r="AE272" s="14"/>
      <c r="AF272" s="7"/>
      <c r="AG272" s="1"/>
      <c r="AH272" s="1">
        <f t="shared" ref="AH272:AH277" si="118">AE272+AB272+Y272+V272+S272+P272</f>
        <v>0</v>
      </c>
    </row>
    <row r="273" spans="3:34" x14ac:dyDescent="0.25">
      <c r="C273" s="2"/>
      <c r="D273" s="2"/>
      <c r="E273" s="17"/>
      <c r="F273" s="66" t="s">
        <v>56</v>
      </c>
      <c r="G273" s="12"/>
      <c r="H273" s="12"/>
      <c r="I273" s="12"/>
      <c r="J273" s="12"/>
      <c r="K273" s="12" t="s">
        <v>58</v>
      </c>
      <c r="L273" s="58"/>
      <c r="M273" s="12"/>
      <c r="N273" s="12">
        <v>4.58</v>
      </c>
      <c r="O273" s="13"/>
      <c r="P273" s="14">
        <f>N273*I271</f>
        <v>0</v>
      </c>
      <c r="Q273" s="12"/>
      <c r="R273" s="13"/>
      <c r="S273" s="14"/>
      <c r="T273" s="12"/>
      <c r="U273" s="13"/>
      <c r="V273" s="14"/>
      <c r="W273" s="12"/>
      <c r="X273" s="13"/>
      <c r="Y273" s="14"/>
      <c r="Z273" s="12"/>
      <c r="AA273" s="13"/>
      <c r="AB273" s="14"/>
      <c r="AC273" s="12"/>
      <c r="AD273" s="13"/>
      <c r="AE273" s="14"/>
      <c r="AF273" s="7"/>
      <c r="AG273" s="1"/>
      <c r="AH273" s="1">
        <f t="shared" si="118"/>
        <v>0</v>
      </c>
    </row>
    <row r="274" spans="3:34" x14ac:dyDescent="0.25">
      <c r="C274" s="2"/>
      <c r="D274" s="2"/>
      <c r="E274" s="17"/>
      <c r="F274" s="66" t="s">
        <v>56</v>
      </c>
      <c r="G274" s="12"/>
      <c r="H274" s="12"/>
      <c r="I274" s="12"/>
      <c r="J274" s="12"/>
      <c r="K274" s="12" t="s">
        <v>59</v>
      </c>
      <c r="L274" s="58"/>
      <c r="M274" s="12"/>
      <c r="N274" s="12"/>
      <c r="O274" s="13"/>
      <c r="P274" s="14"/>
      <c r="Q274" s="12">
        <v>6.59</v>
      </c>
      <c r="R274" s="13"/>
      <c r="S274" s="14">
        <f>Q274*I271</f>
        <v>0</v>
      </c>
      <c r="T274" s="12"/>
      <c r="U274" s="13"/>
      <c r="V274" s="14"/>
      <c r="W274" s="12"/>
      <c r="X274" s="13"/>
      <c r="Y274" s="14"/>
      <c r="Z274" s="12"/>
      <c r="AA274" s="13"/>
      <c r="AB274" s="14"/>
      <c r="AC274" s="12"/>
      <c r="AD274" s="13"/>
      <c r="AE274" s="14"/>
      <c r="AF274" s="7"/>
      <c r="AG274" s="1"/>
      <c r="AH274" s="1">
        <f t="shared" si="118"/>
        <v>0</v>
      </c>
    </row>
    <row r="275" spans="3:34" x14ac:dyDescent="0.25">
      <c r="C275" s="2"/>
      <c r="D275" s="2"/>
      <c r="E275" s="17"/>
      <c r="F275" s="66" t="s">
        <v>56</v>
      </c>
      <c r="G275" s="12"/>
      <c r="H275" s="12"/>
      <c r="I275" s="12"/>
      <c r="J275" s="12"/>
      <c r="K275" s="12" t="s">
        <v>60</v>
      </c>
      <c r="L275" s="58"/>
      <c r="M275" s="12"/>
      <c r="N275" s="12"/>
      <c r="O275" s="13"/>
      <c r="P275" s="14"/>
      <c r="Q275" s="12"/>
      <c r="R275" s="13"/>
      <c r="S275" s="14"/>
      <c r="T275" s="12">
        <v>0.87</v>
      </c>
      <c r="U275" s="13"/>
      <c r="V275" s="14">
        <f>T275*I271</f>
        <v>0</v>
      </c>
      <c r="W275" s="12"/>
      <c r="X275" s="13"/>
      <c r="Y275" s="14"/>
      <c r="Z275" s="12"/>
      <c r="AA275" s="13"/>
      <c r="AB275" s="14"/>
      <c r="AC275" s="12"/>
      <c r="AD275" s="13"/>
      <c r="AE275" s="14"/>
      <c r="AF275" s="7"/>
      <c r="AG275" s="1"/>
      <c r="AH275" s="1">
        <f t="shared" si="118"/>
        <v>0</v>
      </c>
    </row>
    <row r="276" spans="3:34" x14ac:dyDescent="0.25">
      <c r="C276" s="2"/>
      <c r="D276" s="2"/>
      <c r="E276" s="17"/>
      <c r="F276" s="66" t="s">
        <v>56</v>
      </c>
      <c r="G276" s="12"/>
      <c r="H276" s="12"/>
      <c r="I276" s="12"/>
      <c r="J276" s="12"/>
      <c r="K276" s="12" t="s">
        <v>61</v>
      </c>
      <c r="L276" s="58"/>
      <c r="M276" s="12"/>
      <c r="N276" s="12"/>
      <c r="O276" s="13"/>
      <c r="P276" s="14"/>
      <c r="Q276" s="12"/>
      <c r="R276" s="13"/>
      <c r="S276" s="14"/>
      <c r="T276" s="12"/>
      <c r="U276" s="13"/>
      <c r="V276" s="14"/>
      <c r="W276" s="12">
        <v>0.13</v>
      </c>
      <c r="X276" s="13"/>
      <c r="Y276" s="14">
        <f>W276*I271</f>
        <v>0</v>
      </c>
      <c r="Z276" s="12"/>
      <c r="AA276" s="13"/>
      <c r="AB276" s="14"/>
      <c r="AC276" s="12"/>
      <c r="AD276" s="13"/>
      <c r="AE276" s="14"/>
      <c r="AF276" s="7"/>
      <c r="AG276" s="1"/>
      <c r="AH276" s="1">
        <f t="shared" si="118"/>
        <v>0</v>
      </c>
    </row>
    <row r="277" spans="3:34" x14ac:dyDescent="0.25">
      <c r="C277" s="2"/>
      <c r="D277" s="2"/>
      <c r="E277" s="17"/>
      <c r="F277" s="66" t="s">
        <v>56</v>
      </c>
      <c r="G277" s="12"/>
      <c r="H277" s="12"/>
      <c r="I277" s="12"/>
      <c r="J277" s="12"/>
      <c r="K277" s="12" t="s">
        <v>62</v>
      </c>
      <c r="L277" s="58"/>
      <c r="M277" s="12"/>
      <c r="N277" s="12"/>
      <c r="O277" s="13"/>
      <c r="P277" s="14"/>
      <c r="Q277" s="12"/>
      <c r="R277" s="13"/>
      <c r="S277" s="14"/>
      <c r="T277" s="12"/>
      <c r="U277" s="13"/>
      <c r="V277" s="14"/>
      <c r="W277" s="12"/>
      <c r="X277" s="13"/>
      <c r="Y277" s="14"/>
      <c r="Z277" s="12"/>
      <c r="AA277" s="13"/>
      <c r="AB277" s="14"/>
      <c r="AC277" s="12">
        <v>0.39</v>
      </c>
      <c r="AD277" s="13"/>
      <c r="AE277" s="14">
        <f>AC277*I271</f>
        <v>0</v>
      </c>
      <c r="AF277" s="7"/>
      <c r="AG277" s="1"/>
      <c r="AH277" s="1">
        <f t="shared" si="118"/>
        <v>0</v>
      </c>
    </row>
    <row r="278" spans="3:34" x14ac:dyDescent="0.25">
      <c r="C278" s="2"/>
      <c r="D278" s="2"/>
      <c r="E278" s="17"/>
      <c r="F278" s="42" t="s">
        <v>29</v>
      </c>
      <c r="G278" s="49"/>
      <c r="H278" s="49"/>
      <c r="I278" s="49"/>
      <c r="J278" s="45">
        <v>21736</v>
      </c>
      <c r="K278" s="2"/>
      <c r="L278" s="58">
        <v>382230</v>
      </c>
      <c r="M278" s="4">
        <f>J278*L278/100</f>
        <v>83081512.799999997</v>
      </c>
      <c r="N278" s="9"/>
      <c r="O278" s="10">
        <v>1.8100000000000002E-2</v>
      </c>
      <c r="P278" s="3">
        <f t="shared" si="112"/>
        <v>1503775.3816800001</v>
      </c>
      <c r="Q278" s="9"/>
      <c r="R278" s="10">
        <v>3.0000000000000001E-3</v>
      </c>
      <c r="S278" s="3">
        <f t="shared" si="113"/>
        <v>249244.53839999999</v>
      </c>
      <c r="T278" s="9"/>
      <c r="U278" s="10">
        <v>7.6E-3</v>
      </c>
      <c r="V278" s="3">
        <f t="shared" si="114"/>
        <v>631419.49728000001</v>
      </c>
      <c r="W278" s="9"/>
      <c r="X278" s="10">
        <v>5.1000000000000004E-3</v>
      </c>
      <c r="Y278" s="3">
        <f t="shared" si="115"/>
        <v>423715.71528</v>
      </c>
      <c r="Z278" s="9"/>
      <c r="AA278" s="10"/>
      <c r="AB278" s="3">
        <f t="shared" si="116"/>
        <v>0</v>
      </c>
      <c r="AC278" s="9"/>
      <c r="AD278" s="10">
        <v>1.4E-3</v>
      </c>
      <c r="AE278" s="3">
        <f t="shared" si="117"/>
        <v>116314.11791999999</v>
      </c>
      <c r="AF278" s="7" t="e">
        <f>#REF!+#REF!+#REF!+#REF!+#REF!+#REF!+#REF!+#REF!+#REF!+#REF!+#REF!+#REF!</f>
        <v>#REF!</v>
      </c>
      <c r="AG278" s="1" t="e">
        <f>#REF!+#REF!+#REF!+#REF!+#REF!+#REF!+#REF!+#REF!+#REF!+#REF!+#REF!+#REF!-M278</f>
        <v>#REF!</v>
      </c>
      <c r="AH278" s="1">
        <f t="shared" si="4"/>
        <v>2924469.2505600001</v>
      </c>
    </row>
    <row r="279" spans="3:34" x14ac:dyDescent="0.25">
      <c r="C279" s="2"/>
      <c r="D279" s="2"/>
      <c r="E279" s="17"/>
      <c r="F279" s="66" t="s">
        <v>56</v>
      </c>
      <c r="G279" s="4"/>
      <c r="H279" s="4"/>
      <c r="I279" s="4"/>
      <c r="J279" s="4"/>
      <c r="K279" s="4" t="s">
        <v>63</v>
      </c>
      <c r="L279" s="58"/>
      <c r="M279" s="4"/>
      <c r="N279" s="4">
        <v>4.67</v>
      </c>
      <c r="O279" s="6"/>
      <c r="P279" s="3">
        <f>N279*J278</f>
        <v>101507.12</v>
      </c>
      <c r="Q279" s="4"/>
      <c r="R279" s="6"/>
      <c r="S279" s="3"/>
      <c r="T279" s="4"/>
      <c r="U279" s="6"/>
      <c r="V279" s="3"/>
      <c r="W279" s="4"/>
      <c r="X279" s="6"/>
      <c r="Y279" s="3"/>
      <c r="Z279" s="4"/>
      <c r="AA279" s="6"/>
      <c r="AB279" s="3"/>
      <c r="AC279" s="4"/>
      <c r="AD279" s="6"/>
      <c r="AE279" s="3"/>
      <c r="AF279" s="7"/>
      <c r="AG279" s="1"/>
      <c r="AH279" s="1">
        <f t="shared" si="4"/>
        <v>101507.12</v>
      </c>
    </row>
    <row r="280" spans="3:34" x14ac:dyDescent="0.25">
      <c r="C280" s="2"/>
      <c r="D280" s="2"/>
      <c r="E280" s="17"/>
      <c r="F280" s="66" t="s">
        <v>56</v>
      </c>
      <c r="G280" s="4"/>
      <c r="H280" s="4"/>
      <c r="I280" s="4"/>
      <c r="J280" s="4"/>
      <c r="K280" s="4" t="s">
        <v>64</v>
      </c>
      <c r="L280" s="58"/>
      <c r="M280" s="4"/>
      <c r="N280" s="4"/>
      <c r="O280" s="6"/>
      <c r="P280" s="3"/>
      <c r="Q280" s="4">
        <v>0.86</v>
      </c>
      <c r="R280" s="6"/>
      <c r="S280" s="3">
        <f>Q280*J278</f>
        <v>18692.96</v>
      </c>
      <c r="T280" s="4"/>
      <c r="U280" s="6"/>
      <c r="V280" s="3"/>
      <c r="W280" s="4"/>
      <c r="X280" s="6"/>
      <c r="Y280" s="3"/>
      <c r="Z280" s="4"/>
      <c r="AA280" s="6"/>
      <c r="AB280" s="3"/>
      <c r="AC280" s="4"/>
      <c r="AD280" s="6"/>
      <c r="AE280" s="3"/>
      <c r="AF280" s="7"/>
      <c r="AG280" s="1"/>
      <c r="AH280" s="1">
        <f t="shared" si="4"/>
        <v>18692.96</v>
      </c>
    </row>
    <row r="281" spans="3:34" x14ac:dyDescent="0.25">
      <c r="C281" s="2"/>
      <c r="D281" s="2"/>
      <c r="E281" s="17"/>
      <c r="F281" s="66" t="s">
        <v>56</v>
      </c>
      <c r="G281" s="12"/>
      <c r="H281" s="12"/>
      <c r="I281" s="12"/>
      <c r="J281" s="12"/>
      <c r="K281" s="12" t="s">
        <v>65</v>
      </c>
      <c r="L281" s="58"/>
      <c r="M281" s="12"/>
      <c r="N281" s="12"/>
      <c r="O281" s="13"/>
      <c r="P281" s="14"/>
      <c r="Q281" s="12"/>
      <c r="R281" s="13"/>
      <c r="S281" s="14"/>
      <c r="T281" s="12">
        <v>1.94</v>
      </c>
      <c r="U281" s="13"/>
      <c r="V281" s="14">
        <f>T281*J278</f>
        <v>42167.839999999997</v>
      </c>
      <c r="W281" s="12"/>
      <c r="X281" s="13"/>
      <c r="Y281" s="14"/>
      <c r="Z281" s="12"/>
      <c r="AA281" s="13"/>
      <c r="AB281" s="14"/>
      <c r="AC281" s="12"/>
      <c r="AD281" s="13"/>
      <c r="AE281" s="14"/>
      <c r="AF281" s="7"/>
      <c r="AG281" s="1"/>
      <c r="AH281" s="1">
        <f t="shared" si="4"/>
        <v>42167.839999999997</v>
      </c>
    </row>
    <row r="282" spans="3:34" x14ac:dyDescent="0.25">
      <c r="C282" s="2"/>
      <c r="D282" s="2"/>
      <c r="E282" s="17"/>
      <c r="F282" s="66" t="s">
        <v>56</v>
      </c>
      <c r="G282" s="12"/>
      <c r="H282" s="12"/>
      <c r="I282" s="12"/>
      <c r="J282" s="12"/>
      <c r="K282" s="12" t="s">
        <v>66</v>
      </c>
      <c r="L282" s="58"/>
      <c r="M282" s="12"/>
      <c r="N282" s="12"/>
      <c r="O282" s="13"/>
      <c r="P282" s="14"/>
      <c r="Q282" s="12"/>
      <c r="R282" s="13"/>
      <c r="S282" s="14"/>
      <c r="T282" s="12"/>
      <c r="U282" s="13"/>
      <c r="V282" s="14"/>
      <c r="W282" s="12">
        <v>1.32</v>
      </c>
      <c r="X282" s="13"/>
      <c r="Y282" s="14">
        <f>W282*J278</f>
        <v>28691.52</v>
      </c>
      <c r="Z282" s="12"/>
      <c r="AA282" s="13"/>
      <c r="AB282" s="14"/>
      <c r="AC282" s="12"/>
      <c r="AD282" s="13"/>
      <c r="AE282" s="14"/>
      <c r="AF282" s="7"/>
      <c r="AG282" s="1"/>
      <c r="AH282" s="1">
        <f t="shared" si="4"/>
        <v>28691.52</v>
      </c>
    </row>
    <row r="283" spans="3:34" x14ac:dyDescent="0.25">
      <c r="C283" s="2"/>
      <c r="D283" s="2"/>
      <c r="E283" s="17"/>
      <c r="F283" s="66" t="s">
        <v>56</v>
      </c>
      <c r="G283" s="12"/>
      <c r="H283" s="12"/>
      <c r="I283" s="12"/>
      <c r="J283" s="12"/>
      <c r="K283" s="12" t="s">
        <v>67</v>
      </c>
      <c r="L283" s="58"/>
      <c r="M283" s="12"/>
      <c r="N283" s="12"/>
      <c r="O283" s="13"/>
      <c r="P283" s="14"/>
      <c r="Q283" s="12"/>
      <c r="R283" s="13"/>
      <c r="S283" s="14"/>
      <c r="T283" s="12"/>
      <c r="U283" s="13"/>
      <c r="V283" s="14"/>
      <c r="W283" s="12"/>
      <c r="X283" s="13"/>
      <c r="Y283" s="14"/>
      <c r="Z283" s="12"/>
      <c r="AA283" s="13"/>
      <c r="AB283" s="14"/>
      <c r="AC283" s="12">
        <v>0.53</v>
      </c>
      <c r="AD283" s="13"/>
      <c r="AE283" s="14">
        <f>AC283*J278</f>
        <v>11520.08</v>
      </c>
      <c r="AF283" s="7"/>
      <c r="AG283" s="1"/>
      <c r="AH283" s="1">
        <f t="shared" si="4"/>
        <v>11520.08</v>
      </c>
    </row>
    <row r="284" spans="3:34" ht="63.75" thickBot="1" x14ac:dyDescent="0.3">
      <c r="C284" s="15"/>
      <c r="D284" s="15"/>
      <c r="E284" s="19"/>
      <c r="F284" s="32" t="s">
        <v>17</v>
      </c>
      <c r="G284" s="36"/>
      <c r="H284" s="36"/>
      <c r="I284" s="36"/>
      <c r="J284" s="36"/>
      <c r="K284" s="36"/>
      <c r="L284" s="62"/>
      <c r="M284" s="27">
        <f>SUM(M257:M283)</f>
        <v>2299144112.8000002</v>
      </c>
      <c r="N284" s="27"/>
      <c r="O284" s="28"/>
      <c r="P284" s="27">
        <f>SUM(P257:P283)</f>
        <v>37102849.401679985</v>
      </c>
      <c r="Q284" s="27"/>
      <c r="R284" s="28"/>
      <c r="S284" s="27">
        <f>SUM(S257:S283)</f>
        <v>51960518.378400013</v>
      </c>
      <c r="T284" s="27"/>
      <c r="U284" s="28"/>
      <c r="V284" s="27">
        <f>SUM(V257:V283)</f>
        <v>16203284.537279999</v>
      </c>
      <c r="W284" s="27"/>
      <c r="X284" s="28"/>
      <c r="Y284" s="27">
        <f>SUM(Y257:Y283)</f>
        <v>2005499.55528</v>
      </c>
      <c r="Z284" s="27"/>
      <c r="AA284" s="28"/>
      <c r="AB284" s="27">
        <f>SUM(AB257:AB283)</f>
        <v>2218771.1999999997</v>
      </c>
      <c r="AC284" s="27"/>
      <c r="AD284" s="28"/>
      <c r="AE284" s="27">
        <f>SUM(AE257:AE283)</f>
        <v>3233403.9379199999</v>
      </c>
      <c r="AF284" s="7" t="e">
        <f>#REF!+#REF!+#REF!+#REF!+#REF!+#REF!+#REF!+#REF!+#REF!+#REF!+#REF!+#REF!</f>
        <v>#REF!</v>
      </c>
      <c r="AG284" s="1" t="e">
        <f>#REF!+#REF!+#REF!+#REF!+#REF!+#REF!+#REF!+#REF!+#REF!+#REF!+#REF!+#REF!-M284</f>
        <v>#REF!</v>
      </c>
      <c r="AH284" s="69">
        <f t="shared" si="4"/>
        <v>112724327.01056001</v>
      </c>
    </row>
    <row r="285" spans="3:34" x14ac:dyDescent="0.25">
      <c r="F285" s="31" t="s">
        <v>32</v>
      </c>
      <c r="G285" s="21">
        <v>45794.5</v>
      </c>
      <c r="H285" s="21">
        <v>29194</v>
      </c>
      <c r="I285" s="21"/>
      <c r="J285" s="21"/>
      <c r="K285" s="21" t="s">
        <v>21</v>
      </c>
      <c r="L285" s="60">
        <f>179.64*1000</f>
        <v>179640</v>
      </c>
      <c r="M285" s="21">
        <f>L285*H285</f>
        <v>5244410160</v>
      </c>
      <c r="N285" s="21"/>
      <c r="O285" s="22">
        <v>1.6E-2</v>
      </c>
      <c r="P285" s="23">
        <f t="shared" ref="P285:P292" si="119">O285*$M285</f>
        <v>83910562.560000002</v>
      </c>
      <c r="Q285" s="21"/>
      <c r="R285" s="22">
        <v>2.3300000000000001E-2</v>
      </c>
      <c r="S285" s="3">
        <f t="shared" ref="S285:S292" si="120">R285*$M285</f>
        <v>122194756.728</v>
      </c>
      <c r="T285" s="21"/>
      <c r="U285" s="22">
        <v>7.0000000000000001E-3</v>
      </c>
      <c r="V285" s="3">
        <f t="shared" ref="V285:V292" si="121">U285*$M285</f>
        <v>36710871.119999997</v>
      </c>
      <c r="W285" s="21"/>
      <c r="X285" s="22">
        <v>6.9999999999999999E-4</v>
      </c>
      <c r="Y285" s="3">
        <f t="shared" ref="Y285:Y292" si="122">X285*$M285</f>
        <v>3671087.1119999997</v>
      </c>
      <c r="Z285" s="21"/>
      <c r="AA285" s="22">
        <v>1E-3</v>
      </c>
      <c r="AB285" s="3">
        <f t="shared" ref="AB285:AB292" si="123">AA285*$M285</f>
        <v>5244410.16</v>
      </c>
      <c r="AC285" s="21"/>
      <c r="AD285" s="22">
        <v>1.4E-3</v>
      </c>
      <c r="AE285" s="3">
        <f t="shared" ref="AE285:AE292" si="124">AD285*$M285</f>
        <v>7342174.2239999995</v>
      </c>
      <c r="AF285" s="7" t="e">
        <f>#REF!+#REF!+#REF!+#REF!+#REF!+#REF!+#REF!+#REF!+#REF!+#REF!+#REF!+#REF!</f>
        <v>#REF!</v>
      </c>
      <c r="AG285" s="1" t="e">
        <f>#REF!+#REF!+#REF!+#REF!+#REF!+#REF!+#REF!+#REF!+#REF!+#REF!+#REF!+#REF!-M285</f>
        <v>#REF!</v>
      </c>
      <c r="AH285" s="1">
        <f t="shared" si="4"/>
        <v>259073861.90399998</v>
      </c>
    </row>
    <row r="286" spans="3:34" x14ac:dyDescent="0.25">
      <c r="C286" s="2"/>
      <c r="D286" s="2"/>
      <c r="E286" s="17"/>
      <c r="F286" s="66" t="s">
        <v>48</v>
      </c>
      <c r="G286" s="12"/>
      <c r="H286" s="12"/>
      <c r="I286" s="12"/>
      <c r="J286" s="12"/>
      <c r="K286" s="12" t="s">
        <v>49</v>
      </c>
      <c r="L286" s="58"/>
      <c r="M286" s="12"/>
      <c r="N286" s="12"/>
      <c r="O286" s="13"/>
      <c r="P286" s="14"/>
      <c r="Q286" s="12"/>
      <c r="R286" s="13"/>
      <c r="S286" s="14"/>
      <c r="T286" s="12"/>
      <c r="U286" s="13"/>
      <c r="V286" s="14"/>
      <c r="W286" s="12"/>
      <c r="X286" s="13"/>
      <c r="Y286" s="14"/>
      <c r="Z286" s="12">
        <v>0.22</v>
      </c>
      <c r="AA286" s="13"/>
      <c r="AB286" s="14">
        <f>Z286*H285</f>
        <v>6422.68</v>
      </c>
      <c r="AC286" s="12"/>
      <c r="AD286" s="13"/>
      <c r="AE286" s="14"/>
      <c r="AF286" s="7"/>
      <c r="AG286" s="1"/>
      <c r="AH286" s="1">
        <f t="shared" ref="AH286:AH291" si="125">AE286+AB286+Y286+V286+S286+P286</f>
        <v>6422.68</v>
      </c>
    </row>
    <row r="287" spans="3:34" x14ac:dyDescent="0.25">
      <c r="C287" s="2"/>
      <c r="D287" s="2"/>
      <c r="E287" s="17"/>
      <c r="F287" s="66" t="s">
        <v>48</v>
      </c>
      <c r="G287" s="12"/>
      <c r="H287" s="12"/>
      <c r="I287" s="12"/>
      <c r="J287" s="12"/>
      <c r="K287" s="12" t="s">
        <v>51</v>
      </c>
      <c r="L287" s="58"/>
      <c r="M287" s="12"/>
      <c r="N287" s="12">
        <v>3.29</v>
      </c>
      <c r="O287" s="13"/>
      <c r="P287" s="14">
        <f>N287*H285</f>
        <v>96048.26</v>
      </c>
      <c r="Q287" s="12"/>
      <c r="R287" s="13"/>
      <c r="S287" s="14"/>
      <c r="T287" s="12"/>
      <c r="U287" s="13"/>
      <c r="V287" s="14"/>
      <c r="W287" s="12"/>
      <c r="X287" s="13"/>
      <c r="Y287" s="14"/>
      <c r="Z287" s="12"/>
      <c r="AA287" s="13"/>
      <c r="AB287" s="14"/>
      <c r="AC287" s="12"/>
      <c r="AD287" s="13"/>
      <c r="AE287" s="14"/>
      <c r="AF287" s="7"/>
      <c r="AG287" s="1"/>
      <c r="AH287" s="1">
        <f t="shared" si="125"/>
        <v>96048.26</v>
      </c>
    </row>
    <row r="288" spans="3:34" x14ac:dyDescent="0.25">
      <c r="C288" s="2"/>
      <c r="D288" s="2"/>
      <c r="E288" s="17"/>
      <c r="F288" s="66" t="s">
        <v>48</v>
      </c>
      <c r="G288" s="12"/>
      <c r="H288" s="12"/>
      <c r="I288" s="12"/>
      <c r="J288" s="12"/>
      <c r="K288" s="12" t="s">
        <v>52</v>
      </c>
      <c r="L288" s="58"/>
      <c r="M288" s="12"/>
      <c r="N288" s="12"/>
      <c r="O288" s="13"/>
      <c r="P288" s="14"/>
      <c r="Q288" s="12">
        <v>4.7300000000000004</v>
      </c>
      <c r="R288" s="13"/>
      <c r="S288" s="14">
        <f>Q288*H285</f>
        <v>138087.62000000002</v>
      </c>
      <c r="T288" s="12"/>
      <c r="U288" s="13"/>
      <c r="V288" s="14"/>
      <c r="W288" s="12"/>
      <c r="X288" s="13"/>
      <c r="Y288" s="14"/>
      <c r="Z288" s="12"/>
      <c r="AA288" s="13"/>
      <c r="AB288" s="14"/>
      <c r="AC288" s="12"/>
      <c r="AD288" s="13"/>
      <c r="AE288" s="14"/>
      <c r="AF288" s="7"/>
      <c r="AG288" s="1"/>
      <c r="AH288" s="1">
        <f t="shared" si="125"/>
        <v>138087.62000000002</v>
      </c>
    </row>
    <row r="289" spans="3:34" x14ac:dyDescent="0.25">
      <c r="C289" s="2"/>
      <c r="D289" s="2"/>
      <c r="E289" s="17"/>
      <c r="F289" s="66" t="s">
        <v>48</v>
      </c>
      <c r="G289" s="12"/>
      <c r="H289" s="12"/>
      <c r="I289" s="12"/>
      <c r="J289" s="12"/>
      <c r="K289" s="12" t="s">
        <v>53</v>
      </c>
      <c r="L289" s="58"/>
      <c r="M289" s="12"/>
      <c r="N289" s="12"/>
      <c r="O289" s="13"/>
      <c r="P289" s="14"/>
      <c r="Q289" s="12"/>
      <c r="R289" s="13"/>
      <c r="S289" s="14"/>
      <c r="T289" s="12">
        <v>1.4</v>
      </c>
      <c r="U289" s="13"/>
      <c r="V289" s="14">
        <f>T289*H285</f>
        <v>40871.599999999999</v>
      </c>
      <c r="W289" s="12"/>
      <c r="X289" s="13"/>
      <c r="Y289" s="14"/>
      <c r="Z289" s="12"/>
      <c r="AA289" s="13"/>
      <c r="AB289" s="14"/>
      <c r="AC289" s="12"/>
      <c r="AD289" s="13"/>
      <c r="AE289" s="14"/>
      <c r="AF289" s="7"/>
      <c r="AG289" s="1"/>
      <c r="AH289" s="1">
        <f t="shared" si="125"/>
        <v>40871.599999999999</v>
      </c>
    </row>
    <row r="290" spans="3:34" x14ac:dyDescent="0.25">
      <c r="C290" s="2"/>
      <c r="D290" s="2"/>
      <c r="E290" s="17"/>
      <c r="F290" s="66" t="s">
        <v>48</v>
      </c>
      <c r="G290" s="12"/>
      <c r="H290" s="12"/>
      <c r="I290" s="12"/>
      <c r="J290" s="12"/>
      <c r="K290" s="12" t="s">
        <v>54</v>
      </c>
      <c r="L290" s="58"/>
      <c r="M290" s="12"/>
      <c r="N290" s="12"/>
      <c r="O290" s="13"/>
      <c r="P290" s="14"/>
      <c r="Q290" s="12"/>
      <c r="R290" s="13"/>
      <c r="S290" s="14"/>
      <c r="T290" s="12"/>
      <c r="U290" s="13"/>
      <c r="V290" s="14"/>
      <c r="W290" s="12">
        <v>0.15</v>
      </c>
      <c r="X290" s="13"/>
      <c r="Y290" s="14">
        <f>W290*H285</f>
        <v>4379.0999999999995</v>
      </c>
      <c r="Z290" s="12"/>
      <c r="AA290" s="13"/>
      <c r="AB290" s="14"/>
      <c r="AC290" s="12"/>
      <c r="AD290" s="13"/>
      <c r="AE290" s="14"/>
      <c r="AF290" s="7"/>
      <c r="AG290" s="1"/>
      <c r="AH290" s="1">
        <f t="shared" si="125"/>
        <v>4379.0999999999995</v>
      </c>
    </row>
    <row r="291" spans="3:34" x14ac:dyDescent="0.25">
      <c r="C291" s="2"/>
      <c r="D291" s="2"/>
      <c r="E291" s="17"/>
      <c r="F291" s="66" t="s">
        <v>48</v>
      </c>
      <c r="G291" s="12"/>
      <c r="H291" s="12"/>
      <c r="I291" s="12"/>
      <c r="J291" s="12"/>
      <c r="K291" s="12" t="s">
        <v>55</v>
      </c>
      <c r="L291" s="58"/>
      <c r="M291" s="12"/>
      <c r="N291" s="12"/>
      <c r="O291" s="13"/>
      <c r="P291" s="14"/>
      <c r="Q291" s="12"/>
      <c r="R291" s="13"/>
      <c r="S291" s="14"/>
      <c r="T291" s="12"/>
      <c r="U291" s="13"/>
      <c r="V291" s="14"/>
      <c r="W291" s="12"/>
      <c r="X291" s="13"/>
      <c r="Y291" s="14"/>
      <c r="Z291" s="12"/>
      <c r="AA291" s="13"/>
      <c r="AB291" s="14"/>
      <c r="AC291" s="12">
        <v>0.25</v>
      </c>
      <c r="AD291" s="13"/>
      <c r="AE291" s="14">
        <f>AC291*H285</f>
        <v>7298.5</v>
      </c>
      <c r="AF291" s="7"/>
      <c r="AG291" s="1"/>
      <c r="AH291" s="1">
        <f t="shared" si="125"/>
        <v>7298.5</v>
      </c>
    </row>
    <row r="292" spans="3:34" ht="31.5" x14ac:dyDescent="0.25">
      <c r="F292" s="24" t="s">
        <v>30</v>
      </c>
      <c r="G292" s="4"/>
      <c r="H292" s="4">
        <v>880.5</v>
      </c>
      <c r="I292" s="4"/>
      <c r="J292" s="12"/>
      <c r="K292" s="12" t="s">
        <v>21</v>
      </c>
      <c r="L292" s="61">
        <f>125.81*1000</f>
        <v>125810</v>
      </c>
      <c r="M292" s="12">
        <f>L292*H292</f>
        <v>110775705</v>
      </c>
      <c r="N292" s="12"/>
      <c r="O292" s="13">
        <v>1.6E-2</v>
      </c>
      <c r="P292" s="14">
        <f t="shared" si="119"/>
        <v>1772411.28</v>
      </c>
      <c r="Q292" s="12"/>
      <c r="R292" s="13">
        <v>2.3300000000000001E-2</v>
      </c>
      <c r="S292" s="3">
        <f t="shared" si="120"/>
        <v>2581073.9265000001</v>
      </c>
      <c r="T292" s="12"/>
      <c r="U292" s="13">
        <v>7.0000000000000001E-3</v>
      </c>
      <c r="V292" s="3">
        <f t="shared" si="121"/>
        <v>775429.93500000006</v>
      </c>
      <c r="W292" s="12"/>
      <c r="X292" s="13">
        <v>6.9999999999999999E-4</v>
      </c>
      <c r="Y292" s="3">
        <f t="shared" si="122"/>
        <v>77542.993499999997</v>
      </c>
      <c r="Z292" s="12"/>
      <c r="AA292" s="13">
        <v>1E-3</v>
      </c>
      <c r="AB292" s="3">
        <f t="shared" si="123"/>
        <v>110775.705</v>
      </c>
      <c r="AC292" s="12"/>
      <c r="AD292" s="13">
        <v>1.4E-3</v>
      </c>
      <c r="AE292" s="3">
        <f t="shared" si="124"/>
        <v>155085.98699999999</v>
      </c>
      <c r="AF292" s="7" t="e">
        <f>#REF!+#REF!+#REF!+#REF!+#REF!+#REF!+#REF!+#REF!+#REF!+#REF!+#REF!+#REF!</f>
        <v>#REF!</v>
      </c>
      <c r="AG292" s="1" t="e">
        <f>#REF!+#REF!+#REF!+#REF!+#REF!+#REF!+#REF!+#REF!+#REF!+#REF!+#REF!+#REF!-M292</f>
        <v>#REF!</v>
      </c>
      <c r="AH292" s="1">
        <f t="shared" si="4"/>
        <v>5472319.8270000005</v>
      </c>
    </row>
    <row r="293" spans="3:34" x14ac:dyDescent="0.25">
      <c r="C293" s="2"/>
      <c r="D293" s="2"/>
      <c r="E293" s="17"/>
      <c r="F293" s="66" t="s">
        <v>48</v>
      </c>
      <c r="G293" s="12"/>
      <c r="H293" s="12"/>
      <c r="I293" s="12"/>
      <c r="J293" s="12"/>
      <c r="K293" s="12" t="s">
        <v>49</v>
      </c>
      <c r="L293" s="58"/>
      <c r="M293" s="12"/>
      <c r="N293" s="12"/>
      <c r="O293" s="13"/>
      <c r="P293" s="14"/>
      <c r="Q293" s="12"/>
      <c r="R293" s="13"/>
      <c r="S293" s="14"/>
      <c r="T293" s="12"/>
      <c r="U293" s="13"/>
      <c r="V293" s="14"/>
      <c r="W293" s="12"/>
      <c r="X293" s="13"/>
      <c r="Y293" s="14"/>
      <c r="Z293" s="12">
        <v>0.14000000000000001</v>
      </c>
      <c r="AA293" s="13"/>
      <c r="AB293" s="14">
        <f>Z293*H292</f>
        <v>123.27000000000001</v>
      </c>
      <c r="AC293" s="12"/>
      <c r="AD293" s="13"/>
      <c r="AE293" s="14"/>
      <c r="AF293" s="7"/>
      <c r="AG293" s="1"/>
      <c r="AH293" s="1">
        <f t="shared" ref="AH293:AH298" si="126">AE293+AB293+Y293+V293+S293+P293</f>
        <v>123.27000000000001</v>
      </c>
    </row>
    <row r="294" spans="3:34" x14ac:dyDescent="0.25">
      <c r="C294" s="2"/>
      <c r="D294" s="2"/>
      <c r="E294" s="17"/>
      <c r="F294" s="66" t="s">
        <v>48</v>
      </c>
      <c r="G294" s="12"/>
      <c r="H294" s="12"/>
      <c r="I294" s="12"/>
      <c r="J294" s="12"/>
      <c r="K294" s="12" t="s">
        <v>51</v>
      </c>
      <c r="L294" s="58"/>
      <c r="M294" s="12"/>
      <c r="N294" s="12">
        <v>2.25</v>
      </c>
      <c r="O294" s="13"/>
      <c r="P294" s="14">
        <f>N294*H292</f>
        <v>1981.125</v>
      </c>
      <c r="Q294" s="12"/>
      <c r="R294" s="13"/>
      <c r="S294" s="14"/>
      <c r="T294" s="12"/>
      <c r="U294" s="13"/>
      <c r="V294" s="14"/>
      <c r="W294" s="12"/>
      <c r="X294" s="13"/>
      <c r="Y294" s="14"/>
      <c r="Z294" s="12"/>
      <c r="AA294" s="13"/>
      <c r="AB294" s="14"/>
      <c r="AC294" s="12"/>
      <c r="AD294" s="13"/>
      <c r="AE294" s="14"/>
      <c r="AF294" s="7"/>
      <c r="AG294" s="1"/>
      <c r="AH294" s="1">
        <f t="shared" si="126"/>
        <v>1981.125</v>
      </c>
    </row>
    <row r="295" spans="3:34" x14ac:dyDescent="0.25">
      <c r="C295" s="2"/>
      <c r="D295" s="2"/>
      <c r="E295" s="17"/>
      <c r="F295" s="66" t="s">
        <v>48</v>
      </c>
      <c r="G295" s="12"/>
      <c r="H295" s="12"/>
      <c r="I295" s="12"/>
      <c r="J295" s="12"/>
      <c r="K295" s="12" t="s">
        <v>52</v>
      </c>
      <c r="L295" s="58"/>
      <c r="M295" s="12"/>
      <c r="N295" s="12"/>
      <c r="O295" s="13"/>
      <c r="P295" s="14"/>
      <c r="Q295" s="12">
        <v>3.24</v>
      </c>
      <c r="R295" s="13"/>
      <c r="S295" s="14">
        <f>Q295*H292</f>
        <v>2852.82</v>
      </c>
      <c r="T295" s="12"/>
      <c r="U295" s="13"/>
      <c r="V295" s="14"/>
      <c r="W295" s="12"/>
      <c r="X295" s="13"/>
      <c r="Y295" s="14"/>
      <c r="Z295" s="12"/>
      <c r="AA295" s="13"/>
      <c r="AB295" s="14"/>
      <c r="AC295" s="12"/>
      <c r="AD295" s="13"/>
      <c r="AE295" s="14"/>
      <c r="AF295" s="7"/>
      <c r="AG295" s="1"/>
      <c r="AH295" s="1">
        <f t="shared" si="126"/>
        <v>2852.82</v>
      </c>
    </row>
    <row r="296" spans="3:34" x14ac:dyDescent="0.25">
      <c r="C296" s="2"/>
      <c r="D296" s="2"/>
      <c r="E296" s="17"/>
      <c r="F296" s="66" t="s">
        <v>48</v>
      </c>
      <c r="G296" s="12"/>
      <c r="H296" s="12"/>
      <c r="I296" s="12"/>
      <c r="J296" s="12"/>
      <c r="K296" s="12" t="s">
        <v>53</v>
      </c>
      <c r="L296" s="58"/>
      <c r="M296" s="12"/>
      <c r="N296" s="12"/>
      <c r="O296" s="13"/>
      <c r="P296" s="14"/>
      <c r="Q296" s="12"/>
      <c r="R296" s="13"/>
      <c r="S296" s="14"/>
      <c r="T296" s="12">
        <v>0.95</v>
      </c>
      <c r="U296" s="13"/>
      <c r="V296" s="14">
        <f>T296*H292</f>
        <v>836.47499999999991</v>
      </c>
      <c r="W296" s="12"/>
      <c r="X296" s="13"/>
      <c r="Y296" s="14"/>
      <c r="Z296" s="12"/>
      <c r="AA296" s="13"/>
      <c r="AB296" s="14"/>
      <c r="AC296" s="12"/>
      <c r="AD296" s="13"/>
      <c r="AE296" s="14"/>
      <c r="AF296" s="7"/>
      <c r="AG296" s="1"/>
      <c r="AH296" s="1">
        <f t="shared" si="126"/>
        <v>836.47499999999991</v>
      </c>
    </row>
    <row r="297" spans="3:34" x14ac:dyDescent="0.25">
      <c r="C297" s="2"/>
      <c r="D297" s="2"/>
      <c r="E297" s="17"/>
      <c r="F297" s="66" t="s">
        <v>48</v>
      </c>
      <c r="G297" s="12"/>
      <c r="H297" s="12"/>
      <c r="I297" s="12"/>
      <c r="J297" s="12"/>
      <c r="K297" s="12" t="s">
        <v>54</v>
      </c>
      <c r="L297" s="58"/>
      <c r="M297" s="12"/>
      <c r="N297" s="12"/>
      <c r="O297" s="13"/>
      <c r="P297" s="14"/>
      <c r="Q297" s="12"/>
      <c r="R297" s="13"/>
      <c r="S297" s="14"/>
      <c r="T297" s="12"/>
      <c r="U297" s="13"/>
      <c r="V297" s="14"/>
      <c r="W297" s="12">
        <v>0.1</v>
      </c>
      <c r="X297" s="13"/>
      <c r="Y297" s="14">
        <f>W297*H292</f>
        <v>88.050000000000011</v>
      </c>
      <c r="Z297" s="12"/>
      <c r="AA297" s="13"/>
      <c r="AB297" s="14"/>
      <c r="AC297" s="12"/>
      <c r="AD297" s="13"/>
      <c r="AE297" s="14"/>
      <c r="AF297" s="7"/>
      <c r="AG297" s="1"/>
      <c r="AH297" s="1">
        <f t="shared" si="126"/>
        <v>88.050000000000011</v>
      </c>
    </row>
    <row r="298" spans="3:34" x14ac:dyDescent="0.25">
      <c r="C298" s="2"/>
      <c r="D298" s="2"/>
      <c r="E298" s="17"/>
      <c r="F298" s="66" t="s">
        <v>48</v>
      </c>
      <c r="G298" s="12"/>
      <c r="H298" s="12"/>
      <c r="I298" s="12"/>
      <c r="J298" s="12"/>
      <c r="K298" s="12" t="s">
        <v>55</v>
      </c>
      <c r="L298" s="58"/>
      <c r="M298" s="12"/>
      <c r="N298" s="12"/>
      <c r="O298" s="13"/>
      <c r="P298" s="14"/>
      <c r="Q298" s="12"/>
      <c r="R298" s="13"/>
      <c r="S298" s="14"/>
      <c r="T298" s="12"/>
      <c r="U298" s="13"/>
      <c r="V298" s="14"/>
      <c r="W298" s="12"/>
      <c r="X298" s="13"/>
      <c r="Y298" s="14"/>
      <c r="Z298" s="12"/>
      <c r="AA298" s="13"/>
      <c r="AB298" s="14"/>
      <c r="AC298" s="12">
        <v>0.17</v>
      </c>
      <c r="AD298" s="13"/>
      <c r="AE298" s="14">
        <f>AC298*H292</f>
        <v>149.685</v>
      </c>
      <c r="AF298" s="7"/>
      <c r="AG298" s="1"/>
      <c r="AH298" s="1">
        <f t="shared" si="126"/>
        <v>149.685</v>
      </c>
    </row>
    <row r="299" spans="3:34" x14ac:dyDescent="0.25">
      <c r="F299" s="25" t="s">
        <v>28</v>
      </c>
      <c r="G299" s="2"/>
      <c r="H299" s="2"/>
      <c r="I299" s="4">
        <f>73*3*6</f>
        <v>1314</v>
      </c>
      <c r="J299" s="4"/>
      <c r="K299" s="4" t="s">
        <v>25</v>
      </c>
      <c r="L299" s="58">
        <f>276.67*1000</f>
        <v>276670</v>
      </c>
      <c r="M299" s="4">
        <f>L299*I299</f>
        <v>363544380</v>
      </c>
      <c r="N299" s="4"/>
      <c r="O299" s="6">
        <v>1.5900000000000001E-2</v>
      </c>
      <c r="P299" s="3">
        <f t="shared" ref="P299:P306" si="127">O299*$M299</f>
        <v>5780355.642</v>
      </c>
      <c r="Q299" s="4"/>
      <c r="R299" s="6">
        <v>2.4500000000000001E-2</v>
      </c>
      <c r="S299" s="3">
        <f t="shared" ref="S299:S306" si="128">R299*$M299</f>
        <v>8906837.3100000005</v>
      </c>
      <c r="T299" s="4"/>
      <c r="U299" s="6">
        <v>2.8999999999999998E-3</v>
      </c>
      <c r="V299" s="3">
        <f t="shared" ref="V299:V306" si="129">U299*$M299</f>
        <v>1054278.7019999998</v>
      </c>
      <c r="W299" s="4"/>
      <c r="X299" s="6">
        <v>5.0000000000000001E-4</v>
      </c>
      <c r="Y299" s="3">
        <f t="shared" ref="Y299:Y306" si="130">X299*$M299</f>
        <v>181772.19</v>
      </c>
      <c r="Z299" s="4"/>
      <c r="AA299" s="6">
        <v>1.1000000000000001E-3</v>
      </c>
      <c r="AB299" s="3">
        <f t="shared" ref="AB299:AB306" si="131">AA299*$M299</f>
        <v>399898.81800000003</v>
      </c>
      <c r="AC299" s="4"/>
      <c r="AD299" s="6">
        <v>1.4E-3</v>
      </c>
      <c r="AE299" s="3">
        <f t="shared" ref="AE299:AE306" si="132">AD299*$M299</f>
        <v>508962.13199999998</v>
      </c>
      <c r="AF299" s="7" t="e">
        <f>#REF!+#REF!+#REF!+#REF!+#REF!+#REF!+#REF!+#REF!+#REF!+#REF!+#REF!+#REF!</f>
        <v>#REF!</v>
      </c>
      <c r="AG299" s="1" t="e">
        <f>#REF!+#REF!+#REF!+#REF!+#REF!+#REF!+#REF!+#REF!+#REF!+#REF!+#REF!+#REF!-M299</f>
        <v>#REF!</v>
      </c>
      <c r="AH299" s="1">
        <f t="shared" si="4"/>
        <v>16832104.794</v>
      </c>
    </row>
    <row r="300" spans="3:34" x14ac:dyDescent="0.25">
      <c r="C300" s="2"/>
      <c r="D300" s="2"/>
      <c r="E300" s="17"/>
      <c r="F300" s="66" t="s">
        <v>56</v>
      </c>
      <c r="G300" s="12"/>
      <c r="H300" s="12"/>
      <c r="I300" s="12"/>
      <c r="J300" s="12"/>
      <c r="K300" s="12" t="s">
        <v>57</v>
      </c>
      <c r="L300" s="58"/>
      <c r="M300" s="12"/>
      <c r="N300" s="12"/>
      <c r="O300" s="13"/>
      <c r="P300" s="14"/>
      <c r="Q300" s="12"/>
      <c r="R300" s="13"/>
      <c r="S300" s="14"/>
      <c r="T300" s="12"/>
      <c r="U300" s="13"/>
      <c r="V300" s="14"/>
      <c r="W300" s="12"/>
      <c r="X300" s="13"/>
      <c r="Y300" s="14"/>
      <c r="Z300" s="12">
        <v>0.3</v>
      </c>
      <c r="AA300" s="13"/>
      <c r="AB300" s="14">
        <f>Z300*I299</f>
        <v>394.2</v>
      </c>
      <c r="AC300" s="12"/>
      <c r="AD300" s="13"/>
      <c r="AE300" s="14"/>
      <c r="AF300" s="7"/>
      <c r="AG300" s="1"/>
      <c r="AH300" s="1">
        <f t="shared" si="4"/>
        <v>394.2</v>
      </c>
    </row>
    <row r="301" spans="3:34" x14ac:dyDescent="0.25">
      <c r="C301" s="2"/>
      <c r="D301" s="2"/>
      <c r="E301" s="17"/>
      <c r="F301" s="66" t="s">
        <v>56</v>
      </c>
      <c r="G301" s="12"/>
      <c r="H301" s="12"/>
      <c r="I301" s="12"/>
      <c r="J301" s="12"/>
      <c r="K301" s="12" t="s">
        <v>58</v>
      </c>
      <c r="L301" s="58"/>
      <c r="M301" s="12"/>
      <c r="N301" s="12">
        <v>4.58</v>
      </c>
      <c r="O301" s="13"/>
      <c r="P301" s="14">
        <f>N301*I299</f>
        <v>6018.12</v>
      </c>
      <c r="Q301" s="12"/>
      <c r="R301" s="13"/>
      <c r="S301" s="14"/>
      <c r="T301" s="12"/>
      <c r="U301" s="13"/>
      <c r="V301" s="14"/>
      <c r="W301" s="12"/>
      <c r="X301" s="13"/>
      <c r="Y301" s="14"/>
      <c r="Z301" s="12"/>
      <c r="AA301" s="13"/>
      <c r="AB301" s="14"/>
      <c r="AC301" s="12"/>
      <c r="AD301" s="13"/>
      <c r="AE301" s="14"/>
      <c r="AF301" s="7"/>
      <c r="AG301" s="1"/>
      <c r="AH301" s="1">
        <f t="shared" si="4"/>
        <v>6018.12</v>
      </c>
    </row>
    <row r="302" spans="3:34" x14ac:dyDescent="0.25">
      <c r="C302" s="2"/>
      <c r="D302" s="2"/>
      <c r="E302" s="17"/>
      <c r="F302" s="66" t="s">
        <v>56</v>
      </c>
      <c r="G302" s="12"/>
      <c r="H302" s="12"/>
      <c r="I302" s="12"/>
      <c r="J302" s="12"/>
      <c r="K302" s="12" t="s">
        <v>59</v>
      </c>
      <c r="L302" s="58"/>
      <c r="M302" s="12"/>
      <c r="N302" s="12"/>
      <c r="O302" s="13"/>
      <c r="P302" s="14"/>
      <c r="Q302" s="12">
        <v>6.59</v>
      </c>
      <c r="R302" s="13"/>
      <c r="S302" s="14">
        <f>Q302*I299</f>
        <v>8659.26</v>
      </c>
      <c r="T302" s="12"/>
      <c r="U302" s="13"/>
      <c r="V302" s="14"/>
      <c r="W302" s="12"/>
      <c r="X302" s="13"/>
      <c r="Y302" s="14"/>
      <c r="Z302" s="12"/>
      <c r="AA302" s="13"/>
      <c r="AB302" s="14"/>
      <c r="AC302" s="12"/>
      <c r="AD302" s="13"/>
      <c r="AE302" s="14"/>
      <c r="AF302" s="7"/>
      <c r="AG302" s="1"/>
      <c r="AH302" s="1">
        <f t="shared" si="4"/>
        <v>8659.26</v>
      </c>
    </row>
    <row r="303" spans="3:34" x14ac:dyDescent="0.25">
      <c r="C303" s="2"/>
      <c r="D303" s="2"/>
      <c r="E303" s="17"/>
      <c r="F303" s="66" t="s">
        <v>56</v>
      </c>
      <c r="G303" s="12"/>
      <c r="H303" s="12"/>
      <c r="I303" s="12"/>
      <c r="J303" s="12"/>
      <c r="K303" s="12" t="s">
        <v>60</v>
      </c>
      <c r="L303" s="58"/>
      <c r="M303" s="12"/>
      <c r="N303" s="12"/>
      <c r="O303" s="13"/>
      <c r="P303" s="14"/>
      <c r="Q303" s="12"/>
      <c r="R303" s="13"/>
      <c r="S303" s="14"/>
      <c r="T303" s="12">
        <v>0.87</v>
      </c>
      <c r="U303" s="13"/>
      <c r="V303" s="14">
        <f>T303*I299</f>
        <v>1143.18</v>
      </c>
      <c r="W303" s="12"/>
      <c r="X303" s="13"/>
      <c r="Y303" s="14"/>
      <c r="Z303" s="12"/>
      <c r="AA303" s="13"/>
      <c r="AB303" s="14"/>
      <c r="AC303" s="12"/>
      <c r="AD303" s="13"/>
      <c r="AE303" s="14"/>
      <c r="AF303" s="7"/>
      <c r="AG303" s="1"/>
      <c r="AH303" s="1">
        <f t="shared" si="4"/>
        <v>1143.18</v>
      </c>
    </row>
    <row r="304" spans="3:34" x14ac:dyDescent="0.25">
      <c r="C304" s="2"/>
      <c r="D304" s="2"/>
      <c r="E304" s="17"/>
      <c r="F304" s="66" t="s">
        <v>56</v>
      </c>
      <c r="G304" s="12"/>
      <c r="H304" s="12"/>
      <c r="I304" s="12"/>
      <c r="J304" s="12"/>
      <c r="K304" s="12" t="s">
        <v>61</v>
      </c>
      <c r="L304" s="58"/>
      <c r="M304" s="12"/>
      <c r="N304" s="12"/>
      <c r="O304" s="13"/>
      <c r="P304" s="14"/>
      <c r="Q304" s="12"/>
      <c r="R304" s="13"/>
      <c r="S304" s="14"/>
      <c r="T304" s="12"/>
      <c r="U304" s="13"/>
      <c r="V304" s="14"/>
      <c r="W304" s="12">
        <v>0.13</v>
      </c>
      <c r="X304" s="13"/>
      <c r="Y304" s="14">
        <f>W304*I299</f>
        <v>170.82</v>
      </c>
      <c r="Z304" s="12"/>
      <c r="AA304" s="13"/>
      <c r="AB304" s="14"/>
      <c r="AC304" s="12"/>
      <c r="AD304" s="13"/>
      <c r="AE304" s="14"/>
      <c r="AF304" s="7"/>
      <c r="AG304" s="1"/>
      <c r="AH304" s="1">
        <f t="shared" si="4"/>
        <v>170.82</v>
      </c>
    </row>
    <row r="305" spans="3:34" x14ac:dyDescent="0.25">
      <c r="C305" s="2"/>
      <c r="D305" s="2"/>
      <c r="E305" s="17"/>
      <c r="F305" s="66" t="s">
        <v>56</v>
      </c>
      <c r="G305" s="12"/>
      <c r="H305" s="12"/>
      <c r="I305" s="12"/>
      <c r="J305" s="12"/>
      <c r="K305" s="12" t="s">
        <v>62</v>
      </c>
      <c r="L305" s="58"/>
      <c r="M305" s="12"/>
      <c r="N305" s="12"/>
      <c r="O305" s="13"/>
      <c r="P305" s="14"/>
      <c r="Q305" s="12"/>
      <c r="R305" s="13"/>
      <c r="S305" s="14"/>
      <c r="T305" s="12"/>
      <c r="U305" s="13"/>
      <c r="V305" s="14"/>
      <c r="W305" s="12"/>
      <c r="X305" s="13"/>
      <c r="Y305" s="14"/>
      <c r="Z305" s="12"/>
      <c r="AA305" s="13"/>
      <c r="AB305" s="14"/>
      <c r="AC305" s="12">
        <v>0.39</v>
      </c>
      <c r="AD305" s="13"/>
      <c r="AE305" s="14">
        <f>AC305*I299</f>
        <v>512.46</v>
      </c>
      <c r="AF305" s="7"/>
      <c r="AG305" s="1"/>
      <c r="AH305" s="1">
        <f t="shared" si="4"/>
        <v>512.46</v>
      </c>
    </row>
    <row r="306" spans="3:34" x14ac:dyDescent="0.25">
      <c r="F306" s="44" t="s">
        <v>29</v>
      </c>
      <c r="G306" s="2"/>
      <c r="H306" s="2"/>
      <c r="I306" s="2"/>
      <c r="J306" s="4">
        <v>9500</v>
      </c>
      <c r="K306" s="4" t="s">
        <v>37</v>
      </c>
      <c r="L306" s="58">
        <v>382230</v>
      </c>
      <c r="M306" s="4">
        <f>J306*L306/100</f>
        <v>36311850</v>
      </c>
      <c r="N306" s="9"/>
      <c r="O306" s="10">
        <v>1.8100000000000002E-2</v>
      </c>
      <c r="P306" s="3">
        <f t="shared" si="127"/>
        <v>657244.4850000001</v>
      </c>
      <c r="Q306" s="9"/>
      <c r="R306" s="10">
        <v>3.0000000000000001E-3</v>
      </c>
      <c r="S306" s="3">
        <f t="shared" si="128"/>
        <v>108935.55</v>
      </c>
      <c r="T306" s="9"/>
      <c r="U306" s="10">
        <v>7.6E-3</v>
      </c>
      <c r="V306" s="3">
        <f t="shared" si="129"/>
        <v>275970.06</v>
      </c>
      <c r="W306" s="9"/>
      <c r="X306" s="10">
        <v>5.1000000000000004E-3</v>
      </c>
      <c r="Y306" s="3">
        <f t="shared" si="130"/>
        <v>185190.43500000003</v>
      </c>
      <c r="Z306" s="9"/>
      <c r="AA306" s="10"/>
      <c r="AB306" s="3">
        <f t="shared" si="131"/>
        <v>0</v>
      </c>
      <c r="AC306" s="9"/>
      <c r="AD306" s="10">
        <v>1.4E-3</v>
      </c>
      <c r="AE306" s="3">
        <f t="shared" si="132"/>
        <v>50836.59</v>
      </c>
      <c r="AF306" s="7" t="e">
        <f>#REF!+#REF!+#REF!+#REF!+#REF!+#REF!+#REF!+#REF!+#REF!+#REF!+#REF!+#REF!</f>
        <v>#REF!</v>
      </c>
      <c r="AG306" s="1" t="e">
        <f>#REF!+#REF!+#REF!+#REF!+#REF!+#REF!+#REF!+#REF!+#REF!+#REF!+#REF!+#REF!-M306</f>
        <v>#REF!</v>
      </c>
      <c r="AH306" s="1">
        <f t="shared" si="4"/>
        <v>1278177.1200000001</v>
      </c>
    </row>
    <row r="307" spans="3:34" x14ac:dyDescent="0.25">
      <c r="C307" s="2"/>
      <c r="D307" s="2"/>
      <c r="E307" s="17"/>
      <c r="F307" s="66" t="s">
        <v>56</v>
      </c>
      <c r="G307" s="4"/>
      <c r="H307" s="4"/>
      <c r="I307" s="4"/>
      <c r="J307" s="4"/>
      <c r="K307" s="4" t="s">
        <v>63</v>
      </c>
      <c r="L307" s="58"/>
      <c r="M307" s="4"/>
      <c r="N307" s="4">
        <v>4.67</v>
      </c>
      <c r="O307" s="6"/>
      <c r="P307" s="3">
        <f>N307*J306</f>
        <v>44365</v>
      </c>
      <c r="Q307" s="4"/>
      <c r="R307" s="6"/>
      <c r="S307" s="3"/>
      <c r="T307" s="4"/>
      <c r="U307" s="6"/>
      <c r="V307" s="3"/>
      <c r="W307" s="4"/>
      <c r="X307" s="6"/>
      <c r="Y307" s="3"/>
      <c r="Z307" s="4"/>
      <c r="AA307" s="6"/>
      <c r="AB307" s="3"/>
      <c r="AC307" s="4"/>
      <c r="AD307" s="6"/>
      <c r="AE307" s="3"/>
      <c r="AF307" s="7"/>
      <c r="AG307" s="1"/>
      <c r="AH307" s="1">
        <f t="shared" ref="AH307:AH311" si="133">AE307+AB307+Y307+V307+S307+P307</f>
        <v>44365</v>
      </c>
    </row>
    <row r="308" spans="3:34" x14ac:dyDescent="0.25">
      <c r="C308" s="2"/>
      <c r="D308" s="2"/>
      <c r="E308" s="17"/>
      <c r="F308" s="66" t="s">
        <v>56</v>
      </c>
      <c r="G308" s="4"/>
      <c r="H308" s="4"/>
      <c r="I308" s="4"/>
      <c r="J308" s="4"/>
      <c r="K308" s="4" t="s">
        <v>64</v>
      </c>
      <c r="L308" s="58"/>
      <c r="M308" s="4"/>
      <c r="N308" s="4"/>
      <c r="O308" s="6"/>
      <c r="P308" s="3"/>
      <c r="Q308" s="4">
        <v>0.86</v>
      </c>
      <c r="R308" s="6"/>
      <c r="S308" s="3">
        <f>Q308*J306</f>
        <v>8170</v>
      </c>
      <c r="T308" s="4"/>
      <c r="U308" s="6"/>
      <c r="V308" s="3"/>
      <c r="W308" s="4"/>
      <c r="X308" s="6"/>
      <c r="Y308" s="3"/>
      <c r="Z308" s="4"/>
      <c r="AA308" s="6"/>
      <c r="AB308" s="3"/>
      <c r="AC308" s="4"/>
      <c r="AD308" s="6"/>
      <c r="AE308" s="3"/>
      <c r="AF308" s="7"/>
      <c r="AG308" s="1"/>
      <c r="AH308" s="1">
        <f t="shared" si="133"/>
        <v>8170</v>
      </c>
    </row>
    <row r="309" spans="3:34" x14ac:dyDescent="0.25">
      <c r="C309" s="2"/>
      <c r="D309" s="2"/>
      <c r="E309" s="17"/>
      <c r="F309" s="66" t="s">
        <v>56</v>
      </c>
      <c r="G309" s="12"/>
      <c r="H309" s="12"/>
      <c r="I309" s="12"/>
      <c r="J309" s="12"/>
      <c r="K309" s="12" t="s">
        <v>65</v>
      </c>
      <c r="L309" s="58"/>
      <c r="M309" s="12"/>
      <c r="N309" s="12"/>
      <c r="O309" s="13"/>
      <c r="P309" s="14"/>
      <c r="Q309" s="12"/>
      <c r="R309" s="13"/>
      <c r="S309" s="14"/>
      <c r="T309" s="12">
        <v>1.94</v>
      </c>
      <c r="U309" s="13"/>
      <c r="V309" s="14">
        <f>T309*J306</f>
        <v>18430</v>
      </c>
      <c r="W309" s="12"/>
      <c r="X309" s="13"/>
      <c r="Y309" s="14"/>
      <c r="Z309" s="12"/>
      <c r="AA309" s="13"/>
      <c r="AB309" s="14"/>
      <c r="AC309" s="12"/>
      <c r="AD309" s="13"/>
      <c r="AE309" s="14"/>
      <c r="AF309" s="7"/>
      <c r="AG309" s="1"/>
      <c r="AH309" s="1">
        <f t="shared" si="133"/>
        <v>18430</v>
      </c>
    </row>
    <row r="310" spans="3:34" x14ac:dyDescent="0.25">
      <c r="C310" s="2"/>
      <c r="D310" s="2"/>
      <c r="E310" s="17"/>
      <c r="F310" s="66" t="s">
        <v>56</v>
      </c>
      <c r="G310" s="12"/>
      <c r="H310" s="12"/>
      <c r="I310" s="12"/>
      <c r="J310" s="12"/>
      <c r="K310" s="12" t="s">
        <v>66</v>
      </c>
      <c r="L310" s="58"/>
      <c r="M310" s="12"/>
      <c r="N310" s="12"/>
      <c r="O310" s="13"/>
      <c r="P310" s="14"/>
      <c r="Q310" s="12"/>
      <c r="R310" s="13"/>
      <c r="S310" s="14"/>
      <c r="T310" s="12"/>
      <c r="U310" s="13"/>
      <c r="V310" s="14"/>
      <c r="W310" s="12">
        <v>1.32</v>
      </c>
      <c r="X310" s="13"/>
      <c r="Y310" s="14">
        <f>W310*J306</f>
        <v>12540</v>
      </c>
      <c r="Z310" s="12"/>
      <c r="AA310" s="13"/>
      <c r="AB310" s="14"/>
      <c r="AC310" s="12"/>
      <c r="AD310" s="13"/>
      <c r="AE310" s="14"/>
      <c r="AF310" s="7"/>
      <c r="AG310" s="1"/>
      <c r="AH310" s="1">
        <f t="shared" si="133"/>
        <v>12540</v>
      </c>
    </row>
    <row r="311" spans="3:34" ht="16.5" thickBot="1" x14ac:dyDescent="0.3">
      <c r="C311" s="2"/>
      <c r="D311" s="2"/>
      <c r="E311" s="17"/>
      <c r="F311" s="66" t="s">
        <v>56</v>
      </c>
      <c r="G311" s="12"/>
      <c r="H311" s="12"/>
      <c r="I311" s="12"/>
      <c r="J311" s="12"/>
      <c r="K311" s="12" t="s">
        <v>67</v>
      </c>
      <c r="L311" s="58"/>
      <c r="M311" s="12"/>
      <c r="N311" s="12"/>
      <c r="O311" s="13"/>
      <c r="P311" s="14"/>
      <c r="Q311" s="12"/>
      <c r="R311" s="13"/>
      <c r="S311" s="14"/>
      <c r="T311" s="12"/>
      <c r="U311" s="13"/>
      <c r="V311" s="14"/>
      <c r="W311" s="12"/>
      <c r="X311" s="13"/>
      <c r="Y311" s="14"/>
      <c r="Z311" s="12"/>
      <c r="AA311" s="13"/>
      <c r="AB311" s="14"/>
      <c r="AC311" s="12">
        <v>0.53</v>
      </c>
      <c r="AD311" s="13"/>
      <c r="AE311" s="14">
        <f>AC311*J306</f>
        <v>5035</v>
      </c>
      <c r="AF311" s="7"/>
      <c r="AG311" s="1"/>
      <c r="AH311" s="1">
        <f t="shared" si="133"/>
        <v>5035</v>
      </c>
    </row>
    <row r="312" spans="3:34" ht="16.5" thickBot="1" x14ac:dyDescent="0.3">
      <c r="F312" s="46" t="s">
        <v>32</v>
      </c>
      <c r="G312" s="36"/>
      <c r="H312" s="36"/>
      <c r="I312" s="36"/>
      <c r="J312" s="36"/>
      <c r="K312" s="36"/>
      <c r="L312" s="62"/>
      <c r="M312" s="27">
        <f>SUM(M285:M311)</f>
        <v>5755042095</v>
      </c>
      <c r="N312" s="27"/>
      <c r="O312" s="28"/>
      <c r="P312" s="27">
        <f>SUM(P285:P311)</f>
        <v>92268986.472000018</v>
      </c>
      <c r="Q312" s="27"/>
      <c r="R312" s="28"/>
      <c r="S312" s="27">
        <f>SUM(S285:S311)</f>
        <v>133949373.21450001</v>
      </c>
      <c r="T312" s="27"/>
      <c r="U312" s="28"/>
      <c r="V312" s="27">
        <f>SUM(V285:V311)</f>
        <v>38877831.072000004</v>
      </c>
      <c r="W312" s="27"/>
      <c r="X312" s="28"/>
      <c r="Y312" s="27">
        <f>SUM(Y285:Y311)</f>
        <v>4132770.7004999993</v>
      </c>
      <c r="Z312" s="27"/>
      <c r="AA312" s="28"/>
      <c r="AB312" s="27">
        <f>SUM(AB285:AB311)</f>
        <v>5762024.8329999996</v>
      </c>
      <c r="AC312" s="27"/>
      <c r="AD312" s="28"/>
      <c r="AE312" s="27">
        <f>SUM(AE285:AE311)</f>
        <v>8070054.5779999988</v>
      </c>
      <c r="AF312" s="7" t="e">
        <f>#REF!+#REF!+#REF!+#REF!+#REF!+#REF!+#REF!+#REF!+#REF!+#REF!+#REF!+#REF!</f>
        <v>#REF!</v>
      </c>
      <c r="AG312" s="1" t="e">
        <f>#REF!+#REF!+#REF!+#REF!+#REF!+#REF!+#REF!+#REF!+#REF!+#REF!+#REF!+#REF!-M312</f>
        <v>#REF!</v>
      </c>
      <c r="AH312" s="69">
        <f t="shared" si="4"/>
        <v>283061040.87</v>
      </c>
    </row>
    <row r="313" spans="3:34" ht="59.25" customHeight="1" x14ac:dyDescent="0.25">
      <c r="F313" s="43" t="s">
        <v>33</v>
      </c>
      <c r="G313" s="21">
        <v>122609.60000000001</v>
      </c>
      <c r="H313" s="21">
        <v>78368</v>
      </c>
      <c r="I313" s="21"/>
      <c r="J313" s="21"/>
      <c r="K313" s="21" t="s">
        <v>21</v>
      </c>
      <c r="L313" s="60">
        <f>179.64*1000</f>
        <v>179640</v>
      </c>
      <c r="M313" s="21">
        <f>L313*H313</f>
        <v>14078027520</v>
      </c>
      <c r="N313" s="21"/>
      <c r="O313" s="22">
        <v>1.6E-2</v>
      </c>
      <c r="P313" s="23">
        <f t="shared" ref="P313:P320" si="134">O313*$M313</f>
        <v>225248440.31999999</v>
      </c>
      <c r="Q313" s="21"/>
      <c r="R313" s="22">
        <v>2.3300000000000001E-2</v>
      </c>
      <c r="S313" s="3">
        <f t="shared" ref="S313:S320" si="135">R313*$M313</f>
        <v>328018041.21600002</v>
      </c>
      <c r="T313" s="21"/>
      <c r="U313" s="22">
        <v>7.0000000000000001E-3</v>
      </c>
      <c r="V313" s="3">
        <f t="shared" ref="V313:V320" si="136">U313*$M313</f>
        <v>98546192.640000001</v>
      </c>
      <c r="W313" s="21"/>
      <c r="X313" s="22">
        <v>6.9999999999999999E-4</v>
      </c>
      <c r="Y313" s="3">
        <f t="shared" ref="Y313:Y320" si="137">X313*$M313</f>
        <v>9854619.2640000004</v>
      </c>
      <c r="Z313" s="21"/>
      <c r="AA313" s="22">
        <v>1E-3</v>
      </c>
      <c r="AB313" s="3">
        <f t="shared" ref="AB313:AB320" si="138">AA313*$M313</f>
        <v>14078027.52</v>
      </c>
      <c r="AC313" s="21"/>
      <c r="AD313" s="22">
        <v>1.4E-3</v>
      </c>
      <c r="AE313" s="3">
        <f t="shared" ref="AE313:AE320" si="139">AD313*$M313</f>
        <v>19709238.528000001</v>
      </c>
      <c r="AF313" s="7" t="e">
        <f>#REF!+#REF!+#REF!+#REF!+#REF!+#REF!+#REF!+#REF!+#REF!+#REF!+#REF!+#REF!</f>
        <v>#REF!</v>
      </c>
      <c r="AG313" s="1" t="e">
        <f>#REF!+#REF!+#REF!+#REF!+#REF!+#REF!+#REF!+#REF!+#REF!+#REF!+#REF!+#REF!-M313</f>
        <v>#REF!</v>
      </c>
      <c r="AH313" s="1">
        <f t="shared" si="4"/>
        <v>695454559.48799992</v>
      </c>
    </row>
    <row r="314" spans="3:34" x14ac:dyDescent="0.25">
      <c r="C314" s="2"/>
      <c r="D314" s="2"/>
      <c r="E314" s="17"/>
      <c r="F314" s="66" t="s">
        <v>48</v>
      </c>
      <c r="G314" s="12"/>
      <c r="H314" s="12"/>
      <c r="I314" s="12"/>
      <c r="J314" s="12"/>
      <c r="K314" s="12" t="s">
        <v>49</v>
      </c>
      <c r="L314" s="58"/>
      <c r="M314" s="12"/>
      <c r="N314" s="12"/>
      <c r="O314" s="13"/>
      <c r="P314" s="14"/>
      <c r="Q314" s="12"/>
      <c r="R314" s="13"/>
      <c r="S314" s="14"/>
      <c r="T314" s="12"/>
      <c r="U314" s="13"/>
      <c r="V314" s="14"/>
      <c r="W314" s="12"/>
      <c r="X314" s="13"/>
      <c r="Y314" s="14"/>
      <c r="Z314" s="12">
        <v>0.22</v>
      </c>
      <c r="AA314" s="13"/>
      <c r="AB314" s="14">
        <f>Z314*H313</f>
        <v>17240.96</v>
      </c>
      <c r="AC314" s="12"/>
      <c r="AD314" s="13"/>
      <c r="AE314" s="14"/>
      <c r="AF314" s="7"/>
      <c r="AG314" s="1"/>
      <c r="AH314" s="1">
        <f t="shared" si="4"/>
        <v>17240.96</v>
      </c>
    </row>
    <row r="315" spans="3:34" x14ac:dyDescent="0.25">
      <c r="C315" s="2"/>
      <c r="D315" s="2"/>
      <c r="E315" s="17"/>
      <c r="F315" s="66" t="s">
        <v>48</v>
      </c>
      <c r="G315" s="12"/>
      <c r="H315" s="12"/>
      <c r="I315" s="12"/>
      <c r="J315" s="12"/>
      <c r="K315" s="12" t="s">
        <v>51</v>
      </c>
      <c r="L315" s="58"/>
      <c r="M315" s="12"/>
      <c r="N315" s="12">
        <v>3.29</v>
      </c>
      <c r="O315" s="13"/>
      <c r="P315" s="14">
        <f>N315*H313</f>
        <v>257830.72</v>
      </c>
      <c r="Q315" s="12"/>
      <c r="R315" s="13"/>
      <c r="S315" s="14"/>
      <c r="T315" s="12"/>
      <c r="U315" s="13"/>
      <c r="V315" s="14"/>
      <c r="W315" s="12"/>
      <c r="X315" s="13"/>
      <c r="Y315" s="14"/>
      <c r="Z315" s="12"/>
      <c r="AA315" s="13"/>
      <c r="AB315" s="14"/>
      <c r="AC315" s="12"/>
      <c r="AD315" s="13"/>
      <c r="AE315" s="14"/>
      <c r="AF315" s="7"/>
      <c r="AG315" s="1"/>
      <c r="AH315" s="1">
        <f t="shared" si="4"/>
        <v>257830.72</v>
      </c>
    </row>
    <row r="316" spans="3:34" x14ac:dyDescent="0.25">
      <c r="C316" s="2"/>
      <c r="D316" s="2"/>
      <c r="E316" s="17"/>
      <c r="F316" s="66" t="s">
        <v>48</v>
      </c>
      <c r="G316" s="12"/>
      <c r="H316" s="12"/>
      <c r="I316" s="12"/>
      <c r="J316" s="12"/>
      <c r="K316" s="12" t="s">
        <v>52</v>
      </c>
      <c r="L316" s="58"/>
      <c r="M316" s="12"/>
      <c r="N316" s="12"/>
      <c r="O316" s="13"/>
      <c r="P316" s="14"/>
      <c r="Q316" s="12">
        <v>4.7300000000000004</v>
      </c>
      <c r="R316" s="13"/>
      <c r="S316" s="14">
        <f>Q316*H313</f>
        <v>370680.64</v>
      </c>
      <c r="T316" s="12"/>
      <c r="U316" s="13"/>
      <c r="V316" s="14"/>
      <c r="W316" s="12"/>
      <c r="X316" s="13"/>
      <c r="Y316" s="14"/>
      <c r="Z316" s="12"/>
      <c r="AA316" s="13"/>
      <c r="AB316" s="14"/>
      <c r="AC316" s="12"/>
      <c r="AD316" s="13"/>
      <c r="AE316" s="14"/>
      <c r="AF316" s="7"/>
      <c r="AG316" s="1"/>
      <c r="AH316" s="1">
        <f t="shared" si="4"/>
        <v>370680.64</v>
      </c>
    </row>
    <row r="317" spans="3:34" x14ac:dyDescent="0.25">
      <c r="C317" s="2"/>
      <c r="D317" s="2"/>
      <c r="E317" s="17"/>
      <c r="F317" s="66" t="s">
        <v>48</v>
      </c>
      <c r="G317" s="12"/>
      <c r="H317" s="12"/>
      <c r="I317" s="12"/>
      <c r="J317" s="12"/>
      <c r="K317" s="12" t="s">
        <v>53</v>
      </c>
      <c r="L317" s="58"/>
      <c r="M317" s="12"/>
      <c r="N317" s="12"/>
      <c r="O317" s="13"/>
      <c r="P317" s="14"/>
      <c r="Q317" s="12"/>
      <c r="R317" s="13"/>
      <c r="S317" s="14"/>
      <c r="T317" s="12">
        <v>1.4</v>
      </c>
      <c r="U317" s="13"/>
      <c r="V317" s="14">
        <f>T317*H313</f>
        <v>109715.2</v>
      </c>
      <c r="W317" s="12"/>
      <c r="X317" s="13"/>
      <c r="Y317" s="14"/>
      <c r="Z317" s="12"/>
      <c r="AA317" s="13"/>
      <c r="AB317" s="14"/>
      <c r="AC317" s="12"/>
      <c r="AD317" s="13"/>
      <c r="AE317" s="14"/>
      <c r="AF317" s="7"/>
      <c r="AG317" s="1"/>
      <c r="AH317" s="1">
        <f t="shared" si="4"/>
        <v>109715.2</v>
      </c>
    </row>
    <row r="318" spans="3:34" x14ac:dyDescent="0.25">
      <c r="C318" s="2"/>
      <c r="D318" s="2"/>
      <c r="E318" s="17"/>
      <c r="F318" s="66" t="s">
        <v>48</v>
      </c>
      <c r="G318" s="12"/>
      <c r="H318" s="12"/>
      <c r="I318" s="12"/>
      <c r="J318" s="12"/>
      <c r="K318" s="12" t="s">
        <v>54</v>
      </c>
      <c r="L318" s="58"/>
      <c r="M318" s="12"/>
      <c r="N318" s="12"/>
      <c r="O318" s="13"/>
      <c r="P318" s="14"/>
      <c r="Q318" s="12"/>
      <c r="R318" s="13"/>
      <c r="S318" s="14"/>
      <c r="T318" s="12"/>
      <c r="U318" s="13"/>
      <c r="V318" s="14"/>
      <c r="W318" s="12">
        <v>0.15</v>
      </c>
      <c r="X318" s="13"/>
      <c r="Y318" s="14">
        <f>W318*H313</f>
        <v>11755.199999999999</v>
      </c>
      <c r="Z318" s="12"/>
      <c r="AA318" s="13"/>
      <c r="AB318" s="14"/>
      <c r="AC318" s="12"/>
      <c r="AD318" s="13"/>
      <c r="AE318" s="14"/>
      <c r="AF318" s="7"/>
      <c r="AG318" s="1"/>
      <c r="AH318" s="1">
        <f t="shared" si="4"/>
        <v>11755.199999999999</v>
      </c>
    </row>
    <row r="319" spans="3:34" x14ac:dyDescent="0.25">
      <c r="C319" s="2"/>
      <c r="D319" s="2"/>
      <c r="E319" s="17"/>
      <c r="F319" s="66" t="s">
        <v>48</v>
      </c>
      <c r="G319" s="12"/>
      <c r="H319" s="12"/>
      <c r="I319" s="12"/>
      <c r="J319" s="12"/>
      <c r="K319" s="12" t="s">
        <v>55</v>
      </c>
      <c r="L319" s="58"/>
      <c r="M319" s="12"/>
      <c r="N319" s="12"/>
      <c r="O319" s="13"/>
      <c r="P319" s="14"/>
      <c r="Q319" s="12"/>
      <c r="R319" s="13"/>
      <c r="S319" s="14"/>
      <c r="T319" s="12"/>
      <c r="U319" s="13"/>
      <c r="V319" s="14"/>
      <c r="W319" s="12"/>
      <c r="X319" s="13"/>
      <c r="Y319" s="14"/>
      <c r="Z319" s="12"/>
      <c r="AA319" s="13"/>
      <c r="AB319" s="14"/>
      <c r="AC319" s="12">
        <v>0.25</v>
      </c>
      <c r="AD319" s="13"/>
      <c r="AE319" s="14">
        <f>AC319*H313</f>
        <v>19592</v>
      </c>
      <c r="AF319" s="7"/>
      <c r="AG319" s="1"/>
      <c r="AH319" s="1">
        <f t="shared" si="4"/>
        <v>19592</v>
      </c>
    </row>
    <row r="320" spans="3:34" ht="31.5" x14ac:dyDescent="0.25">
      <c r="F320" s="24" t="s">
        <v>30</v>
      </c>
      <c r="G320" s="4"/>
      <c r="H320" s="4">
        <v>2043.5</v>
      </c>
      <c r="I320" s="4"/>
      <c r="J320" s="12"/>
      <c r="K320" s="12" t="s">
        <v>21</v>
      </c>
      <c r="L320" s="61">
        <f>125.81*1000</f>
        <v>125810</v>
      </c>
      <c r="M320" s="12">
        <f>L320*H320</f>
        <v>257092735</v>
      </c>
      <c r="N320" s="12"/>
      <c r="O320" s="13">
        <v>1.6E-2</v>
      </c>
      <c r="P320" s="14">
        <f t="shared" si="134"/>
        <v>4113483.7600000002</v>
      </c>
      <c r="Q320" s="12"/>
      <c r="R320" s="13">
        <v>2.3300000000000001E-2</v>
      </c>
      <c r="S320" s="3">
        <f t="shared" si="135"/>
        <v>5990260.7255000006</v>
      </c>
      <c r="T320" s="12"/>
      <c r="U320" s="13">
        <v>7.0000000000000001E-3</v>
      </c>
      <c r="V320" s="3">
        <f t="shared" si="136"/>
        <v>1799649.145</v>
      </c>
      <c r="W320" s="12"/>
      <c r="X320" s="13">
        <v>6.9999999999999999E-4</v>
      </c>
      <c r="Y320" s="3">
        <f t="shared" si="137"/>
        <v>179964.91449999998</v>
      </c>
      <c r="Z320" s="12"/>
      <c r="AA320" s="13">
        <v>1E-3</v>
      </c>
      <c r="AB320" s="3">
        <f t="shared" si="138"/>
        <v>257092.73500000002</v>
      </c>
      <c r="AC320" s="12"/>
      <c r="AD320" s="13">
        <v>1.4E-3</v>
      </c>
      <c r="AE320" s="3">
        <f t="shared" si="139"/>
        <v>359929.82899999997</v>
      </c>
      <c r="AF320" s="7" t="e">
        <f>#REF!+#REF!+#REF!+#REF!+#REF!+#REF!+#REF!+#REF!+#REF!+#REF!+#REF!+#REF!</f>
        <v>#REF!</v>
      </c>
      <c r="AG320" s="1" t="e">
        <f>#REF!+#REF!+#REF!+#REF!+#REF!+#REF!+#REF!+#REF!+#REF!+#REF!+#REF!+#REF!-M320</f>
        <v>#REF!</v>
      </c>
      <c r="AH320" s="1">
        <f t="shared" si="4"/>
        <v>12700381.108999999</v>
      </c>
    </row>
    <row r="321" spans="3:34" x14ac:dyDescent="0.25">
      <c r="C321" s="2"/>
      <c r="D321" s="2"/>
      <c r="E321" s="17"/>
      <c r="F321" s="66" t="s">
        <v>48</v>
      </c>
      <c r="G321" s="12"/>
      <c r="H321" s="12"/>
      <c r="I321" s="12"/>
      <c r="J321" s="12"/>
      <c r="K321" s="12" t="s">
        <v>49</v>
      </c>
      <c r="L321" s="58"/>
      <c r="M321" s="12"/>
      <c r="N321" s="12"/>
      <c r="O321" s="13"/>
      <c r="P321" s="14"/>
      <c r="Q321" s="12"/>
      <c r="R321" s="13"/>
      <c r="S321" s="14"/>
      <c r="T321" s="12"/>
      <c r="U321" s="13"/>
      <c r="V321" s="14"/>
      <c r="W321" s="12"/>
      <c r="X321" s="13"/>
      <c r="Y321" s="14"/>
      <c r="Z321" s="12">
        <v>0.14000000000000001</v>
      </c>
      <c r="AA321" s="13"/>
      <c r="AB321" s="14">
        <f>Z321*H320</f>
        <v>286.09000000000003</v>
      </c>
      <c r="AC321" s="12"/>
      <c r="AD321" s="13"/>
      <c r="AE321" s="14"/>
      <c r="AF321" s="7"/>
      <c r="AG321" s="1"/>
      <c r="AH321" s="1">
        <f t="shared" si="4"/>
        <v>286.09000000000003</v>
      </c>
    </row>
    <row r="322" spans="3:34" x14ac:dyDescent="0.25">
      <c r="C322" s="2"/>
      <c r="D322" s="2"/>
      <c r="E322" s="17"/>
      <c r="F322" s="66" t="s">
        <v>48</v>
      </c>
      <c r="G322" s="12"/>
      <c r="H322" s="12"/>
      <c r="I322" s="12"/>
      <c r="J322" s="12"/>
      <c r="K322" s="12" t="s">
        <v>51</v>
      </c>
      <c r="L322" s="58"/>
      <c r="M322" s="12"/>
      <c r="N322" s="12">
        <v>2.25</v>
      </c>
      <c r="O322" s="13"/>
      <c r="P322" s="14">
        <f>N322*H320</f>
        <v>4597.875</v>
      </c>
      <c r="Q322" s="12"/>
      <c r="R322" s="13"/>
      <c r="S322" s="14"/>
      <c r="T322" s="12"/>
      <c r="U322" s="13"/>
      <c r="V322" s="14"/>
      <c r="W322" s="12"/>
      <c r="X322" s="13"/>
      <c r="Y322" s="14"/>
      <c r="Z322" s="12"/>
      <c r="AA322" s="13"/>
      <c r="AB322" s="14"/>
      <c r="AC322" s="12"/>
      <c r="AD322" s="13"/>
      <c r="AE322" s="14"/>
      <c r="AF322" s="7"/>
      <c r="AG322" s="1"/>
      <c r="AH322" s="1">
        <f t="shared" si="4"/>
        <v>4597.875</v>
      </c>
    </row>
    <row r="323" spans="3:34" x14ac:dyDescent="0.25">
      <c r="C323" s="2"/>
      <c r="D323" s="2"/>
      <c r="E323" s="17"/>
      <c r="F323" s="66" t="s">
        <v>48</v>
      </c>
      <c r="G323" s="12"/>
      <c r="H323" s="12"/>
      <c r="I323" s="12"/>
      <c r="J323" s="12"/>
      <c r="K323" s="12" t="s">
        <v>52</v>
      </c>
      <c r="L323" s="58"/>
      <c r="M323" s="12"/>
      <c r="N323" s="12"/>
      <c r="O323" s="13"/>
      <c r="P323" s="14"/>
      <c r="Q323" s="12">
        <v>3.24</v>
      </c>
      <c r="R323" s="13"/>
      <c r="S323" s="14">
        <f>Q323*H320</f>
        <v>6620.9400000000005</v>
      </c>
      <c r="T323" s="12"/>
      <c r="U323" s="13"/>
      <c r="V323" s="14"/>
      <c r="W323" s="12"/>
      <c r="X323" s="13"/>
      <c r="Y323" s="14"/>
      <c r="Z323" s="12"/>
      <c r="AA323" s="13"/>
      <c r="AB323" s="14"/>
      <c r="AC323" s="12"/>
      <c r="AD323" s="13"/>
      <c r="AE323" s="14"/>
      <c r="AF323" s="7"/>
      <c r="AG323" s="1"/>
      <c r="AH323" s="1">
        <f t="shared" si="4"/>
        <v>6620.9400000000005</v>
      </c>
    </row>
    <row r="324" spans="3:34" x14ac:dyDescent="0.25">
      <c r="C324" s="2"/>
      <c r="D324" s="2"/>
      <c r="E324" s="17"/>
      <c r="F324" s="66" t="s">
        <v>48</v>
      </c>
      <c r="G324" s="12"/>
      <c r="H324" s="12"/>
      <c r="I324" s="12"/>
      <c r="J324" s="12"/>
      <c r="K324" s="12" t="s">
        <v>53</v>
      </c>
      <c r="L324" s="58"/>
      <c r="M324" s="12"/>
      <c r="N324" s="12"/>
      <c r="O324" s="13"/>
      <c r="P324" s="14"/>
      <c r="Q324" s="12"/>
      <c r="R324" s="13"/>
      <c r="S324" s="14"/>
      <c r="T324" s="12">
        <v>0.95</v>
      </c>
      <c r="U324" s="13"/>
      <c r="V324" s="14">
        <f>T324*H320</f>
        <v>1941.3249999999998</v>
      </c>
      <c r="W324" s="12"/>
      <c r="X324" s="13"/>
      <c r="Y324" s="14"/>
      <c r="Z324" s="12"/>
      <c r="AA324" s="13"/>
      <c r="AB324" s="14"/>
      <c r="AC324" s="12"/>
      <c r="AD324" s="13"/>
      <c r="AE324" s="14"/>
      <c r="AF324" s="7"/>
      <c r="AG324" s="1"/>
      <c r="AH324" s="1">
        <f t="shared" si="4"/>
        <v>1941.3249999999998</v>
      </c>
    </row>
    <row r="325" spans="3:34" x14ac:dyDescent="0.25">
      <c r="C325" s="2"/>
      <c r="D325" s="2"/>
      <c r="E325" s="17"/>
      <c r="F325" s="66" t="s">
        <v>48</v>
      </c>
      <c r="G325" s="12"/>
      <c r="H325" s="12"/>
      <c r="I325" s="12"/>
      <c r="J325" s="12"/>
      <c r="K325" s="12" t="s">
        <v>54</v>
      </c>
      <c r="L325" s="58"/>
      <c r="M325" s="12"/>
      <c r="N325" s="12"/>
      <c r="O325" s="13"/>
      <c r="P325" s="14"/>
      <c r="Q325" s="12"/>
      <c r="R325" s="13"/>
      <c r="S325" s="14"/>
      <c r="T325" s="12"/>
      <c r="U325" s="13"/>
      <c r="V325" s="14"/>
      <c r="W325" s="12">
        <v>0.1</v>
      </c>
      <c r="X325" s="13"/>
      <c r="Y325" s="14">
        <f>W325*H320</f>
        <v>204.35000000000002</v>
      </c>
      <c r="Z325" s="12"/>
      <c r="AA325" s="13"/>
      <c r="AB325" s="14"/>
      <c r="AC325" s="12"/>
      <c r="AD325" s="13"/>
      <c r="AE325" s="14"/>
      <c r="AF325" s="7"/>
      <c r="AG325" s="1"/>
      <c r="AH325" s="1">
        <f t="shared" si="4"/>
        <v>204.35000000000002</v>
      </c>
    </row>
    <row r="326" spans="3:34" x14ac:dyDescent="0.25">
      <c r="C326" s="2"/>
      <c r="D326" s="2"/>
      <c r="E326" s="17"/>
      <c r="F326" s="66" t="s">
        <v>48</v>
      </c>
      <c r="G326" s="12"/>
      <c r="H326" s="12"/>
      <c r="I326" s="12"/>
      <c r="J326" s="12"/>
      <c r="K326" s="12" t="s">
        <v>55</v>
      </c>
      <c r="L326" s="58"/>
      <c r="M326" s="12"/>
      <c r="N326" s="12"/>
      <c r="O326" s="13"/>
      <c r="P326" s="14"/>
      <c r="Q326" s="12"/>
      <c r="R326" s="13"/>
      <c r="S326" s="14"/>
      <c r="T326" s="12"/>
      <c r="U326" s="13"/>
      <c r="V326" s="14"/>
      <c r="W326" s="12"/>
      <c r="X326" s="13"/>
      <c r="Y326" s="14"/>
      <c r="Z326" s="12"/>
      <c r="AA326" s="13"/>
      <c r="AB326" s="14"/>
      <c r="AC326" s="12">
        <v>0.17</v>
      </c>
      <c r="AD326" s="13"/>
      <c r="AE326" s="14">
        <f>AC326*H320</f>
        <v>347.39500000000004</v>
      </c>
      <c r="AF326" s="7"/>
      <c r="AG326" s="1"/>
      <c r="AH326" s="1">
        <f t="shared" si="4"/>
        <v>347.39500000000004</v>
      </c>
    </row>
    <row r="327" spans="3:34" x14ac:dyDescent="0.25">
      <c r="F327" s="25" t="s">
        <v>28</v>
      </c>
      <c r="G327" s="2"/>
      <c r="H327" s="2"/>
      <c r="I327" s="4">
        <f>296*3*6</f>
        <v>5328</v>
      </c>
      <c r="J327" s="4"/>
      <c r="K327" s="4" t="s">
        <v>25</v>
      </c>
      <c r="L327" s="58">
        <f>276.67*1000</f>
        <v>276670</v>
      </c>
      <c r="M327" s="4">
        <f>L327*I327</f>
        <v>1474097760</v>
      </c>
      <c r="N327" s="4"/>
      <c r="O327" s="6">
        <v>1.5900000000000001E-2</v>
      </c>
      <c r="P327" s="3">
        <f t="shared" ref="P327:P334" si="140">O327*$M327</f>
        <v>23438154.384</v>
      </c>
      <c r="Q327" s="4"/>
      <c r="R327" s="6">
        <v>2.4500000000000001E-2</v>
      </c>
      <c r="S327" s="3">
        <f t="shared" ref="S327:S334" si="141">R327*$M327</f>
        <v>36115395.120000005</v>
      </c>
      <c r="T327" s="4"/>
      <c r="U327" s="6">
        <v>2.8999999999999998E-3</v>
      </c>
      <c r="V327" s="3">
        <f t="shared" ref="V327:V334" si="142">U327*$M327</f>
        <v>4274883.5039999997</v>
      </c>
      <c r="W327" s="4"/>
      <c r="X327" s="6">
        <v>5.0000000000000001E-4</v>
      </c>
      <c r="Y327" s="3">
        <f t="shared" ref="Y327:Y334" si="143">X327*$M327</f>
        <v>737048.88</v>
      </c>
      <c r="Z327" s="4"/>
      <c r="AA327" s="6">
        <v>1.1000000000000001E-3</v>
      </c>
      <c r="AB327" s="3">
        <f t="shared" ref="AB327:AB334" si="144">AA327*$M327</f>
        <v>1621507.5360000001</v>
      </c>
      <c r="AC327" s="4"/>
      <c r="AD327" s="6">
        <v>1.4E-3</v>
      </c>
      <c r="AE327" s="3">
        <f t="shared" ref="AE327:AE334" si="145">AD327*$M327</f>
        <v>2063736.8640000001</v>
      </c>
      <c r="AF327" s="7" t="e">
        <f>#REF!+#REF!+#REF!+#REF!+#REF!+#REF!+#REF!+#REF!+#REF!+#REF!+#REF!+#REF!</f>
        <v>#REF!</v>
      </c>
      <c r="AG327" s="1" t="e">
        <f>#REF!+#REF!+#REF!+#REF!+#REF!+#REF!+#REF!+#REF!+#REF!+#REF!+#REF!+#REF!-M327</f>
        <v>#REF!</v>
      </c>
      <c r="AH327" s="1">
        <f t="shared" si="4"/>
        <v>68250726.288000003</v>
      </c>
    </row>
    <row r="328" spans="3:34" x14ac:dyDescent="0.25">
      <c r="C328" s="2"/>
      <c r="D328" s="2"/>
      <c r="E328" s="17"/>
      <c r="F328" s="66" t="s">
        <v>56</v>
      </c>
      <c r="G328" s="12"/>
      <c r="H328" s="12"/>
      <c r="I328" s="12"/>
      <c r="J328" s="12"/>
      <c r="K328" s="12" t="s">
        <v>57</v>
      </c>
      <c r="L328" s="58"/>
      <c r="M328" s="12"/>
      <c r="N328" s="12"/>
      <c r="O328" s="13"/>
      <c r="P328" s="14"/>
      <c r="Q328" s="12"/>
      <c r="R328" s="13"/>
      <c r="S328" s="14"/>
      <c r="T328" s="12"/>
      <c r="U328" s="13"/>
      <c r="V328" s="14"/>
      <c r="W328" s="12"/>
      <c r="X328" s="13"/>
      <c r="Y328" s="14"/>
      <c r="Z328" s="12">
        <v>0.3</v>
      </c>
      <c r="AA328" s="13"/>
      <c r="AB328" s="14">
        <f>Z328*I327</f>
        <v>1598.3999999999999</v>
      </c>
      <c r="AC328" s="12"/>
      <c r="AD328" s="13"/>
      <c r="AE328" s="14"/>
      <c r="AF328" s="7"/>
      <c r="AG328" s="1"/>
      <c r="AH328" s="1">
        <f t="shared" ref="AH328:AH333" si="146">AE328+AB328+Y328+V328+S328+P328</f>
        <v>1598.3999999999999</v>
      </c>
    </row>
    <row r="329" spans="3:34" x14ac:dyDescent="0.25">
      <c r="C329" s="2"/>
      <c r="D329" s="2"/>
      <c r="E329" s="17"/>
      <c r="F329" s="66" t="s">
        <v>56</v>
      </c>
      <c r="G329" s="12"/>
      <c r="H329" s="12"/>
      <c r="I329" s="12"/>
      <c r="J329" s="12"/>
      <c r="K329" s="12" t="s">
        <v>58</v>
      </c>
      <c r="L329" s="58"/>
      <c r="M329" s="12"/>
      <c r="N329" s="12">
        <v>4.58</v>
      </c>
      <c r="O329" s="13"/>
      <c r="P329" s="14">
        <f>N329*I327</f>
        <v>24402.240000000002</v>
      </c>
      <c r="Q329" s="12"/>
      <c r="R329" s="13"/>
      <c r="S329" s="14"/>
      <c r="T329" s="12"/>
      <c r="U329" s="13"/>
      <c r="V329" s="14"/>
      <c r="W329" s="12"/>
      <c r="X329" s="13"/>
      <c r="Y329" s="14"/>
      <c r="Z329" s="12"/>
      <c r="AA329" s="13"/>
      <c r="AB329" s="14"/>
      <c r="AC329" s="12"/>
      <c r="AD329" s="13"/>
      <c r="AE329" s="14"/>
      <c r="AF329" s="7"/>
      <c r="AG329" s="1"/>
      <c r="AH329" s="1">
        <f t="shared" si="146"/>
        <v>24402.240000000002</v>
      </c>
    </row>
    <row r="330" spans="3:34" x14ac:dyDescent="0.25">
      <c r="C330" s="2"/>
      <c r="D330" s="2"/>
      <c r="E330" s="17"/>
      <c r="F330" s="66" t="s">
        <v>56</v>
      </c>
      <c r="G330" s="12"/>
      <c r="H330" s="12"/>
      <c r="I330" s="12"/>
      <c r="J330" s="12"/>
      <c r="K330" s="12" t="s">
        <v>59</v>
      </c>
      <c r="L330" s="58"/>
      <c r="M330" s="12"/>
      <c r="N330" s="12"/>
      <c r="O330" s="13"/>
      <c r="P330" s="14"/>
      <c r="Q330" s="12">
        <v>6.59</v>
      </c>
      <c r="R330" s="13"/>
      <c r="S330" s="14">
        <f>Q330*I327</f>
        <v>35111.519999999997</v>
      </c>
      <c r="T330" s="12"/>
      <c r="U330" s="13"/>
      <c r="V330" s="14"/>
      <c r="W330" s="12"/>
      <c r="X330" s="13"/>
      <c r="Y330" s="14"/>
      <c r="Z330" s="12"/>
      <c r="AA330" s="13"/>
      <c r="AB330" s="14"/>
      <c r="AC330" s="12"/>
      <c r="AD330" s="13"/>
      <c r="AE330" s="14"/>
      <c r="AF330" s="7"/>
      <c r="AG330" s="1"/>
      <c r="AH330" s="1">
        <f t="shared" si="146"/>
        <v>35111.519999999997</v>
      </c>
    </row>
    <row r="331" spans="3:34" x14ac:dyDescent="0.25">
      <c r="C331" s="2"/>
      <c r="D331" s="2"/>
      <c r="E331" s="17"/>
      <c r="F331" s="66" t="s">
        <v>56</v>
      </c>
      <c r="G331" s="12"/>
      <c r="H331" s="12"/>
      <c r="I331" s="12"/>
      <c r="J331" s="12"/>
      <c r="K331" s="12" t="s">
        <v>60</v>
      </c>
      <c r="L331" s="58"/>
      <c r="M331" s="12"/>
      <c r="N331" s="12"/>
      <c r="O331" s="13"/>
      <c r="P331" s="14"/>
      <c r="Q331" s="12"/>
      <c r="R331" s="13"/>
      <c r="S331" s="14"/>
      <c r="T331" s="12">
        <v>0.87</v>
      </c>
      <c r="U331" s="13"/>
      <c r="V331" s="14">
        <f>T331*I327</f>
        <v>4635.3599999999997</v>
      </c>
      <c r="W331" s="12"/>
      <c r="X331" s="13"/>
      <c r="Y331" s="14"/>
      <c r="Z331" s="12"/>
      <c r="AA331" s="13"/>
      <c r="AB331" s="14"/>
      <c r="AC331" s="12"/>
      <c r="AD331" s="13"/>
      <c r="AE331" s="14"/>
      <c r="AF331" s="7"/>
      <c r="AG331" s="1"/>
      <c r="AH331" s="1">
        <f t="shared" si="146"/>
        <v>4635.3599999999997</v>
      </c>
    </row>
    <row r="332" spans="3:34" x14ac:dyDescent="0.25">
      <c r="C332" s="2"/>
      <c r="D332" s="2"/>
      <c r="E332" s="17"/>
      <c r="F332" s="66" t="s">
        <v>56</v>
      </c>
      <c r="G332" s="12"/>
      <c r="H332" s="12"/>
      <c r="I332" s="12"/>
      <c r="J332" s="12"/>
      <c r="K332" s="12" t="s">
        <v>61</v>
      </c>
      <c r="L332" s="58"/>
      <c r="M332" s="12"/>
      <c r="N332" s="12"/>
      <c r="O332" s="13"/>
      <c r="P332" s="14"/>
      <c r="Q332" s="12"/>
      <c r="R332" s="13"/>
      <c r="S332" s="14"/>
      <c r="T332" s="12"/>
      <c r="U332" s="13"/>
      <c r="V332" s="14"/>
      <c r="W332" s="12">
        <v>0.13</v>
      </c>
      <c r="X332" s="13"/>
      <c r="Y332" s="14">
        <f>W332*I327</f>
        <v>692.64</v>
      </c>
      <c r="Z332" s="12"/>
      <c r="AA332" s="13"/>
      <c r="AB332" s="14"/>
      <c r="AC332" s="12"/>
      <c r="AD332" s="13"/>
      <c r="AE332" s="14"/>
      <c r="AF332" s="7"/>
      <c r="AG332" s="1"/>
      <c r="AH332" s="1">
        <f t="shared" si="146"/>
        <v>692.64</v>
      </c>
    </row>
    <row r="333" spans="3:34" x14ac:dyDescent="0.25">
      <c r="C333" s="2"/>
      <c r="D333" s="2"/>
      <c r="E333" s="17"/>
      <c r="F333" s="66" t="s">
        <v>56</v>
      </c>
      <c r="G333" s="12"/>
      <c r="H333" s="12"/>
      <c r="I333" s="12"/>
      <c r="J333" s="12"/>
      <c r="K333" s="12" t="s">
        <v>62</v>
      </c>
      <c r="L333" s="58"/>
      <c r="M333" s="12"/>
      <c r="N333" s="12"/>
      <c r="O333" s="13"/>
      <c r="P333" s="14"/>
      <c r="Q333" s="12"/>
      <c r="R333" s="13"/>
      <c r="S333" s="14"/>
      <c r="T333" s="12"/>
      <c r="U333" s="13"/>
      <c r="V333" s="14"/>
      <c r="W333" s="12"/>
      <c r="X333" s="13"/>
      <c r="Y333" s="14"/>
      <c r="Z333" s="12"/>
      <c r="AA333" s="13"/>
      <c r="AB333" s="14"/>
      <c r="AC333" s="12">
        <v>0.39</v>
      </c>
      <c r="AD333" s="13"/>
      <c r="AE333" s="14">
        <f>AC333*I327</f>
        <v>2077.92</v>
      </c>
      <c r="AF333" s="7"/>
      <c r="AG333" s="1"/>
      <c r="AH333" s="1">
        <f t="shared" si="146"/>
        <v>2077.92</v>
      </c>
    </row>
    <row r="334" spans="3:34" x14ac:dyDescent="0.25">
      <c r="F334" s="44" t="s">
        <v>29</v>
      </c>
      <c r="G334" s="2"/>
      <c r="H334" s="2"/>
      <c r="I334" s="2"/>
      <c r="J334" s="4">
        <f>5*9500</f>
        <v>47500</v>
      </c>
      <c r="K334" s="4" t="s">
        <v>37</v>
      </c>
      <c r="L334" s="58">
        <v>382230</v>
      </c>
      <c r="M334" s="4">
        <f>J334*L334/100</f>
        <v>181559250</v>
      </c>
      <c r="N334" s="9"/>
      <c r="O334" s="10">
        <v>1.8100000000000002E-2</v>
      </c>
      <c r="P334" s="3">
        <f t="shared" si="140"/>
        <v>3286222.4250000003</v>
      </c>
      <c r="Q334" s="9"/>
      <c r="R334" s="10">
        <v>3.0000000000000001E-3</v>
      </c>
      <c r="S334" s="3">
        <f t="shared" si="141"/>
        <v>544677.75</v>
      </c>
      <c r="T334" s="9"/>
      <c r="U334" s="10">
        <v>7.6E-3</v>
      </c>
      <c r="V334" s="3">
        <f t="shared" si="142"/>
        <v>1379850.3</v>
      </c>
      <c r="W334" s="9"/>
      <c r="X334" s="10">
        <v>5.1000000000000004E-3</v>
      </c>
      <c r="Y334" s="3">
        <f t="shared" si="143"/>
        <v>925952.17500000005</v>
      </c>
      <c r="Z334" s="9"/>
      <c r="AA334" s="10"/>
      <c r="AB334" s="3">
        <f t="shared" si="144"/>
        <v>0</v>
      </c>
      <c r="AC334" s="9"/>
      <c r="AD334" s="10">
        <v>1.4E-3</v>
      </c>
      <c r="AE334" s="3">
        <f t="shared" si="145"/>
        <v>254182.95</v>
      </c>
      <c r="AF334" s="7" t="e">
        <f>#REF!+#REF!+#REF!+#REF!+#REF!+#REF!+#REF!+#REF!+#REF!+#REF!+#REF!+#REF!</f>
        <v>#REF!</v>
      </c>
      <c r="AG334" s="1" t="e">
        <f>#REF!+#REF!+#REF!+#REF!+#REF!+#REF!+#REF!+#REF!+#REF!+#REF!+#REF!+#REF!-M334</f>
        <v>#REF!</v>
      </c>
      <c r="AH334" s="1">
        <f t="shared" si="4"/>
        <v>6390885.5999999996</v>
      </c>
    </row>
    <row r="335" spans="3:34" x14ac:dyDescent="0.25">
      <c r="C335" s="2"/>
      <c r="D335" s="2"/>
      <c r="E335" s="17"/>
      <c r="F335" s="66" t="s">
        <v>56</v>
      </c>
      <c r="G335" s="4"/>
      <c r="H335" s="4"/>
      <c r="I335" s="4"/>
      <c r="J335" s="4"/>
      <c r="K335" s="4" t="s">
        <v>63</v>
      </c>
      <c r="L335" s="58"/>
      <c r="M335" s="4"/>
      <c r="N335" s="4">
        <v>4.67</v>
      </c>
      <c r="O335" s="6"/>
      <c r="P335" s="3">
        <f>N335*J334</f>
        <v>221825</v>
      </c>
      <c r="Q335" s="4"/>
      <c r="R335" s="6"/>
      <c r="S335" s="3"/>
      <c r="T335" s="4"/>
      <c r="U335" s="6"/>
      <c r="V335" s="3"/>
      <c r="W335" s="4"/>
      <c r="X335" s="6"/>
      <c r="Y335" s="3"/>
      <c r="Z335" s="4"/>
      <c r="AA335" s="6"/>
      <c r="AB335" s="3"/>
      <c r="AC335" s="4"/>
      <c r="AD335" s="6"/>
      <c r="AE335" s="3"/>
      <c r="AF335" s="7"/>
      <c r="AG335" s="1"/>
      <c r="AH335" s="1">
        <f t="shared" si="4"/>
        <v>221825</v>
      </c>
    </row>
    <row r="336" spans="3:34" x14ac:dyDescent="0.25">
      <c r="C336" s="2"/>
      <c r="D336" s="2"/>
      <c r="E336" s="17"/>
      <c r="F336" s="66" t="s">
        <v>56</v>
      </c>
      <c r="G336" s="4"/>
      <c r="H336" s="4"/>
      <c r="I336" s="4"/>
      <c r="J336" s="4"/>
      <c r="K336" s="4" t="s">
        <v>64</v>
      </c>
      <c r="L336" s="58"/>
      <c r="M336" s="4"/>
      <c r="N336" s="4"/>
      <c r="O336" s="6"/>
      <c r="P336" s="3"/>
      <c r="Q336" s="4">
        <v>0.86</v>
      </c>
      <c r="R336" s="6"/>
      <c r="S336" s="3">
        <f>Q336*J334</f>
        <v>40850</v>
      </c>
      <c r="T336" s="4"/>
      <c r="U336" s="6"/>
      <c r="V336" s="3"/>
      <c r="W336" s="4"/>
      <c r="X336" s="6"/>
      <c r="Y336" s="3"/>
      <c r="Z336" s="4"/>
      <c r="AA336" s="6"/>
      <c r="AB336" s="3"/>
      <c r="AC336" s="4"/>
      <c r="AD336" s="6"/>
      <c r="AE336" s="3"/>
      <c r="AF336" s="7"/>
      <c r="AG336" s="1"/>
      <c r="AH336" s="1">
        <f t="shared" si="4"/>
        <v>40850</v>
      </c>
    </row>
    <row r="337" spans="3:34" x14ac:dyDescent="0.25">
      <c r="C337" s="2"/>
      <c r="D337" s="2"/>
      <c r="E337" s="17"/>
      <c r="F337" s="66" t="s">
        <v>56</v>
      </c>
      <c r="G337" s="12"/>
      <c r="H337" s="12"/>
      <c r="I337" s="12"/>
      <c r="J337" s="12"/>
      <c r="K337" s="12" t="s">
        <v>65</v>
      </c>
      <c r="L337" s="58"/>
      <c r="M337" s="12"/>
      <c r="N337" s="12"/>
      <c r="O337" s="13"/>
      <c r="P337" s="14"/>
      <c r="Q337" s="12"/>
      <c r="R337" s="13"/>
      <c r="S337" s="14"/>
      <c r="T337" s="12">
        <v>1.94</v>
      </c>
      <c r="U337" s="13"/>
      <c r="V337" s="14">
        <f>T337*J334</f>
        <v>92150</v>
      </c>
      <c r="W337" s="12"/>
      <c r="X337" s="13"/>
      <c r="Y337" s="14"/>
      <c r="Z337" s="12"/>
      <c r="AA337" s="13"/>
      <c r="AB337" s="14"/>
      <c r="AC337" s="12"/>
      <c r="AD337" s="13"/>
      <c r="AE337" s="14"/>
      <c r="AF337" s="7"/>
      <c r="AG337" s="1"/>
      <c r="AH337" s="1">
        <f t="shared" si="4"/>
        <v>92150</v>
      </c>
    </row>
    <row r="338" spans="3:34" x14ac:dyDescent="0.25">
      <c r="C338" s="2"/>
      <c r="D338" s="2"/>
      <c r="E338" s="17"/>
      <c r="F338" s="66" t="s">
        <v>56</v>
      </c>
      <c r="G338" s="12"/>
      <c r="H338" s="12"/>
      <c r="I338" s="12"/>
      <c r="J338" s="12"/>
      <c r="K338" s="12" t="s">
        <v>66</v>
      </c>
      <c r="L338" s="58"/>
      <c r="M338" s="12"/>
      <c r="N338" s="12"/>
      <c r="O338" s="13"/>
      <c r="P338" s="14"/>
      <c r="Q338" s="12"/>
      <c r="R338" s="13"/>
      <c r="S338" s="14"/>
      <c r="T338" s="12"/>
      <c r="U338" s="13"/>
      <c r="V338" s="14"/>
      <c r="W338" s="12">
        <v>1.32</v>
      </c>
      <c r="X338" s="13"/>
      <c r="Y338" s="14">
        <f>W338*J334</f>
        <v>62700</v>
      </c>
      <c r="Z338" s="12"/>
      <c r="AA338" s="13"/>
      <c r="AB338" s="14"/>
      <c r="AC338" s="12"/>
      <c r="AD338" s="13"/>
      <c r="AE338" s="14"/>
      <c r="AF338" s="7"/>
      <c r="AG338" s="1"/>
      <c r="AH338" s="1">
        <f t="shared" si="4"/>
        <v>62700</v>
      </c>
    </row>
    <row r="339" spans="3:34" x14ac:dyDescent="0.25">
      <c r="C339" s="2"/>
      <c r="D339" s="2"/>
      <c r="E339" s="17"/>
      <c r="F339" s="66" t="s">
        <v>56</v>
      </c>
      <c r="G339" s="12"/>
      <c r="H339" s="12"/>
      <c r="I339" s="12"/>
      <c r="J339" s="12"/>
      <c r="K339" s="12" t="s">
        <v>67</v>
      </c>
      <c r="L339" s="58"/>
      <c r="M339" s="12"/>
      <c r="N339" s="12"/>
      <c r="O339" s="13"/>
      <c r="P339" s="14"/>
      <c r="Q339" s="12"/>
      <c r="R339" s="13"/>
      <c r="S339" s="14"/>
      <c r="T339" s="12"/>
      <c r="U339" s="13"/>
      <c r="V339" s="14"/>
      <c r="W339" s="12"/>
      <c r="X339" s="13"/>
      <c r="Y339" s="14"/>
      <c r="Z339" s="12"/>
      <c r="AA339" s="13"/>
      <c r="AB339" s="14"/>
      <c r="AC339" s="12">
        <v>0.53</v>
      </c>
      <c r="AD339" s="13"/>
      <c r="AE339" s="14">
        <f>AC339*J334</f>
        <v>25175</v>
      </c>
      <c r="AF339" s="7"/>
      <c r="AG339" s="1"/>
      <c r="AH339" s="1">
        <f t="shared" si="4"/>
        <v>25175</v>
      </c>
    </row>
    <row r="340" spans="3:34" ht="16.5" thickBot="1" x14ac:dyDescent="0.3">
      <c r="F340" s="32" t="s">
        <v>34</v>
      </c>
      <c r="G340" s="36"/>
      <c r="H340" s="36"/>
      <c r="I340" s="36"/>
      <c r="J340" s="36"/>
      <c r="K340" s="36"/>
      <c r="L340" s="62"/>
      <c r="M340" s="27">
        <f>SUM(M313:M339)</f>
        <v>15990777265</v>
      </c>
      <c r="N340" s="27"/>
      <c r="O340" s="28"/>
      <c r="P340" s="27">
        <f>SUM(P313:P339)</f>
        <v>256594956.72400001</v>
      </c>
      <c r="Q340" s="27"/>
      <c r="R340" s="28"/>
      <c r="S340" s="27">
        <f>SUM(S313:S339)</f>
        <v>371121637.91149998</v>
      </c>
      <c r="T340" s="27"/>
      <c r="U340" s="28"/>
      <c r="V340" s="27">
        <f>SUM(V313:V339)</f>
        <v>106209017.47399999</v>
      </c>
      <c r="W340" s="27"/>
      <c r="X340" s="28"/>
      <c r="Y340" s="27">
        <f>SUM(Y313:Y339)</f>
        <v>11772937.423500001</v>
      </c>
      <c r="Z340" s="27"/>
      <c r="AA340" s="28"/>
      <c r="AB340" s="27">
        <f>SUM(AB313:AB339)</f>
        <v>15975753.241</v>
      </c>
      <c r="AC340" s="27"/>
      <c r="AD340" s="28"/>
      <c r="AE340" s="27">
        <f>SUM(AE313:AE339)</f>
        <v>22434280.486000001</v>
      </c>
      <c r="AF340" s="7" t="e">
        <f>#REF!+#REF!+#REF!+#REF!+#REF!+#REF!+#REF!+#REF!+#REF!+#REF!+#REF!+#REF!</f>
        <v>#REF!</v>
      </c>
      <c r="AG340" s="1" t="e">
        <f>#REF!+#REF!+#REF!+#REF!+#REF!+#REF!+#REF!+#REF!+#REF!+#REF!+#REF!+#REF!-M340</f>
        <v>#REF!</v>
      </c>
      <c r="AH340" s="69">
        <f t="shared" si="4"/>
        <v>784108583.25999999</v>
      </c>
    </row>
    <row r="341" spans="3:34" x14ac:dyDescent="0.25">
      <c r="F341" s="43" t="s">
        <v>35</v>
      </c>
      <c r="G341" s="21">
        <v>65713.100000000006</v>
      </c>
      <c r="H341" s="21">
        <v>41892</v>
      </c>
      <c r="I341" s="21"/>
      <c r="J341" s="21"/>
      <c r="K341" s="21" t="s">
        <v>21</v>
      </c>
      <c r="L341" s="60">
        <f>179.64*1000</f>
        <v>179640</v>
      </c>
      <c r="M341" s="21">
        <f>L341*H341</f>
        <v>7525478880</v>
      </c>
      <c r="N341" s="21"/>
      <c r="O341" s="22">
        <v>1.6E-2</v>
      </c>
      <c r="P341" s="23">
        <f t="shared" ref="P341:P348" si="147">O341*$M341</f>
        <v>120407662.08</v>
      </c>
      <c r="Q341" s="21"/>
      <c r="R341" s="22">
        <v>2.3300000000000001E-2</v>
      </c>
      <c r="S341" s="3">
        <f t="shared" ref="S341:S348" si="148">R341*$M341</f>
        <v>175343657.90400001</v>
      </c>
      <c r="T341" s="21"/>
      <c r="U341" s="22">
        <v>7.0000000000000001E-3</v>
      </c>
      <c r="V341" s="3">
        <f t="shared" ref="V341:V348" si="149">U341*$M341</f>
        <v>52678352.160000004</v>
      </c>
      <c r="W341" s="21"/>
      <c r="X341" s="22">
        <v>6.9999999999999999E-4</v>
      </c>
      <c r="Y341" s="3">
        <f t="shared" ref="Y341:Y348" si="150">X341*$M341</f>
        <v>5267835.216</v>
      </c>
      <c r="Z341" s="21"/>
      <c r="AA341" s="22">
        <v>1E-3</v>
      </c>
      <c r="AB341" s="3">
        <f t="shared" ref="AB341:AB348" si="151">AA341*$M341</f>
        <v>7525478.8799999999</v>
      </c>
      <c r="AC341" s="21"/>
      <c r="AD341" s="22">
        <v>1.4E-3</v>
      </c>
      <c r="AE341" s="3">
        <f t="shared" ref="AE341:AE348" si="152">AD341*$M341</f>
        <v>10535670.432</v>
      </c>
      <c r="AF341" s="7" t="e">
        <f>#REF!+#REF!+#REF!+#REF!+#REF!+#REF!+#REF!+#REF!+#REF!+#REF!+#REF!+#REF!</f>
        <v>#REF!</v>
      </c>
      <c r="AG341" s="1" t="e">
        <f>#REF!+#REF!+#REF!+#REF!+#REF!+#REF!+#REF!+#REF!+#REF!+#REF!+#REF!+#REF!-M341</f>
        <v>#REF!</v>
      </c>
      <c r="AH341" s="1">
        <f t="shared" si="4"/>
        <v>371758656.67199999</v>
      </c>
    </row>
    <row r="342" spans="3:34" x14ac:dyDescent="0.25">
      <c r="C342" s="2"/>
      <c r="D342" s="2"/>
      <c r="E342" s="17"/>
      <c r="F342" s="66" t="s">
        <v>48</v>
      </c>
      <c r="G342" s="12"/>
      <c r="H342" s="12"/>
      <c r="I342" s="12"/>
      <c r="J342" s="12"/>
      <c r="K342" s="12" t="s">
        <v>49</v>
      </c>
      <c r="L342" s="58"/>
      <c r="M342" s="12"/>
      <c r="N342" s="12"/>
      <c r="O342" s="13"/>
      <c r="P342" s="14"/>
      <c r="Q342" s="12"/>
      <c r="R342" s="13"/>
      <c r="S342" s="14"/>
      <c r="T342" s="12"/>
      <c r="U342" s="13"/>
      <c r="V342" s="14"/>
      <c r="W342" s="12"/>
      <c r="X342" s="13"/>
      <c r="Y342" s="14"/>
      <c r="Z342" s="12">
        <v>0.22</v>
      </c>
      <c r="AA342" s="13"/>
      <c r="AB342" s="14">
        <f>Z342*H341</f>
        <v>9216.24</v>
      </c>
      <c r="AC342" s="12"/>
      <c r="AD342" s="13"/>
      <c r="AE342" s="14"/>
      <c r="AF342" s="7"/>
      <c r="AG342" s="1"/>
      <c r="AH342" s="1">
        <f t="shared" ref="AH342:AH347" si="153">AE342+AB342+Y342+V342+S342+P342</f>
        <v>9216.24</v>
      </c>
    </row>
    <row r="343" spans="3:34" x14ac:dyDescent="0.25">
      <c r="C343" s="2"/>
      <c r="D343" s="2"/>
      <c r="E343" s="17"/>
      <c r="F343" s="66" t="s">
        <v>48</v>
      </c>
      <c r="G343" s="12"/>
      <c r="H343" s="12"/>
      <c r="I343" s="12"/>
      <c r="J343" s="12"/>
      <c r="K343" s="12" t="s">
        <v>51</v>
      </c>
      <c r="L343" s="58"/>
      <c r="M343" s="12"/>
      <c r="N343" s="12">
        <v>3.29</v>
      </c>
      <c r="O343" s="13"/>
      <c r="P343" s="14">
        <f>N343*H341</f>
        <v>137824.68</v>
      </c>
      <c r="Q343" s="12"/>
      <c r="R343" s="13"/>
      <c r="S343" s="14"/>
      <c r="T343" s="12"/>
      <c r="U343" s="13"/>
      <c r="V343" s="14"/>
      <c r="W343" s="12"/>
      <c r="X343" s="13"/>
      <c r="Y343" s="14"/>
      <c r="Z343" s="12"/>
      <c r="AA343" s="13"/>
      <c r="AB343" s="14"/>
      <c r="AC343" s="12"/>
      <c r="AD343" s="13"/>
      <c r="AE343" s="14"/>
      <c r="AF343" s="7"/>
      <c r="AG343" s="1"/>
      <c r="AH343" s="1">
        <f t="shared" si="153"/>
        <v>137824.68</v>
      </c>
    </row>
    <row r="344" spans="3:34" x14ac:dyDescent="0.25">
      <c r="C344" s="2"/>
      <c r="D344" s="2"/>
      <c r="E344" s="17"/>
      <c r="F344" s="66" t="s">
        <v>48</v>
      </c>
      <c r="G344" s="12"/>
      <c r="H344" s="12"/>
      <c r="I344" s="12"/>
      <c r="J344" s="12"/>
      <c r="K344" s="12" t="s">
        <v>52</v>
      </c>
      <c r="L344" s="58"/>
      <c r="M344" s="12"/>
      <c r="N344" s="12"/>
      <c r="O344" s="13"/>
      <c r="P344" s="14"/>
      <c r="Q344" s="12">
        <v>4.7300000000000004</v>
      </c>
      <c r="R344" s="13"/>
      <c r="S344" s="14">
        <f>Q344*H341</f>
        <v>198149.16</v>
      </c>
      <c r="T344" s="12"/>
      <c r="U344" s="13"/>
      <c r="V344" s="14"/>
      <c r="W344" s="12"/>
      <c r="X344" s="13"/>
      <c r="Y344" s="14"/>
      <c r="Z344" s="12"/>
      <c r="AA344" s="13"/>
      <c r="AB344" s="14"/>
      <c r="AC344" s="12"/>
      <c r="AD344" s="13"/>
      <c r="AE344" s="14"/>
      <c r="AF344" s="7"/>
      <c r="AG344" s="1"/>
      <c r="AH344" s="1">
        <f t="shared" si="153"/>
        <v>198149.16</v>
      </c>
    </row>
    <row r="345" spans="3:34" x14ac:dyDescent="0.25">
      <c r="C345" s="2"/>
      <c r="D345" s="2"/>
      <c r="E345" s="17"/>
      <c r="F345" s="66" t="s">
        <v>48</v>
      </c>
      <c r="G345" s="12"/>
      <c r="H345" s="12"/>
      <c r="I345" s="12"/>
      <c r="J345" s="12"/>
      <c r="K345" s="12" t="s">
        <v>53</v>
      </c>
      <c r="L345" s="58"/>
      <c r="M345" s="12"/>
      <c r="N345" s="12"/>
      <c r="O345" s="13"/>
      <c r="P345" s="14"/>
      <c r="Q345" s="12"/>
      <c r="R345" s="13"/>
      <c r="S345" s="14"/>
      <c r="T345" s="12">
        <v>1.4</v>
      </c>
      <c r="U345" s="13"/>
      <c r="V345" s="14">
        <f>T345*H341</f>
        <v>58648.799999999996</v>
      </c>
      <c r="W345" s="12"/>
      <c r="X345" s="13"/>
      <c r="Y345" s="14"/>
      <c r="Z345" s="12"/>
      <c r="AA345" s="13"/>
      <c r="AB345" s="14"/>
      <c r="AC345" s="12"/>
      <c r="AD345" s="13"/>
      <c r="AE345" s="14"/>
      <c r="AF345" s="7"/>
      <c r="AG345" s="1"/>
      <c r="AH345" s="1">
        <f t="shared" si="153"/>
        <v>58648.799999999996</v>
      </c>
    </row>
    <row r="346" spans="3:34" x14ac:dyDescent="0.25">
      <c r="C346" s="2"/>
      <c r="D346" s="2"/>
      <c r="E346" s="17"/>
      <c r="F346" s="66" t="s">
        <v>48</v>
      </c>
      <c r="G346" s="12"/>
      <c r="H346" s="12"/>
      <c r="I346" s="12"/>
      <c r="J346" s="12"/>
      <c r="K346" s="12" t="s">
        <v>54</v>
      </c>
      <c r="L346" s="58"/>
      <c r="M346" s="12"/>
      <c r="N346" s="12"/>
      <c r="O346" s="13"/>
      <c r="P346" s="14"/>
      <c r="Q346" s="12"/>
      <c r="R346" s="13"/>
      <c r="S346" s="14"/>
      <c r="T346" s="12"/>
      <c r="U346" s="13"/>
      <c r="V346" s="14"/>
      <c r="W346" s="12">
        <v>0.15</v>
      </c>
      <c r="X346" s="13"/>
      <c r="Y346" s="14">
        <f>W346*H341</f>
        <v>6283.8</v>
      </c>
      <c r="Z346" s="12"/>
      <c r="AA346" s="13"/>
      <c r="AB346" s="14"/>
      <c r="AC346" s="12"/>
      <c r="AD346" s="13"/>
      <c r="AE346" s="14"/>
      <c r="AF346" s="7"/>
      <c r="AG346" s="1"/>
      <c r="AH346" s="1">
        <f t="shared" si="153"/>
        <v>6283.8</v>
      </c>
    </row>
    <row r="347" spans="3:34" x14ac:dyDescent="0.25">
      <c r="C347" s="2"/>
      <c r="D347" s="2"/>
      <c r="E347" s="17"/>
      <c r="F347" s="66" t="s">
        <v>48</v>
      </c>
      <c r="G347" s="12"/>
      <c r="H347" s="12"/>
      <c r="I347" s="12"/>
      <c r="J347" s="12"/>
      <c r="K347" s="12" t="s">
        <v>55</v>
      </c>
      <c r="L347" s="58"/>
      <c r="M347" s="12"/>
      <c r="N347" s="12"/>
      <c r="O347" s="13"/>
      <c r="P347" s="14"/>
      <c r="Q347" s="12"/>
      <c r="R347" s="13"/>
      <c r="S347" s="14"/>
      <c r="T347" s="12"/>
      <c r="U347" s="13"/>
      <c r="V347" s="14"/>
      <c r="W347" s="12"/>
      <c r="X347" s="13"/>
      <c r="Y347" s="14"/>
      <c r="Z347" s="12"/>
      <c r="AA347" s="13"/>
      <c r="AB347" s="14"/>
      <c r="AC347" s="12">
        <v>0.25</v>
      </c>
      <c r="AD347" s="13"/>
      <c r="AE347" s="14">
        <f>AC347*H341</f>
        <v>10473</v>
      </c>
      <c r="AF347" s="7"/>
      <c r="AG347" s="1"/>
      <c r="AH347" s="1">
        <f t="shared" si="153"/>
        <v>10473</v>
      </c>
    </row>
    <row r="348" spans="3:34" ht="31.5" x14ac:dyDescent="0.25">
      <c r="F348" s="24" t="s">
        <v>30</v>
      </c>
      <c r="G348" s="4"/>
      <c r="H348" s="4">
        <v>1263.5</v>
      </c>
      <c r="I348" s="4"/>
      <c r="J348" s="12"/>
      <c r="K348" s="12" t="s">
        <v>21</v>
      </c>
      <c r="L348" s="61">
        <f>125.81*1000</f>
        <v>125810</v>
      </c>
      <c r="M348" s="12">
        <f>L348*H348</f>
        <v>158960935</v>
      </c>
      <c r="N348" s="12"/>
      <c r="O348" s="13">
        <v>1.6E-2</v>
      </c>
      <c r="P348" s="14">
        <f t="shared" si="147"/>
        <v>2543374.96</v>
      </c>
      <c r="Q348" s="12"/>
      <c r="R348" s="13">
        <v>2.3300000000000001E-2</v>
      </c>
      <c r="S348" s="3">
        <f t="shared" si="148"/>
        <v>3703789.7855000002</v>
      </c>
      <c r="T348" s="12"/>
      <c r="U348" s="13">
        <v>7.0000000000000001E-3</v>
      </c>
      <c r="V348" s="3">
        <f t="shared" si="149"/>
        <v>1112726.5449999999</v>
      </c>
      <c r="W348" s="12"/>
      <c r="X348" s="13">
        <v>6.9999999999999999E-4</v>
      </c>
      <c r="Y348" s="3">
        <f t="shared" si="150"/>
        <v>111272.6545</v>
      </c>
      <c r="Z348" s="12"/>
      <c r="AA348" s="13">
        <v>1E-3</v>
      </c>
      <c r="AB348" s="3">
        <f t="shared" si="151"/>
        <v>158960.935</v>
      </c>
      <c r="AC348" s="12"/>
      <c r="AD348" s="13">
        <v>1.4E-3</v>
      </c>
      <c r="AE348" s="3">
        <f t="shared" si="152"/>
        <v>222545.30900000001</v>
      </c>
      <c r="AF348" s="7" t="e">
        <f>#REF!+#REF!+#REF!+#REF!+#REF!+#REF!+#REF!+#REF!+#REF!+#REF!+#REF!+#REF!</f>
        <v>#REF!</v>
      </c>
      <c r="AG348" s="1" t="e">
        <f>#REF!+#REF!+#REF!+#REF!+#REF!+#REF!+#REF!+#REF!+#REF!+#REF!+#REF!+#REF!-M348</f>
        <v>#REF!</v>
      </c>
      <c r="AH348" s="1">
        <f t="shared" si="4"/>
        <v>7852670.1890000002</v>
      </c>
    </row>
    <row r="349" spans="3:34" x14ac:dyDescent="0.25">
      <c r="C349" s="2"/>
      <c r="D349" s="2"/>
      <c r="E349" s="17"/>
      <c r="F349" s="66" t="s">
        <v>48</v>
      </c>
      <c r="G349" s="12"/>
      <c r="H349" s="12"/>
      <c r="I349" s="12"/>
      <c r="J349" s="12"/>
      <c r="K349" s="12" t="s">
        <v>49</v>
      </c>
      <c r="L349" s="58"/>
      <c r="M349" s="12"/>
      <c r="N349" s="12"/>
      <c r="O349" s="13"/>
      <c r="P349" s="14"/>
      <c r="Q349" s="12"/>
      <c r="R349" s="13"/>
      <c r="S349" s="14"/>
      <c r="T349" s="12"/>
      <c r="U349" s="13"/>
      <c r="V349" s="14"/>
      <c r="W349" s="12"/>
      <c r="X349" s="13"/>
      <c r="Y349" s="14"/>
      <c r="Z349" s="12">
        <v>0.14000000000000001</v>
      </c>
      <c r="AA349" s="13"/>
      <c r="AB349" s="14">
        <f>Z349*H348</f>
        <v>176.89000000000001</v>
      </c>
      <c r="AC349" s="12"/>
      <c r="AD349" s="13"/>
      <c r="AE349" s="14"/>
      <c r="AF349" s="7"/>
      <c r="AG349" s="1"/>
      <c r="AH349" s="1">
        <f t="shared" ref="AH349:AH354" si="154">AE349+AB349+Y349+V349+S349+P349</f>
        <v>176.89000000000001</v>
      </c>
    </row>
    <row r="350" spans="3:34" x14ac:dyDescent="0.25">
      <c r="C350" s="2"/>
      <c r="D350" s="2"/>
      <c r="E350" s="17"/>
      <c r="F350" s="66" t="s">
        <v>48</v>
      </c>
      <c r="G350" s="12"/>
      <c r="H350" s="12"/>
      <c r="I350" s="12"/>
      <c r="J350" s="12"/>
      <c r="K350" s="12" t="s">
        <v>51</v>
      </c>
      <c r="L350" s="58"/>
      <c r="M350" s="12"/>
      <c r="N350" s="12">
        <v>2.25</v>
      </c>
      <c r="O350" s="13"/>
      <c r="P350" s="14">
        <f>N350*H348</f>
        <v>2842.875</v>
      </c>
      <c r="Q350" s="12"/>
      <c r="R350" s="13"/>
      <c r="S350" s="14"/>
      <c r="T350" s="12"/>
      <c r="U350" s="13"/>
      <c r="V350" s="14"/>
      <c r="W350" s="12"/>
      <c r="X350" s="13"/>
      <c r="Y350" s="14"/>
      <c r="Z350" s="12"/>
      <c r="AA350" s="13"/>
      <c r="AB350" s="14"/>
      <c r="AC350" s="12"/>
      <c r="AD350" s="13"/>
      <c r="AE350" s="14"/>
      <c r="AF350" s="7"/>
      <c r="AG350" s="1"/>
      <c r="AH350" s="1">
        <f t="shared" si="154"/>
        <v>2842.875</v>
      </c>
    </row>
    <row r="351" spans="3:34" x14ac:dyDescent="0.25">
      <c r="C351" s="2"/>
      <c r="D351" s="2"/>
      <c r="E351" s="17"/>
      <c r="F351" s="66" t="s">
        <v>48</v>
      </c>
      <c r="G351" s="12"/>
      <c r="H351" s="12"/>
      <c r="I351" s="12"/>
      <c r="J351" s="12"/>
      <c r="K351" s="12" t="s">
        <v>52</v>
      </c>
      <c r="L351" s="58"/>
      <c r="M351" s="12"/>
      <c r="N351" s="12"/>
      <c r="O351" s="13"/>
      <c r="P351" s="14"/>
      <c r="Q351" s="12">
        <v>3.24</v>
      </c>
      <c r="R351" s="13"/>
      <c r="S351" s="14">
        <f>Q351*H348</f>
        <v>4093.7400000000002</v>
      </c>
      <c r="T351" s="12"/>
      <c r="U351" s="13"/>
      <c r="V351" s="14"/>
      <c r="W351" s="12"/>
      <c r="X351" s="13"/>
      <c r="Y351" s="14"/>
      <c r="Z351" s="12"/>
      <c r="AA351" s="13"/>
      <c r="AB351" s="14"/>
      <c r="AC351" s="12"/>
      <c r="AD351" s="13"/>
      <c r="AE351" s="14"/>
      <c r="AF351" s="7"/>
      <c r="AG351" s="1"/>
      <c r="AH351" s="1">
        <f t="shared" si="154"/>
        <v>4093.7400000000002</v>
      </c>
    </row>
    <row r="352" spans="3:34" x14ac:dyDescent="0.25">
      <c r="C352" s="2"/>
      <c r="D352" s="2"/>
      <c r="E352" s="17"/>
      <c r="F352" s="66" t="s">
        <v>48</v>
      </c>
      <c r="G352" s="12"/>
      <c r="H352" s="12"/>
      <c r="I352" s="12"/>
      <c r="J352" s="12"/>
      <c r="K352" s="12" t="s">
        <v>53</v>
      </c>
      <c r="L352" s="58"/>
      <c r="M352" s="12"/>
      <c r="N352" s="12"/>
      <c r="O352" s="13"/>
      <c r="P352" s="14"/>
      <c r="Q352" s="12"/>
      <c r="R352" s="13"/>
      <c r="S352" s="14"/>
      <c r="T352" s="12">
        <v>0.95</v>
      </c>
      <c r="U352" s="13"/>
      <c r="V352" s="14">
        <f>T352*H348</f>
        <v>1200.325</v>
      </c>
      <c r="W352" s="12"/>
      <c r="X352" s="13"/>
      <c r="Y352" s="14"/>
      <c r="Z352" s="12"/>
      <c r="AA352" s="13"/>
      <c r="AB352" s="14"/>
      <c r="AC352" s="12"/>
      <c r="AD352" s="13"/>
      <c r="AE352" s="14"/>
      <c r="AF352" s="7"/>
      <c r="AG352" s="1"/>
      <c r="AH352" s="1">
        <f t="shared" si="154"/>
        <v>1200.325</v>
      </c>
    </row>
    <row r="353" spans="3:34" x14ac:dyDescent="0.25">
      <c r="C353" s="2"/>
      <c r="D353" s="2"/>
      <c r="E353" s="17"/>
      <c r="F353" s="66" t="s">
        <v>48</v>
      </c>
      <c r="G353" s="12"/>
      <c r="H353" s="12"/>
      <c r="I353" s="12"/>
      <c r="J353" s="12"/>
      <c r="K353" s="12" t="s">
        <v>54</v>
      </c>
      <c r="L353" s="58"/>
      <c r="M353" s="12"/>
      <c r="N353" s="12"/>
      <c r="O353" s="13"/>
      <c r="P353" s="14"/>
      <c r="Q353" s="12"/>
      <c r="R353" s="13"/>
      <c r="S353" s="14"/>
      <c r="T353" s="12"/>
      <c r="U353" s="13"/>
      <c r="V353" s="14"/>
      <c r="W353" s="12">
        <v>0.1</v>
      </c>
      <c r="X353" s="13"/>
      <c r="Y353" s="14">
        <f>W353*H348</f>
        <v>126.35000000000001</v>
      </c>
      <c r="Z353" s="12"/>
      <c r="AA353" s="13"/>
      <c r="AB353" s="14"/>
      <c r="AC353" s="12"/>
      <c r="AD353" s="13"/>
      <c r="AE353" s="14"/>
      <c r="AF353" s="7"/>
      <c r="AG353" s="1"/>
      <c r="AH353" s="1">
        <f t="shared" si="154"/>
        <v>126.35000000000001</v>
      </c>
    </row>
    <row r="354" spans="3:34" x14ac:dyDescent="0.25">
      <c r="C354" s="2"/>
      <c r="D354" s="2"/>
      <c r="E354" s="17"/>
      <c r="F354" s="66" t="s">
        <v>48</v>
      </c>
      <c r="G354" s="12"/>
      <c r="H354" s="12"/>
      <c r="I354" s="12"/>
      <c r="J354" s="12"/>
      <c r="K354" s="12" t="s">
        <v>55</v>
      </c>
      <c r="L354" s="58"/>
      <c r="M354" s="12"/>
      <c r="N354" s="12"/>
      <c r="O354" s="13"/>
      <c r="P354" s="14"/>
      <c r="Q354" s="12"/>
      <c r="R354" s="13"/>
      <c r="S354" s="14"/>
      <c r="T354" s="12"/>
      <c r="U354" s="13"/>
      <c r="V354" s="14"/>
      <c r="W354" s="12"/>
      <c r="X354" s="13"/>
      <c r="Y354" s="14"/>
      <c r="Z354" s="12"/>
      <c r="AA354" s="13"/>
      <c r="AB354" s="14"/>
      <c r="AC354" s="12">
        <v>0.17</v>
      </c>
      <c r="AD354" s="13"/>
      <c r="AE354" s="14">
        <f>AC354*H348</f>
        <v>214.79500000000002</v>
      </c>
      <c r="AF354" s="7"/>
      <c r="AG354" s="1"/>
      <c r="AH354" s="1">
        <f t="shared" si="154"/>
        <v>214.79500000000002</v>
      </c>
    </row>
    <row r="355" spans="3:34" x14ac:dyDescent="0.25">
      <c r="F355" s="25" t="s">
        <v>28</v>
      </c>
      <c r="G355" s="2"/>
      <c r="H355" s="2"/>
      <c r="I355" s="4">
        <f>189*3*6</f>
        <v>3402</v>
      </c>
      <c r="J355" s="4"/>
      <c r="K355" s="4" t="s">
        <v>25</v>
      </c>
      <c r="L355" s="58">
        <f>276.67*1000</f>
        <v>276670</v>
      </c>
      <c r="M355" s="4">
        <f>L355*I355</f>
        <v>941231340</v>
      </c>
      <c r="N355" s="4"/>
      <c r="O355" s="6">
        <v>1.5900000000000001E-2</v>
      </c>
      <c r="P355" s="3">
        <f t="shared" ref="P355:P362" si="155">O355*$M355</f>
        <v>14965578.306000002</v>
      </c>
      <c r="Q355" s="4"/>
      <c r="R355" s="6">
        <v>2.4500000000000001E-2</v>
      </c>
      <c r="S355" s="3">
        <f t="shared" ref="S355:S362" si="156">R355*$M355</f>
        <v>23060167.830000002</v>
      </c>
      <c r="T355" s="4"/>
      <c r="U355" s="6">
        <v>2.8999999999999998E-3</v>
      </c>
      <c r="V355" s="3">
        <f t="shared" ref="V355:V362" si="157">U355*$M355</f>
        <v>2729570.8859999999</v>
      </c>
      <c r="W355" s="4"/>
      <c r="X355" s="6">
        <v>5.0000000000000001E-4</v>
      </c>
      <c r="Y355" s="3">
        <f t="shared" ref="Y355:Y362" si="158">X355*$M355</f>
        <v>470615.67</v>
      </c>
      <c r="Z355" s="4"/>
      <c r="AA355" s="6">
        <v>1.1000000000000001E-3</v>
      </c>
      <c r="AB355" s="3">
        <f t="shared" ref="AB355:AB362" si="159">AA355*$M355</f>
        <v>1035354.474</v>
      </c>
      <c r="AC355" s="4"/>
      <c r="AD355" s="6">
        <v>1.4E-3</v>
      </c>
      <c r="AE355" s="3">
        <f t="shared" ref="AE355:AE362" si="160">AD355*$M355</f>
        <v>1317723.8759999999</v>
      </c>
      <c r="AF355" s="7" t="e">
        <f>#REF!+#REF!+#REF!+#REF!+#REF!+#REF!+#REF!+#REF!+#REF!+#REF!+#REF!+#REF!</f>
        <v>#REF!</v>
      </c>
      <c r="AG355" s="1" t="e">
        <f>#REF!+#REF!+#REF!+#REF!+#REF!+#REF!+#REF!+#REF!+#REF!+#REF!+#REF!+#REF!-M355</f>
        <v>#REF!</v>
      </c>
      <c r="AH355" s="1">
        <f t="shared" si="4"/>
        <v>43579011.042000003</v>
      </c>
    </row>
    <row r="356" spans="3:34" x14ac:dyDescent="0.25">
      <c r="C356" s="2"/>
      <c r="D356" s="2"/>
      <c r="E356" s="17"/>
      <c r="F356" s="66" t="s">
        <v>56</v>
      </c>
      <c r="G356" s="12"/>
      <c r="H356" s="12"/>
      <c r="I356" s="12"/>
      <c r="J356" s="12"/>
      <c r="K356" s="12" t="s">
        <v>57</v>
      </c>
      <c r="L356" s="58"/>
      <c r="M356" s="12"/>
      <c r="N356" s="12"/>
      <c r="O356" s="13"/>
      <c r="P356" s="14"/>
      <c r="Q356" s="12"/>
      <c r="R356" s="13"/>
      <c r="S356" s="14"/>
      <c r="T356" s="12"/>
      <c r="U356" s="13"/>
      <c r="V356" s="14"/>
      <c r="W356" s="12"/>
      <c r="X356" s="13"/>
      <c r="Y356" s="14"/>
      <c r="Z356" s="12">
        <v>0.3</v>
      </c>
      <c r="AA356" s="13"/>
      <c r="AB356" s="14">
        <f>Z356*I355</f>
        <v>1020.5999999999999</v>
      </c>
      <c r="AC356" s="12"/>
      <c r="AD356" s="13"/>
      <c r="AE356" s="14"/>
      <c r="AF356" s="7"/>
      <c r="AG356" s="1"/>
      <c r="AH356" s="1">
        <f t="shared" si="4"/>
        <v>1020.5999999999999</v>
      </c>
    </row>
    <row r="357" spans="3:34" x14ac:dyDescent="0.25">
      <c r="C357" s="2"/>
      <c r="D357" s="2"/>
      <c r="E357" s="17"/>
      <c r="F357" s="66" t="s">
        <v>56</v>
      </c>
      <c r="G357" s="12"/>
      <c r="H357" s="12"/>
      <c r="I357" s="12"/>
      <c r="J357" s="12"/>
      <c r="K357" s="12" t="s">
        <v>58</v>
      </c>
      <c r="L357" s="58"/>
      <c r="M357" s="12"/>
      <c r="N357" s="12">
        <v>4.58</v>
      </c>
      <c r="O357" s="13"/>
      <c r="P357" s="14">
        <f>N357*I355</f>
        <v>15581.16</v>
      </c>
      <c r="Q357" s="12"/>
      <c r="R357" s="13"/>
      <c r="S357" s="14"/>
      <c r="T357" s="12"/>
      <c r="U357" s="13"/>
      <c r="V357" s="14"/>
      <c r="W357" s="12"/>
      <c r="X357" s="13"/>
      <c r="Y357" s="14"/>
      <c r="Z357" s="12"/>
      <c r="AA357" s="13"/>
      <c r="AB357" s="14"/>
      <c r="AC357" s="12"/>
      <c r="AD357" s="13"/>
      <c r="AE357" s="14"/>
      <c r="AF357" s="7"/>
      <c r="AG357" s="1"/>
      <c r="AH357" s="1">
        <f t="shared" si="4"/>
        <v>15581.16</v>
      </c>
    </row>
    <row r="358" spans="3:34" x14ac:dyDescent="0.25">
      <c r="C358" s="2"/>
      <c r="D358" s="2"/>
      <c r="E358" s="17"/>
      <c r="F358" s="66" t="s">
        <v>56</v>
      </c>
      <c r="G358" s="12"/>
      <c r="H358" s="12"/>
      <c r="I358" s="12"/>
      <c r="J358" s="12"/>
      <c r="K358" s="12" t="s">
        <v>59</v>
      </c>
      <c r="L358" s="58"/>
      <c r="M358" s="12"/>
      <c r="N358" s="12"/>
      <c r="O358" s="13"/>
      <c r="P358" s="14"/>
      <c r="Q358" s="12">
        <v>6.59</v>
      </c>
      <c r="R358" s="13"/>
      <c r="S358" s="14">
        <f>Q358*I355</f>
        <v>22419.18</v>
      </c>
      <c r="T358" s="12"/>
      <c r="U358" s="13"/>
      <c r="V358" s="14"/>
      <c r="W358" s="12"/>
      <c r="X358" s="13"/>
      <c r="Y358" s="14"/>
      <c r="Z358" s="12"/>
      <c r="AA358" s="13"/>
      <c r="AB358" s="14"/>
      <c r="AC358" s="12"/>
      <c r="AD358" s="13"/>
      <c r="AE358" s="14"/>
      <c r="AF358" s="7"/>
      <c r="AG358" s="1"/>
      <c r="AH358" s="1">
        <f t="shared" si="4"/>
        <v>22419.18</v>
      </c>
    </row>
    <row r="359" spans="3:34" x14ac:dyDescent="0.25">
      <c r="C359" s="2"/>
      <c r="D359" s="2"/>
      <c r="E359" s="17"/>
      <c r="F359" s="66" t="s">
        <v>56</v>
      </c>
      <c r="G359" s="12"/>
      <c r="H359" s="12"/>
      <c r="I359" s="12"/>
      <c r="J359" s="12"/>
      <c r="K359" s="12" t="s">
        <v>60</v>
      </c>
      <c r="L359" s="58"/>
      <c r="M359" s="12"/>
      <c r="N359" s="12"/>
      <c r="O359" s="13"/>
      <c r="P359" s="14"/>
      <c r="Q359" s="12"/>
      <c r="R359" s="13"/>
      <c r="S359" s="14"/>
      <c r="T359" s="12">
        <v>0.87</v>
      </c>
      <c r="U359" s="13"/>
      <c r="V359" s="14">
        <f>T359*I355</f>
        <v>2959.74</v>
      </c>
      <c r="W359" s="12"/>
      <c r="X359" s="13"/>
      <c r="Y359" s="14"/>
      <c r="Z359" s="12"/>
      <c r="AA359" s="13"/>
      <c r="AB359" s="14"/>
      <c r="AC359" s="12"/>
      <c r="AD359" s="13"/>
      <c r="AE359" s="14"/>
      <c r="AF359" s="7"/>
      <c r="AG359" s="1"/>
      <c r="AH359" s="1">
        <f t="shared" si="4"/>
        <v>2959.74</v>
      </c>
    </row>
    <row r="360" spans="3:34" x14ac:dyDescent="0.25">
      <c r="C360" s="2"/>
      <c r="D360" s="2"/>
      <c r="E360" s="17"/>
      <c r="F360" s="66" t="s">
        <v>56</v>
      </c>
      <c r="G360" s="12"/>
      <c r="H360" s="12"/>
      <c r="I360" s="12"/>
      <c r="J360" s="12"/>
      <c r="K360" s="12" t="s">
        <v>61</v>
      </c>
      <c r="L360" s="58"/>
      <c r="M360" s="12"/>
      <c r="N360" s="12"/>
      <c r="O360" s="13"/>
      <c r="P360" s="14"/>
      <c r="Q360" s="12"/>
      <c r="R360" s="13"/>
      <c r="S360" s="14"/>
      <c r="T360" s="12"/>
      <c r="U360" s="13"/>
      <c r="V360" s="14"/>
      <c r="W360" s="12">
        <v>0.13</v>
      </c>
      <c r="X360" s="13"/>
      <c r="Y360" s="14">
        <f>W360*I355</f>
        <v>442.26</v>
      </c>
      <c r="Z360" s="12"/>
      <c r="AA360" s="13"/>
      <c r="AB360" s="14"/>
      <c r="AC360" s="12"/>
      <c r="AD360" s="13"/>
      <c r="AE360" s="14"/>
      <c r="AF360" s="7"/>
      <c r="AG360" s="1"/>
      <c r="AH360" s="1">
        <f t="shared" si="4"/>
        <v>442.26</v>
      </c>
    </row>
    <row r="361" spans="3:34" x14ac:dyDescent="0.25">
      <c r="C361" s="2"/>
      <c r="D361" s="2"/>
      <c r="E361" s="17"/>
      <c r="F361" s="66" t="s">
        <v>56</v>
      </c>
      <c r="G361" s="12"/>
      <c r="H361" s="12"/>
      <c r="I361" s="12"/>
      <c r="J361" s="12"/>
      <c r="K361" s="12" t="s">
        <v>62</v>
      </c>
      <c r="L361" s="58"/>
      <c r="M361" s="12"/>
      <c r="N361" s="12"/>
      <c r="O361" s="13"/>
      <c r="P361" s="14"/>
      <c r="Q361" s="12"/>
      <c r="R361" s="13"/>
      <c r="S361" s="14"/>
      <c r="T361" s="12"/>
      <c r="U361" s="13"/>
      <c r="V361" s="14"/>
      <c r="W361" s="12"/>
      <c r="X361" s="13"/>
      <c r="Y361" s="14"/>
      <c r="Z361" s="12"/>
      <c r="AA361" s="13"/>
      <c r="AB361" s="14"/>
      <c r="AC361" s="12">
        <v>0.39</v>
      </c>
      <c r="AD361" s="13"/>
      <c r="AE361" s="14">
        <f>AC361*I355</f>
        <v>1326.78</v>
      </c>
      <c r="AF361" s="7"/>
      <c r="AG361" s="1"/>
      <c r="AH361" s="1">
        <f t="shared" si="4"/>
        <v>1326.78</v>
      </c>
    </row>
    <row r="362" spans="3:34" x14ac:dyDescent="0.25">
      <c r="F362" s="50" t="s">
        <v>29</v>
      </c>
      <c r="G362" s="8"/>
      <c r="H362" s="8"/>
      <c r="I362" s="8"/>
      <c r="J362" s="9">
        <f>3*9500</f>
        <v>28500</v>
      </c>
      <c r="K362" s="9" t="s">
        <v>37</v>
      </c>
      <c r="L362" s="63">
        <v>382230</v>
      </c>
      <c r="M362" s="9">
        <f>J362*L362/100</f>
        <v>108935550</v>
      </c>
      <c r="N362" s="9"/>
      <c r="O362" s="6">
        <v>1.8100000000000002E-2</v>
      </c>
      <c r="P362" s="3">
        <f t="shared" si="155"/>
        <v>1971733.4550000001</v>
      </c>
      <c r="Q362" s="4"/>
      <c r="R362" s="6">
        <v>3.0000000000000001E-3</v>
      </c>
      <c r="S362" s="3">
        <f t="shared" si="156"/>
        <v>326806.65000000002</v>
      </c>
      <c r="T362" s="4"/>
      <c r="U362" s="6">
        <v>7.6E-3</v>
      </c>
      <c r="V362" s="3">
        <f t="shared" si="157"/>
        <v>827910.18</v>
      </c>
      <c r="W362" s="4"/>
      <c r="X362" s="6">
        <v>5.1000000000000004E-3</v>
      </c>
      <c r="Y362" s="3">
        <f t="shared" si="158"/>
        <v>555571.30500000005</v>
      </c>
      <c r="Z362" s="4"/>
      <c r="AA362" s="6"/>
      <c r="AB362" s="3">
        <f t="shared" si="159"/>
        <v>0</v>
      </c>
      <c r="AC362" s="4"/>
      <c r="AD362" s="6">
        <v>1.4E-3</v>
      </c>
      <c r="AE362" s="3">
        <f t="shared" si="160"/>
        <v>152509.76999999999</v>
      </c>
      <c r="AF362" s="7" t="e">
        <f>#REF!+#REF!+#REF!+#REF!+#REF!+#REF!+#REF!+#REF!+#REF!+#REF!+#REF!+#REF!</f>
        <v>#REF!</v>
      </c>
      <c r="AG362" s="1" t="e">
        <f>#REF!+#REF!+#REF!+#REF!+#REF!+#REF!+#REF!+#REF!+#REF!+#REF!+#REF!+#REF!-M362</f>
        <v>#REF!</v>
      </c>
      <c r="AH362" s="1">
        <f t="shared" si="4"/>
        <v>3834531.3600000003</v>
      </c>
    </row>
    <row r="363" spans="3:34" x14ac:dyDescent="0.25">
      <c r="C363" s="2"/>
      <c r="D363" s="2"/>
      <c r="E363" s="17"/>
      <c r="F363" s="66" t="s">
        <v>56</v>
      </c>
      <c r="G363" s="4"/>
      <c r="H363" s="4"/>
      <c r="I363" s="4"/>
      <c r="J363" s="4"/>
      <c r="K363" s="4" t="s">
        <v>63</v>
      </c>
      <c r="L363" s="58"/>
      <c r="M363" s="4"/>
      <c r="N363" s="4">
        <v>4.67</v>
      </c>
      <c r="O363" s="6"/>
      <c r="P363" s="3">
        <f>N363*J362</f>
        <v>133095</v>
      </c>
      <c r="Q363" s="4"/>
      <c r="R363" s="6"/>
      <c r="S363" s="3"/>
      <c r="T363" s="4"/>
      <c r="U363" s="6"/>
      <c r="V363" s="3"/>
      <c r="W363" s="4"/>
      <c r="X363" s="6"/>
      <c r="Y363" s="3"/>
      <c r="Z363" s="4"/>
      <c r="AA363" s="6"/>
      <c r="AB363" s="3"/>
      <c r="AC363" s="4"/>
      <c r="AD363" s="6"/>
      <c r="AE363" s="3"/>
      <c r="AF363" s="7"/>
      <c r="AG363" s="1"/>
      <c r="AH363" s="1">
        <f t="shared" ref="AH363:AH367" si="161">AE363+AB363+Y363+V363+S363+P363</f>
        <v>133095</v>
      </c>
    </row>
    <row r="364" spans="3:34" x14ac:dyDescent="0.25">
      <c r="C364" s="2"/>
      <c r="D364" s="2"/>
      <c r="E364" s="17"/>
      <c r="F364" s="66" t="s">
        <v>56</v>
      </c>
      <c r="G364" s="4"/>
      <c r="H364" s="4"/>
      <c r="I364" s="4"/>
      <c r="J364" s="4"/>
      <c r="K364" s="4" t="s">
        <v>64</v>
      </c>
      <c r="L364" s="58"/>
      <c r="M364" s="4"/>
      <c r="N364" s="4"/>
      <c r="O364" s="6"/>
      <c r="P364" s="3"/>
      <c r="Q364" s="4">
        <v>0.86</v>
      </c>
      <c r="R364" s="6"/>
      <c r="S364" s="3">
        <f>Q364*J362</f>
        <v>24510</v>
      </c>
      <c r="T364" s="4"/>
      <c r="U364" s="6"/>
      <c r="V364" s="3"/>
      <c r="W364" s="4"/>
      <c r="X364" s="6"/>
      <c r="Y364" s="3"/>
      <c r="Z364" s="4"/>
      <c r="AA364" s="6"/>
      <c r="AB364" s="3"/>
      <c r="AC364" s="4"/>
      <c r="AD364" s="6"/>
      <c r="AE364" s="3"/>
      <c r="AF364" s="7"/>
      <c r="AG364" s="1"/>
      <c r="AH364" s="1">
        <f t="shared" si="161"/>
        <v>24510</v>
      </c>
    </row>
    <row r="365" spans="3:34" x14ac:dyDescent="0.25">
      <c r="C365" s="2"/>
      <c r="D365" s="2"/>
      <c r="E365" s="17"/>
      <c r="F365" s="66" t="s">
        <v>56</v>
      </c>
      <c r="G365" s="12"/>
      <c r="H365" s="12"/>
      <c r="I365" s="12"/>
      <c r="J365" s="12"/>
      <c r="K365" s="12" t="s">
        <v>65</v>
      </c>
      <c r="L365" s="58"/>
      <c r="M365" s="12"/>
      <c r="N365" s="12"/>
      <c r="O365" s="13"/>
      <c r="P365" s="14"/>
      <c r="Q365" s="12"/>
      <c r="R365" s="13"/>
      <c r="S365" s="14"/>
      <c r="T365" s="12">
        <v>1.94</v>
      </c>
      <c r="U365" s="13"/>
      <c r="V365" s="14">
        <f>T365*J362</f>
        <v>55290</v>
      </c>
      <c r="W365" s="12"/>
      <c r="X365" s="13"/>
      <c r="Y365" s="14"/>
      <c r="Z365" s="12"/>
      <c r="AA365" s="13"/>
      <c r="AB365" s="14"/>
      <c r="AC365" s="12"/>
      <c r="AD365" s="13"/>
      <c r="AE365" s="14"/>
      <c r="AF365" s="7"/>
      <c r="AG365" s="1"/>
      <c r="AH365" s="1">
        <f t="shared" si="161"/>
        <v>55290</v>
      </c>
    </row>
    <row r="366" spans="3:34" x14ac:dyDescent="0.25">
      <c r="C366" s="2"/>
      <c r="D366" s="2"/>
      <c r="E366" s="17"/>
      <c r="F366" s="66" t="s">
        <v>56</v>
      </c>
      <c r="G366" s="12"/>
      <c r="H366" s="12"/>
      <c r="I366" s="12"/>
      <c r="J366" s="12"/>
      <c r="K366" s="12" t="s">
        <v>66</v>
      </c>
      <c r="L366" s="58"/>
      <c r="M366" s="12"/>
      <c r="N366" s="12"/>
      <c r="O366" s="13"/>
      <c r="P366" s="14"/>
      <c r="Q366" s="12"/>
      <c r="R366" s="13"/>
      <c r="S366" s="14"/>
      <c r="T366" s="12"/>
      <c r="U366" s="13"/>
      <c r="V366" s="14"/>
      <c r="W366" s="12">
        <v>1.32</v>
      </c>
      <c r="X366" s="13"/>
      <c r="Y366" s="14">
        <f>W366*J362</f>
        <v>37620</v>
      </c>
      <c r="Z366" s="12"/>
      <c r="AA366" s="13"/>
      <c r="AB366" s="14"/>
      <c r="AC366" s="12"/>
      <c r="AD366" s="13"/>
      <c r="AE366" s="14"/>
      <c r="AF366" s="7"/>
      <c r="AG366" s="1"/>
      <c r="AH366" s="1">
        <f t="shared" si="161"/>
        <v>37620</v>
      </c>
    </row>
    <row r="367" spans="3:34" ht="16.5" thickBot="1" x14ac:dyDescent="0.3">
      <c r="C367" s="2"/>
      <c r="D367" s="2"/>
      <c r="E367" s="17"/>
      <c r="F367" s="66" t="s">
        <v>56</v>
      </c>
      <c r="G367" s="12"/>
      <c r="H367" s="12"/>
      <c r="I367" s="12"/>
      <c r="J367" s="12"/>
      <c r="K367" s="12" t="s">
        <v>67</v>
      </c>
      <c r="L367" s="58"/>
      <c r="M367" s="12"/>
      <c r="N367" s="12"/>
      <c r="O367" s="13"/>
      <c r="P367" s="14"/>
      <c r="Q367" s="12"/>
      <c r="R367" s="13"/>
      <c r="S367" s="14"/>
      <c r="T367" s="12"/>
      <c r="U367" s="13"/>
      <c r="V367" s="14"/>
      <c r="W367" s="12"/>
      <c r="X367" s="13"/>
      <c r="Y367" s="14"/>
      <c r="Z367" s="12"/>
      <c r="AA367" s="13"/>
      <c r="AB367" s="14"/>
      <c r="AC367" s="12">
        <v>0.53</v>
      </c>
      <c r="AD367" s="13"/>
      <c r="AE367" s="14">
        <f>AC367*J362</f>
        <v>15105</v>
      </c>
      <c r="AF367" s="7"/>
      <c r="AG367" s="1"/>
      <c r="AH367" s="1">
        <f t="shared" si="161"/>
        <v>15105</v>
      </c>
    </row>
    <row r="368" spans="3:34" ht="16.5" thickBot="1" x14ac:dyDescent="0.3">
      <c r="F368" s="47" t="s">
        <v>35</v>
      </c>
      <c r="G368" s="51"/>
      <c r="H368" s="51"/>
      <c r="I368" s="51"/>
      <c r="J368" s="51"/>
      <c r="K368" s="51"/>
      <c r="L368" s="53"/>
      <c r="M368" s="52">
        <f>SUM(M341:M367)</f>
        <v>8734606705</v>
      </c>
      <c r="N368" s="67"/>
      <c r="O368" s="64"/>
      <c r="P368" s="52">
        <f>SUM(P341:P367)</f>
        <v>140177692.516</v>
      </c>
      <c r="Q368" s="67"/>
      <c r="R368" s="64"/>
      <c r="S368" s="52">
        <f>SUM(S341:S367)</f>
        <v>202683594.24950004</v>
      </c>
      <c r="T368" s="67"/>
      <c r="U368" s="64"/>
      <c r="V368" s="52">
        <f>SUM(V341:V367)</f>
        <v>57466658.636000007</v>
      </c>
      <c r="W368" s="67"/>
      <c r="X368" s="64"/>
      <c r="Y368" s="52">
        <f>SUM(Y341:Y367)</f>
        <v>6449767.255499999</v>
      </c>
      <c r="Z368" s="67"/>
      <c r="AA368" s="64"/>
      <c r="AB368" s="52">
        <f>SUM(AB341:AB367)</f>
        <v>8730208.0189999994</v>
      </c>
      <c r="AC368" s="67"/>
      <c r="AD368" s="64"/>
      <c r="AE368" s="52">
        <f>SUM(AE341:AE367)</f>
        <v>12255568.961999999</v>
      </c>
      <c r="AF368" s="7" t="e">
        <f>#REF!+#REF!+#REF!+#REF!+#REF!+#REF!+#REF!+#REF!+#REF!+#REF!+#REF!+#REF!</f>
        <v>#REF!</v>
      </c>
      <c r="AG368" s="1" t="e">
        <f>#REF!+#REF!+#REF!+#REF!+#REF!+#REF!+#REF!+#REF!+#REF!+#REF!+#REF!+#REF!-M368</f>
        <v>#REF!</v>
      </c>
      <c r="AH368" s="69">
        <f t="shared" si="4"/>
        <v>427763489.63800001</v>
      </c>
    </row>
    <row r="369" spans="6:34" ht="26.25" customHeight="1" thickBot="1" x14ac:dyDescent="0.3">
      <c r="F369" s="54" t="s">
        <v>38</v>
      </c>
      <c r="G369" s="55"/>
      <c r="H369" s="55"/>
      <c r="I369" s="55"/>
      <c r="J369" s="55"/>
      <c r="K369" s="55"/>
      <c r="L369" s="57"/>
      <c r="M369" s="56">
        <f>M368+M340+M312+M284+M256+M228+M200+M172+M144+M116+M88+M60+M32</f>
        <v>64751945807.800003</v>
      </c>
      <c r="N369" s="56"/>
      <c r="O369" s="65"/>
      <c r="P369" s="65">
        <f>P368+P340+P312+P284+P256+P228+P200+P172+P144+P116+P88+P60+P32</f>
        <v>1037113365.0221801</v>
      </c>
      <c r="Q369" s="56"/>
      <c r="R369" s="65"/>
      <c r="S369" s="65">
        <f>S368+S340+S312+S284+S256+S228+S200+S172+S144+S116+S88+S60+S32</f>
        <v>1496540323.3874002</v>
      </c>
      <c r="T369" s="56"/>
      <c r="U369" s="65"/>
      <c r="V369" s="65">
        <f>V368+V340+V312+V284+V256+V228+V200+V172+V144+V116+V88+V60+V32</f>
        <v>422708823.19677997</v>
      </c>
      <c r="W369" s="56"/>
      <c r="X369" s="65"/>
      <c r="Y369" s="65">
        <f>Y368+Y340+Y312+Y284+Y256+Y228+Y200+Y172+Y144+Y116+Y88+Y60+Y32</f>
        <v>47255062.017279997</v>
      </c>
      <c r="Z369" s="56"/>
      <c r="AA369" s="65"/>
      <c r="AB369" s="65">
        <f>AB368+AB340+AB312+AB284+AB256+AB228+AB200+AB172+AB144+AB116+AB88+AB60+AB32</f>
        <v>64711085.456999995</v>
      </c>
      <c r="AC369" s="56"/>
      <c r="AD369" s="65"/>
      <c r="AE369" s="65">
        <f>AE368+AE340+AE312+AE284+AE256+AE228+AE200+AE172+AE144+AE116+AE88+AE60+AE32</f>
        <v>90843924.025919989</v>
      </c>
      <c r="AG369" s="1" t="e">
        <f>#REF!+#REF!+#REF!+#REF!+#REF!+#REF!+#REF!+#REF!+#REF!+#REF!+#REF!+#REF!-M369</f>
        <v>#REF!</v>
      </c>
      <c r="AH369" s="70">
        <f t="shared" si="4"/>
        <v>3159172583.1065602</v>
      </c>
    </row>
    <row r="374" spans="6:34" x14ac:dyDescent="0.25">
      <c r="AH374" s="81"/>
    </row>
  </sheetData>
  <mergeCells count="8">
    <mergeCell ref="O2:AE2"/>
    <mergeCell ref="Z3:AB3"/>
    <mergeCell ref="AC3:AE3"/>
    <mergeCell ref="L3:M3"/>
    <mergeCell ref="N3:P3"/>
    <mergeCell ref="Q3:S3"/>
    <mergeCell ref="T3:V3"/>
    <mergeCell ref="W3:Y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CC6D-3A23-4901-9766-0BA5CB8CF7EE}">
  <dimension ref="C2:Y374"/>
  <sheetViews>
    <sheetView tabSelected="1" zoomScale="55" zoomScaleNormal="55" workbookViewId="0">
      <selection activeCell="R23" sqref="R23"/>
    </sheetView>
  </sheetViews>
  <sheetFormatPr defaultColWidth="11.5" defaultRowHeight="15.75" outlineLevelCol="1" x14ac:dyDescent="0.25"/>
  <cols>
    <col min="1" max="1" width="5.625" customWidth="1"/>
    <col min="2" max="2" width="2.625" customWidth="1"/>
    <col min="3" max="3" width="23.625" hidden="1" customWidth="1" outlineLevel="1"/>
    <col min="4" max="4" width="11.125" hidden="1" customWidth="1" outlineLevel="1"/>
    <col min="5" max="5" width="12.125" hidden="1" customWidth="1" outlineLevel="1"/>
    <col min="6" max="6" width="19.5" customWidth="1" collapsed="1"/>
    <col min="7" max="7" width="14" customWidth="1"/>
    <col min="8" max="8" width="12.75" customWidth="1"/>
    <col min="9" max="9" width="12.125" customWidth="1"/>
    <col min="10" max="10" width="15" customWidth="1"/>
    <col min="11" max="12" width="12.125" customWidth="1"/>
    <col min="13" max="13" width="22.75" customWidth="1"/>
    <col min="14" max="14" width="10.375" customWidth="1"/>
    <col min="15" max="15" width="13" customWidth="1" outlineLevel="1"/>
    <col min="16" max="16" width="19.125" customWidth="1" outlineLevel="1"/>
    <col min="17" max="17" width="10.375" customWidth="1"/>
    <col min="18" max="18" width="15.375" customWidth="1" outlineLevel="1"/>
    <col min="19" max="19" width="25" customWidth="1" outlineLevel="1"/>
    <col min="20" max="20" width="10.375" customWidth="1"/>
    <col min="21" max="22" width="15.375" customWidth="1" outlineLevel="1"/>
    <col min="23" max="23" width="0" hidden="1" customWidth="1"/>
    <col min="24" max="24" width="18.375" hidden="1" customWidth="1"/>
    <col min="25" max="25" width="20.75" customWidth="1"/>
  </cols>
  <sheetData>
    <row r="2" spans="3:25" ht="16.5" thickBot="1" x14ac:dyDescent="0.3">
      <c r="O2" s="83" t="s">
        <v>39</v>
      </c>
      <c r="P2" s="83"/>
      <c r="Q2" s="83"/>
      <c r="R2" s="83"/>
      <c r="S2" s="83"/>
      <c r="T2" s="83"/>
      <c r="U2" s="83"/>
      <c r="V2" s="83"/>
    </row>
    <row r="3" spans="3:25" ht="207" customHeight="1" x14ac:dyDescent="0.25">
      <c r="C3" s="2"/>
      <c r="D3" s="2"/>
      <c r="E3" s="17"/>
      <c r="F3" s="37" t="s">
        <v>31</v>
      </c>
      <c r="G3" s="38" t="s">
        <v>18</v>
      </c>
      <c r="H3" s="38" t="s">
        <v>19</v>
      </c>
      <c r="I3" s="38" t="s">
        <v>27</v>
      </c>
      <c r="J3" s="38" t="s">
        <v>36</v>
      </c>
      <c r="K3" s="38" t="s">
        <v>20</v>
      </c>
      <c r="L3" s="87" t="s">
        <v>23</v>
      </c>
      <c r="M3" s="87"/>
      <c r="N3" s="84" t="s">
        <v>40</v>
      </c>
      <c r="O3" s="85"/>
      <c r="P3" s="86"/>
      <c r="Q3" s="84" t="s">
        <v>41</v>
      </c>
      <c r="R3" s="85"/>
      <c r="S3" s="86"/>
      <c r="T3" s="88" t="s">
        <v>45</v>
      </c>
      <c r="U3" s="85"/>
      <c r="V3" s="86"/>
      <c r="X3" t="s">
        <v>46</v>
      </c>
      <c r="Y3" t="s">
        <v>47</v>
      </c>
    </row>
    <row r="4" spans="3:25" ht="49.5" customHeight="1" thickBot="1" x14ac:dyDescent="0.3">
      <c r="C4" s="2"/>
      <c r="D4" s="2"/>
      <c r="E4" s="17"/>
      <c r="F4" s="39"/>
      <c r="G4" s="40"/>
      <c r="H4" s="40"/>
      <c r="I4" s="40"/>
      <c r="J4" s="40"/>
      <c r="K4" s="40"/>
      <c r="L4" s="41" t="s">
        <v>26</v>
      </c>
      <c r="M4" s="41" t="s">
        <v>3</v>
      </c>
      <c r="N4" s="41" t="s">
        <v>50</v>
      </c>
      <c r="O4" s="41" t="s">
        <v>24</v>
      </c>
      <c r="P4" s="41" t="s">
        <v>3</v>
      </c>
      <c r="Q4" s="41" t="s">
        <v>50</v>
      </c>
      <c r="R4" s="41" t="s">
        <v>24</v>
      </c>
      <c r="S4" s="41" t="s">
        <v>3</v>
      </c>
      <c r="T4" s="41" t="s">
        <v>50</v>
      </c>
      <c r="U4" s="41" t="s">
        <v>24</v>
      </c>
      <c r="V4" s="41" t="s">
        <v>3</v>
      </c>
    </row>
    <row r="5" spans="3:25" x14ac:dyDescent="0.25">
      <c r="C5" s="2" t="s">
        <v>0</v>
      </c>
      <c r="D5" s="2" t="s">
        <v>1</v>
      </c>
      <c r="E5" s="17" t="s">
        <v>2</v>
      </c>
      <c r="F5" s="71" t="s">
        <v>4</v>
      </c>
      <c r="G5" s="21">
        <v>15760.8</v>
      </c>
      <c r="H5" s="21">
        <v>10048</v>
      </c>
      <c r="I5" s="21"/>
      <c r="J5" s="21"/>
      <c r="K5" s="21" t="s">
        <v>22</v>
      </c>
      <c r="L5" s="58">
        <f>183.27*1000</f>
        <v>183270</v>
      </c>
      <c r="M5" s="21">
        <f>L5*H5</f>
        <v>1841496960</v>
      </c>
      <c r="N5" s="21"/>
      <c r="O5" s="22">
        <v>1.55E-2</v>
      </c>
      <c r="P5" s="23">
        <f>O5*$M5</f>
        <v>28543202.879999999</v>
      </c>
      <c r="Q5" s="21"/>
      <c r="R5" s="22">
        <v>2.1600000000000001E-2</v>
      </c>
      <c r="S5" s="23">
        <f t="shared" ref="P5:V12" si="0">R5*$M5</f>
        <v>39776334.336000003</v>
      </c>
      <c r="T5" s="21"/>
      <c r="U5" s="22">
        <v>1.4E-3</v>
      </c>
      <c r="V5" s="23">
        <f t="shared" si="0"/>
        <v>2578095.7439999999</v>
      </c>
      <c r="W5" s="7" t="e">
        <f>#REF!+#REF!+#REF!+#REF!+#REF!+#REF!+#REF!+#REF!+#REF!+#REF!+#REF!+#REF!</f>
        <v>#REF!</v>
      </c>
      <c r="X5" s="1" t="e">
        <f>#REF!+#REF!+#REF!+#REF!+#REF!+#REF!+#REF!+#REF!+#REF!+#REF!+#REF!+#REF!-M5</f>
        <v>#REF!</v>
      </c>
      <c r="Y5" s="1">
        <f>V5+S5+P5</f>
        <v>70897632.960000008</v>
      </c>
    </row>
    <row r="6" spans="3:25" x14ac:dyDescent="0.25">
      <c r="C6" s="2"/>
      <c r="D6" s="2"/>
      <c r="E6" s="17"/>
      <c r="F6" s="66" t="s">
        <v>48</v>
      </c>
      <c r="G6" s="12"/>
      <c r="H6" s="12"/>
      <c r="I6" s="12"/>
      <c r="J6" s="12"/>
      <c r="K6" s="12" t="s">
        <v>49</v>
      </c>
      <c r="L6" s="58"/>
      <c r="M6" s="12"/>
      <c r="N6" s="12"/>
      <c r="O6" s="13"/>
      <c r="P6" s="14"/>
      <c r="Q6" s="12"/>
      <c r="R6" s="13"/>
      <c r="S6" s="14"/>
      <c r="T6" s="12"/>
      <c r="U6" s="13"/>
      <c r="V6" s="14"/>
      <c r="W6" s="7"/>
      <c r="X6" s="1"/>
      <c r="Y6" s="1">
        <f t="shared" ref="Y6:Y69" si="1">V6+S6+P6</f>
        <v>0</v>
      </c>
    </row>
    <row r="7" spans="3:25" x14ac:dyDescent="0.25">
      <c r="C7" s="2"/>
      <c r="D7" s="2"/>
      <c r="E7" s="17"/>
      <c r="F7" s="66" t="s">
        <v>48</v>
      </c>
      <c r="G7" s="12"/>
      <c r="H7" s="12"/>
      <c r="I7" s="12"/>
      <c r="J7" s="12"/>
      <c r="K7" s="12" t="s">
        <v>51</v>
      </c>
      <c r="L7" s="58"/>
      <c r="M7" s="12"/>
      <c r="N7" s="75">
        <v>3.29</v>
      </c>
      <c r="O7" s="76"/>
      <c r="P7" s="77">
        <f>N7*H5</f>
        <v>33057.919999999998</v>
      </c>
      <c r="Q7" s="75"/>
      <c r="R7" s="76"/>
      <c r="S7" s="77"/>
      <c r="T7" s="75"/>
      <c r="U7" s="13"/>
      <c r="V7" s="14"/>
      <c r="W7" s="7"/>
      <c r="X7" s="1"/>
      <c r="Y7" s="1">
        <f t="shared" si="1"/>
        <v>33057.919999999998</v>
      </c>
    </row>
    <row r="8" spans="3:25" x14ac:dyDescent="0.25">
      <c r="C8" s="2"/>
      <c r="D8" s="2"/>
      <c r="E8" s="17"/>
      <c r="F8" s="66" t="s">
        <v>48</v>
      </c>
      <c r="G8" s="12"/>
      <c r="H8" s="12"/>
      <c r="I8" s="12"/>
      <c r="J8" s="12"/>
      <c r="K8" s="12" t="s">
        <v>52</v>
      </c>
      <c r="L8" s="58"/>
      <c r="M8" s="12"/>
      <c r="N8" s="75"/>
      <c r="O8" s="76"/>
      <c r="P8" s="77"/>
      <c r="Q8" s="75">
        <v>4.7300000000000004</v>
      </c>
      <c r="R8" s="76"/>
      <c r="S8" s="77">
        <f>Q8*H5</f>
        <v>47527.040000000001</v>
      </c>
      <c r="T8" s="75"/>
      <c r="U8" s="13"/>
      <c r="V8" s="14"/>
      <c r="W8" s="7"/>
      <c r="X8" s="1"/>
      <c r="Y8" s="1">
        <f t="shared" si="1"/>
        <v>47527.040000000001</v>
      </c>
    </row>
    <row r="9" spans="3:25" x14ac:dyDescent="0.25">
      <c r="C9" s="2"/>
      <c r="D9" s="2"/>
      <c r="E9" s="17"/>
      <c r="F9" s="66" t="s">
        <v>48</v>
      </c>
      <c r="G9" s="12"/>
      <c r="H9" s="12"/>
      <c r="I9" s="12"/>
      <c r="J9" s="12"/>
      <c r="K9" s="12" t="s">
        <v>53</v>
      </c>
      <c r="L9" s="58"/>
      <c r="M9" s="12"/>
      <c r="N9" s="75"/>
      <c r="O9" s="76"/>
      <c r="P9" s="77"/>
      <c r="Q9" s="75"/>
      <c r="R9" s="76"/>
      <c r="S9" s="77"/>
      <c r="T9" s="75"/>
      <c r="U9" s="13"/>
      <c r="V9" s="14"/>
      <c r="W9" s="7"/>
      <c r="X9" s="1"/>
      <c r="Y9" s="1">
        <f t="shared" si="1"/>
        <v>0</v>
      </c>
    </row>
    <row r="10" spans="3:25" x14ac:dyDescent="0.25">
      <c r="C10" s="2"/>
      <c r="D10" s="2"/>
      <c r="E10" s="17"/>
      <c r="F10" s="66" t="s">
        <v>48</v>
      </c>
      <c r="G10" s="12"/>
      <c r="H10" s="12"/>
      <c r="I10" s="12"/>
      <c r="J10" s="12"/>
      <c r="K10" s="12" t="s">
        <v>54</v>
      </c>
      <c r="L10" s="58"/>
      <c r="M10" s="12"/>
      <c r="N10" s="75"/>
      <c r="O10" s="76"/>
      <c r="P10" s="77"/>
      <c r="Q10" s="75"/>
      <c r="R10" s="76"/>
      <c r="S10" s="77"/>
      <c r="T10" s="75"/>
      <c r="U10" s="13"/>
      <c r="V10" s="14"/>
      <c r="W10" s="7"/>
      <c r="X10" s="1"/>
      <c r="Y10" s="1">
        <f t="shared" si="1"/>
        <v>0</v>
      </c>
    </row>
    <row r="11" spans="3:25" x14ac:dyDescent="0.25">
      <c r="C11" s="2"/>
      <c r="D11" s="2"/>
      <c r="E11" s="17"/>
      <c r="F11" s="66" t="s">
        <v>48</v>
      </c>
      <c r="G11" s="12"/>
      <c r="H11" s="12"/>
      <c r="I11" s="12"/>
      <c r="J11" s="12"/>
      <c r="K11" s="12" t="s">
        <v>55</v>
      </c>
      <c r="L11" s="58"/>
      <c r="M11" s="12"/>
      <c r="N11" s="75"/>
      <c r="O11" s="76"/>
      <c r="P11" s="77"/>
      <c r="Q11" s="75"/>
      <c r="R11" s="76"/>
      <c r="S11" s="77"/>
      <c r="T11" s="75">
        <v>0.25</v>
      </c>
      <c r="U11" s="13"/>
      <c r="V11" s="14">
        <f>T11*H5</f>
        <v>2512</v>
      </c>
      <c r="W11" s="7"/>
      <c r="X11" s="1"/>
      <c r="Y11" s="1">
        <f t="shared" si="1"/>
        <v>2512</v>
      </c>
    </row>
    <row r="12" spans="3:25" ht="31.5" x14ac:dyDescent="0.25">
      <c r="C12" s="2"/>
      <c r="D12" s="2"/>
      <c r="E12" s="17"/>
      <c r="F12" s="72" t="s">
        <v>30</v>
      </c>
      <c r="G12" s="4"/>
      <c r="H12" s="4">
        <v>303</v>
      </c>
      <c r="I12" s="4"/>
      <c r="J12" s="4"/>
      <c r="K12" s="4" t="s">
        <v>22</v>
      </c>
      <c r="L12" s="58">
        <f>126.27*1000</f>
        <v>126270</v>
      </c>
      <c r="M12" s="4">
        <f>L12*H12</f>
        <v>38259810</v>
      </c>
      <c r="N12" s="75"/>
      <c r="O12" s="76">
        <v>1.55E-2</v>
      </c>
      <c r="P12" s="78">
        <f t="shared" si="0"/>
        <v>593027.05500000005</v>
      </c>
      <c r="Q12" s="75"/>
      <c r="R12" s="76">
        <v>2.1600000000000001E-2</v>
      </c>
      <c r="S12" s="78">
        <f t="shared" si="0"/>
        <v>826411.89600000007</v>
      </c>
      <c r="T12" s="75"/>
      <c r="U12" s="13">
        <v>1.4E-3</v>
      </c>
      <c r="V12" s="3">
        <f t="shared" si="0"/>
        <v>53563.733999999997</v>
      </c>
      <c r="W12" s="7" t="e">
        <f>#REF!+#REF!+#REF!+#REF!+#REF!+#REF!+#REF!+#REF!+#REF!+#REF!+#REF!+#REF!</f>
        <v>#REF!</v>
      </c>
      <c r="X12" s="1" t="e">
        <f>#REF!+#REF!+#REF!+#REF!+#REF!+#REF!+#REF!+#REF!+#REF!+#REF!+#REF!+#REF!-M12</f>
        <v>#REF!</v>
      </c>
      <c r="Y12" s="1">
        <f t="shared" si="1"/>
        <v>1473002.6850000001</v>
      </c>
    </row>
    <row r="13" spans="3:25" x14ac:dyDescent="0.25">
      <c r="C13" s="2"/>
      <c r="D13" s="2"/>
      <c r="E13" s="17"/>
      <c r="F13" s="66" t="s">
        <v>48</v>
      </c>
      <c r="G13" s="12"/>
      <c r="H13" s="12"/>
      <c r="I13" s="12"/>
      <c r="J13" s="12"/>
      <c r="K13" s="12" t="s">
        <v>49</v>
      </c>
      <c r="L13" s="58"/>
      <c r="M13" s="12"/>
      <c r="N13" s="75"/>
      <c r="O13" s="76"/>
      <c r="P13" s="77"/>
      <c r="Q13" s="75"/>
      <c r="R13" s="76"/>
      <c r="S13" s="77"/>
      <c r="T13" s="75"/>
      <c r="U13" s="13"/>
      <c r="V13" s="14"/>
      <c r="W13" s="7"/>
      <c r="X13" s="1"/>
      <c r="Y13" s="1">
        <f t="shared" si="1"/>
        <v>0</v>
      </c>
    </row>
    <row r="14" spans="3:25" x14ac:dyDescent="0.25">
      <c r="C14" s="2"/>
      <c r="D14" s="2"/>
      <c r="E14" s="17"/>
      <c r="F14" s="66" t="s">
        <v>48</v>
      </c>
      <c r="G14" s="12"/>
      <c r="H14" s="12"/>
      <c r="I14" s="12"/>
      <c r="J14" s="12"/>
      <c r="K14" s="12" t="s">
        <v>51</v>
      </c>
      <c r="L14" s="58"/>
      <c r="M14" s="12"/>
      <c r="N14" s="75">
        <v>2.25</v>
      </c>
      <c r="O14" s="76"/>
      <c r="P14" s="77">
        <f>N14*H12</f>
        <v>681.75</v>
      </c>
      <c r="Q14" s="75"/>
      <c r="R14" s="76"/>
      <c r="S14" s="77"/>
      <c r="T14" s="75"/>
      <c r="U14" s="13"/>
      <c r="V14" s="14"/>
      <c r="W14" s="7"/>
      <c r="X14" s="1"/>
      <c r="Y14" s="1">
        <f t="shared" si="1"/>
        <v>681.75</v>
      </c>
    </row>
    <row r="15" spans="3:25" x14ac:dyDescent="0.25">
      <c r="C15" s="2"/>
      <c r="D15" s="2"/>
      <c r="E15" s="17"/>
      <c r="F15" s="66" t="s">
        <v>48</v>
      </c>
      <c r="G15" s="12"/>
      <c r="H15" s="12"/>
      <c r="I15" s="12"/>
      <c r="J15" s="12"/>
      <c r="K15" s="12" t="s">
        <v>52</v>
      </c>
      <c r="L15" s="58"/>
      <c r="M15" s="12"/>
      <c r="N15" s="75"/>
      <c r="O15" s="76"/>
      <c r="P15" s="77"/>
      <c r="Q15" s="75">
        <v>3.24</v>
      </c>
      <c r="R15" s="76"/>
      <c r="S15" s="77">
        <f>Q15*H12</f>
        <v>981.72</v>
      </c>
      <c r="T15" s="75"/>
      <c r="U15" s="13"/>
      <c r="V15" s="14"/>
      <c r="W15" s="7"/>
      <c r="X15" s="1"/>
      <c r="Y15" s="1">
        <f t="shared" si="1"/>
        <v>981.72</v>
      </c>
    </row>
    <row r="16" spans="3:25" x14ac:dyDescent="0.25">
      <c r="C16" s="2"/>
      <c r="D16" s="2"/>
      <c r="E16" s="17"/>
      <c r="F16" s="66" t="s">
        <v>48</v>
      </c>
      <c r="G16" s="12"/>
      <c r="H16" s="12"/>
      <c r="I16" s="12"/>
      <c r="J16" s="12"/>
      <c r="K16" s="12" t="s">
        <v>53</v>
      </c>
      <c r="L16" s="58"/>
      <c r="M16" s="12"/>
      <c r="N16" s="75"/>
      <c r="O16" s="76"/>
      <c r="P16" s="77"/>
      <c r="Q16" s="75"/>
      <c r="R16" s="76"/>
      <c r="S16" s="77"/>
      <c r="T16" s="75"/>
      <c r="U16" s="13"/>
      <c r="V16" s="14"/>
      <c r="W16" s="7"/>
      <c r="X16" s="1"/>
      <c r="Y16" s="1">
        <f t="shared" si="1"/>
        <v>0</v>
      </c>
    </row>
    <row r="17" spans="3:25" x14ac:dyDescent="0.25">
      <c r="C17" s="2"/>
      <c r="D17" s="2"/>
      <c r="E17" s="17"/>
      <c r="F17" s="66" t="s">
        <v>48</v>
      </c>
      <c r="G17" s="12"/>
      <c r="H17" s="12"/>
      <c r="I17" s="12"/>
      <c r="J17" s="12"/>
      <c r="K17" s="12" t="s">
        <v>54</v>
      </c>
      <c r="L17" s="58"/>
      <c r="M17" s="12"/>
      <c r="N17" s="75"/>
      <c r="O17" s="76"/>
      <c r="P17" s="77"/>
      <c r="Q17" s="75"/>
      <c r="R17" s="76"/>
      <c r="S17" s="77"/>
      <c r="T17" s="75"/>
      <c r="U17" s="13"/>
      <c r="V17" s="14"/>
      <c r="W17" s="7"/>
      <c r="X17" s="1"/>
      <c r="Y17" s="1">
        <f t="shared" si="1"/>
        <v>0</v>
      </c>
    </row>
    <row r="18" spans="3:25" x14ac:dyDescent="0.25">
      <c r="C18" s="2"/>
      <c r="D18" s="2"/>
      <c r="E18" s="17"/>
      <c r="F18" s="66" t="s">
        <v>48</v>
      </c>
      <c r="G18" s="12"/>
      <c r="H18" s="12"/>
      <c r="I18" s="12"/>
      <c r="J18" s="12"/>
      <c r="K18" s="12" t="s">
        <v>55</v>
      </c>
      <c r="L18" s="58"/>
      <c r="M18" s="12"/>
      <c r="N18" s="75"/>
      <c r="O18" s="76"/>
      <c r="P18" s="77"/>
      <c r="Q18" s="75"/>
      <c r="R18" s="76"/>
      <c r="S18" s="77"/>
      <c r="T18" s="75">
        <v>0.17</v>
      </c>
      <c r="U18" s="13"/>
      <c r="V18" s="14">
        <f>T18*H12</f>
        <v>51.510000000000005</v>
      </c>
      <c r="W18" s="7"/>
      <c r="X18" s="1"/>
      <c r="Y18" s="1">
        <f t="shared" si="1"/>
        <v>51.510000000000005</v>
      </c>
    </row>
    <row r="19" spans="3:25" x14ac:dyDescent="0.25">
      <c r="C19" s="2"/>
      <c r="D19" s="2"/>
      <c r="E19" s="17"/>
      <c r="F19" s="73" t="s">
        <v>28</v>
      </c>
      <c r="G19" s="4"/>
      <c r="H19" s="4"/>
      <c r="I19" s="4">
        <f>52*3*6</f>
        <v>936</v>
      </c>
      <c r="J19" s="4"/>
      <c r="K19" s="4" t="s">
        <v>25</v>
      </c>
      <c r="L19" s="58">
        <f>276.67*1000</f>
        <v>276670</v>
      </c>
      <c r="M19" s="4">
        <f>L19*I19</f>
        <v>258963120</v>
      </c>
      <c r="N19" s="79"/>
      <c r="O19" s="80">
        <v>1.5900000000000001E-2</v>
      </c>
      <c r="P19" s="78">
        <f t="shared" ref="P19:V26" si="2">O19*$M19</f>
        <v>4117513.6080000005</v>
      </c>
      <c r="Q19" s="79"/>
      <c r="R19" s="80">
        <v>2.4500000000000001E-2</v>
      </c>
      <c r="S19" s="78">
        <f t="shared" si="2"/>
        <v>6344596.4400000004</v>
      </c>
      <c r="T19" s="79"/>
      <c r="U19" s="6">
        <v>1.4E-3</v>
      </c>
      <c r="V19" s="3">
        <f t="shared" si="2"/>
        <v>362548.36800000002</v>
      </c>
      <c r="W19" s="7" t="e">
        <f>#REF!+#REF!+#REF!+#REF!+#REF!+#REF!+#REF!+#REF!+#REF!+#REF!+#REF!+#REF!</f>
        <v>#REF!</v>
      </c>
      <c r="X19" s="1" t="e">
        <f>#REF!+#REF!+#REF!+#REF!+#REF!+#REF!+#REF!+#REF!+#REF!+#REF!+#REF!+#REF!-M19</f>
        <v>#REF!</v>
      </c>
      <c r="Y19" s="1">
        <f t="shared" si="1"/>
        <v>10824658.416000001</v>
      </c>
    </row>
    <row r="20" spans="3:25" x14ac:dyDescent="0.25">
      <c r="C20" s="2"/>
      <c r="D20" s="2"/>
      <c r="E20" s="17"/>
      <c r="F20" s="66" t="s">
        <v>56</v>
      </c>
      <c r="G20" s="12"/>
      <c r="H20" s="12"/>
      <c r="I20" s="12"/>
      <c r="J20" s="12"/>
      <c r="K20" s="12" t="s">
        <v>57</v>
      </c>
      <c r="L20" s="58"/>
      <c r="M20" s="12"/>
      <c r="N20" s="75"/>
      <c r="O20" s="76"/>
      <c r="P20" s="77"/>
      <c r="Q20" s="75"/>
      <c r="R20" s="76"/>
      <c r="S20" s="77"/>
      <c r="T20" s="75"/>
      <c r="U20" s="13"/>
      <c r="V20" s="14"/>
      <c r="W20" s="7"/>
      <c r="X20" s="1"/>
      <c r="Y20" s="1">
        <f t="shared" si="1"/>
        <v>0</v>
      </c>
    </row>
    <row r="21" spans="3:25" x14ac:dyDescent="0.25">
      <c r="C21" s="2"/>
      <c r="D21" s="2"/>
      <c r="E21" s="17"/>
      <c r="F21" s="66" t="s">
        <v>56</v>
      </c>
      <c r="G21" s="12"/>
      <c r="H21" s="12"/>
      <c r="I21" s="12"/>
      <c r="J21" s="12"/>
      <c r="K21" s="12" t="s">
        <v>58</v>
      </c>
      <c r="L21" s="58"/>
      <c r="M21" s="12"/>
      <c r="N21" s="75">
        <v>4.58</v>
      </c>
      <c r="O21" s="76"/>
      <c r="P21" s="77">
        <f>N21*I19</f>
        <v>4286.88</v>
      </c>
      <c r="Q21" s="75"/>
      <c r="R21" s="76"/>
      <c r="S21" s="77"/>
      <c r="T21" s="75"/>
      <c r="U21" s="13"/>
      <c r="V21" s="14"/>
      <c r="W21" s="7"/>
      <c r="X21" s="1"/>
      <c r="Y21" s="1">
        <f t="shared" si="1"/>
        <v>4286.88</v>
      </c>
    </row>
    <row r="22" spans="3:25" x14ac:dyDescent="0.25">
      <c r="C22" s="2"/>
      <c r="D22" s="2"/>
      <c r="E22" s="17"/>
      <c r="F22" s="66" t="s">
        <v>56</v>
      </c>
      <c r="G22" s="12"/>
      <c r="H22" s="12"/>
      <c r="I22" s="12"/>
      <c r="J22" s="12"/>
      <c r="K22" s="12" t="s">
        <v>59</v>
      </c>
      <c r="L22" s="58"/>
      <c r="M22" s="12"/>
      <c r="N22" s="75"/>
      <c r="O22" s="76"/>
      <c r="P22" s="77"/>
      <c r="Q22" s="75">
        <v>6.59</v>
      </c>
      <c r="R22" s="76"/>
      <c r="S22" s="77">
        <f>Q22*I19</f>
        <v>6168.24</v>
      </c>
      <c r="T22" s="75"/>
      <c r="U22" s="13"/>
      <c r="V22" s="14"/>
      <c r="W22" s="7"/>
      <c r="X22" s="1"/>
      <c r="Y22" s="1">
        <f t="shared" si="1"/>
        <v>6168.24</v>
      </c>
    </row>
    <row r="23" spans="3:25" x14ac:dyDescent="0.25">
      <c r="C23" s="2"/>
      <c r="D23" s="2"/>
      <c r="E23" s="17"/>
      <c r="F23" s="66" t="s">
        <v>56</v>
      </c>
      <c r="G23" s="12"/>
      <c r="H23" s="12"/>
      <c r="I23" s="12"/>
      <c r="J23" s="12"/>
      <c r="K23" s="12" t="s">
        <v>60</v>
      </c>
      <c r="L23" s="58"/>
      <c r="M23" s="12"/>
      <c r="N23" s="75"/>
      <c r="O23" s="76"/>
      <c r="P23" s="77"/>
      <c r="Q23" s="75"/>
      <c r="R23" s="76"/>
      <c r="S23" s="77"/>
      <c r="T23" s="75"/>
      <c r="U23" s="13"/>
      <c r="V23" s="14"/>
      <c r="W23" s="7"/>
      <c r="X23" s="1"/>
      <c r="Y23" s="1">
        <f t="shared" si="1"/>
        <v>0</v>
      </c>
    </row>
    <row r="24" spans="3:25" x14ac:dyDescent="0.25">
      <c r="C24" s="2"/>
      <c r="D24" s="2"/>
      <c r="E24" s="17"/>
      <c r="F24" s="66" t="s">
        <v>56</v>
      </c>
      <c r="G24" s="12"/>
      <c r="H24" s="12"/>
      <c r="I24" s="12"/>
      <c r="J24" s="12"/>
      <c r="K24" s="12" t="s">
        <v>61</v>
      </c>
      <c r="L24" s="58"/>
      <c r="M24" s="12"/>
      <c r="N24" s="75"/>
      <c r="O24" s="76"/>
      <c r="P24" s="77"/>
      <c r="Q24" s="75"/>
      <c r="R24" s="76"/>
      <c r="S24" s="77"/>
      <c r="T24" s="75"/>
      <c r="U24" s="13"/>
      <c r="V24" s="14"/>
      <c r="W24" s="7"/>
      <c r="X24" s="1"/>
      <c r="Y24" s="1">
        <f t="shared" si="1"/>
        <v>0</v>
      </c>
    </row>
    <row r="25" spans="3:25" x14ac:dyDescent="0.25">
      <c r="C25" s="2"/>
      <c r="D25" s="2"/>
      <c r="E25" s="17"/>
      <c r="F25" s="66" t="s">
        <v>56</v>
      </c>
      <c r="G25" s="12"/>
      <c r="H25" s="12"/>
      <c r="I25" s="12"/>
      <c r="J25" s="12"/>
      <c r="K25" s="12" t="s">
        <v>62</v>
      </c>
      <c r="L25" s="58"/>
      <c r="M25" s="12"/>
      <c r="N25" s="75"/>
      <c r="O25" s="76"/>
      <c r="P25" s="77"/>
      <c r="Q25" s="75"/>
      <c r="R25" s="76"/>
      <c r="S25" s="77"/>
      <c r="T25" s="75">
        <v>0.39</v>
      </c>
      <c r="U25" s="13"/>
      <c r="V25" s="14">
        <f>T25*I19</f>
        <v>365.04</v>
      </c>
      <c r="W25" s="7"/>
      <c r="X25" s="1"/>
      <c r="Y25" s="1">
        <f t="shared" si="1"/>
        <v>365.04</v>
      </c>
    </row>
    <row r="26" spans="3:25" x14ac:dyDescent="0.25">
      <c r="C26" s="8"/>
      <c r="D26" s="8"/>
      <c r="E26" s="18"/>
      <c r="F26" s="74" t="s">
        <v>29</v>
      </c>
      <c r="G26" s="4"/>
      <c r="H26" s="4"/>
      <c r="I26" s="4"/>
      <c r="J26" s="4">
        <f>2*9500</f>
        <v>19000</v>
      </c>
      <c r="K26" s="4" t="s">
        <v>37</v>
      </c>
      <c r="L26" s="58">
        <v>382230</v>
      </c>
      <c r="M26" s="4">
        <f>J26*L26/100</f>
        <v>72623700</v>
      </c>
      <c r="N26" s="79"/>
      <c r="O26" s="80">
        <v>1.8100000000000002E-2</v>
      </c>
      <c r="P26" s="78">
        <f t="shared" si="2"/>
        <v>1314488.9700000002</v>
      </c>
      <c r="Q26" s="79"/>
      <c r="R26" s="80">
        <v>3.0000000000000001E-3</v>
      </c>
      <c r="S26" s="78">
        <f t="shared" si="2"/>
        <v>217871.1</v>
      </c>
      <c r="T26" s="79"/>
      <c r="U26" s="6">
        <v>1.4E-3</v>
      </c>
      <c r="V26" s="3">
        <f t="shared" si="2"/>
        <v>101673.18</v>
      </c>
      <c r="W26" s="7" t="e">
        <f>#REF!+#REF!+#REF!+#REF!+#REF!+#REF!+#REF!+#REF!+#REF!+#REF!+#REF!+#REF!</f>
        <v>#REF!</v>
      </c>
      <c r="X26" s="1" t="e">
        <f>#REF!+#REF!+#REF!+#REF!+#REF!+#REF!+#REF!+#REF!+#REF!+#REF!+#REF!+#REF!-M26</f>
        <v>#REF!</v>
      </c>
      <c r="Y26" s="1">
        <f t="shared" si="1"/>
        <v>1634033.2500000002</v>
      </c>
    </row>
    <row r="27" spans="3:25" x14ac:dyDescent="0.25">
      <c r="C27" s="2"/>
      <c r="D27" s="2"/>
      <c r="E27" s="17"/>
      <c r="F27" s="66" t="s">
        <v>56</v>
      </c>
      <c r="G27" s="4"/>
      <c r="H27" s="4"/>
      <c r="I27" s="4"/>
      <c r="J27" s="4"/>
      <c r="K27" s="4" t="s">
        <v>63</v>
      </c>
      <c r="L27" s="58"/>
      <c r="M27" s="4"/>
      <c r="N27" s="79">
        <v>4.67</v>
      </c>
      <c r="O27" s="80"/>
      <c r="P27" s="78">
        <f>N27*J26</f>
        <v>88730</v>
      </c>
      <c r="Q27" s="79"/>
      <c r="R27" s="80"/>
      <c r="S27" s="78"/>
      <c r="T27" s="79"/>
      <c r="U27" s="6"/>
      <c r="V27" s="3"/>
      <c r="W27" s="7"/>
      <c r="X27" s="1"/>
      <c r="Y27" s="1">
        <f t="shared" si="1"/>
        <v>88730</v>
      </c>
    </row>
    <row r="28" spans="3:25" x14ac:dyDescent="0.25">
      <c r="C28" s="2"/>
      <c r="D28" s="2"/>
      <c r="E28" s="17"/>
      <c r="F28" s="66" t="s">
        <v>56</v>
      </c>
      <c r="G28" s="4"/>
      <c r="H28" s="4"/>
      <c r="I28" s="4"/>
      <c r="J28" s="4"/>
      <c r="K28" s="4" t="s">
        <v>64</v>
      </c>
      <c r="L28" s="58"/>
      <c r="M28" s="4"/>
      <c r="N28" s="79"/>
      <c r="O28" s="80"/>
      <c r="P28" s="78"/>
      <c r="Q28" s="79">
        <v>0.86</v>
      </c>
      <c r="R28" s="80"/>
      <c r="S28" s="78">
        <f>Q28*J26</f>
        <v>16340</v>
      </c>
      <c r="T28" s="79"/>
      <c r="U28" s="6"/>
      <c r="V28" s="3"/>
      <c r="W28" s="7"/>
      <c r="X28" s="1"/>
      <c r="Y28" s="1">
        <f t="shared" si="1"/>
        <v>16340</v>
      </c>
    </row>
    <row r="29" spans="3:25" x14ac:dyDescent="0.25">
      <c r="C29" s="2"/>
      <c r="D29" s="2"/>
      <c r="E29" s="17"/>
      <c r="F29" s="66" t="s">
        <v>56</v>
      </c>
      <c r="G29" s="12"/>
      <c r="H29" s="12"/>
      <c r="I29" s="12"/>
      <c r="J29" s="12"/>
      <c r="K29" s="12" t="s">
        <v>65</v>
      </c>
      <c r="L29" s="58"/>
      <c r="M29" s="12"/>
      <c r="N29" s="75"/>
      <c r="O29" s="76"/>
      <c r="P29" s="77"/>
      <c r="Q29" s="75"/>
      <c r="R29" s="76"/>
      <c r="S29" s="77"/>
      <c r="T29" s="75"/>
      <c r="U29" s="13"/>
      <c r="V29" s="14"/>
      <c r="W29" s="7"/>
      <c r="X29" s="1"/>
      <c r="Y29" s="1">
        <f t="shared" si="1"/>
        <v>0</v>
      </c>
    </row>
    <row r="30" spans="3:25" x14ac:dyDescent="0.25">
      <c r="C30" s="2"/>
      <c r="D30" s="2"/>
      <c r="E30" s="17"/>
      <c r="F30" s="66" t="s">
        <v>56</v>
      </c>
      <c r="G30" s="12"/>
      <c r="H30" s="12"/>
      <c r="I30" s="12"/>
      <c r="J30" s="12"/>
      <c r="K30" s="12" t="s">
        <v>66</v>
      </c>
      <c r="L30" s="58"/>
      <c r="M30" s="12"/>
      <c r="N30" s="75"/>
      <c r="O30" s="76"/>
      <c r="P30" s="77"/>
      <c r="Q30" s="75"/>
      <c r="R30" s="76"/>
      <c r="S30" s="77"/>
      <c r="T30" s="75"/>
      <c r="U30" s="13"/>
      <c r="V30" s="14"/>
      <c r="W30" s="7"/>
      <c r="X30" s="1"/>
      <c r="Y30" s="1">
        <f t="shared" si="1"/>
        <v>0</v>
      </c>
    </row>
    <row r="31" spans="3:25" x14ac:dyDescent="0.25">
      <c r="C31" s="2"/>
      <c r="D31" s="2"/>
      <c r="E31" s="17"/>
      <c r="F31" s="66" t="s">
        <v>56</v>
      </c>
      <c r="G31" s="12"/>
      <c r="H31" s="12"/>
      <c r="I31" s="12"/>
      <c r="J31" s="12"/>
      <c r="K31" s="12" t="s">
        <v>67</v>
      </c>
      <c r="L31" s="58"/>
      <c r="M31" s="12"/>
      <c r="N31" s="75"/>
      <c r="O31" s="76"/>
      <c r="P31" s="77"/>
      <c r="Q31" s="75"/>
      <c r="R31" s="76"/>
      <c r="S31" s="77"/>
      <c r="T31" s="75">
        <v>0.53</v>
      </c>
      <c r="U31" s="13"/>
      <c r="V31" s="14">
        <f>T31*J26</f>
        <v>10070</v>
      </c>
      <c r="W31" s="7"/>
      <c r="X31" s="1"/>
      <c r="Y31" s="1">
        <f t="shared" si="1"/>
        <v>10070</v>
      </c>
    </row>
    <row r="32" spans="3:25" ht="16.5" thickBot="1" x14ac:dyDescent="0.3">
      <c r="C32" s="15"/>
      <c r="D32" s="15"/>
      <c r="E32" s="19"/>
      <c r="F32" s="26" t="s">
        <v>4</v>
      </c>
      <c r="G32" s="27"/>
      <c r="H32" s="27"/>
      <c r="I32" s="27"/>
      <c r="J32" s="27"/>
      <c r="K32" s="27"/>
      <c r="L32" s="27"/>
      <c r="M32" s="27">
        <f>SUM(M5:M31)</f>
        <v>2211343590</v>
      </c>
      <c r="N32" s="27"/>
      <c r="O32" s="28"/>
      <c r="P32" s="27">
        <f>SUM(P5:P31)</f>
        <v>34694989.063000001</v>
      </c>
      <c r="Q32" s="27"/>
      <c r="R32" s="28"/>
      <c r="S32" s="27">
        <f>SUM(S5:S31)</f>
        <v>47236230.772</v>
      </c>
      <c r="T32" s="27"/>
      <c r="U32" s="28"/>
      <c r="V32" s="27">
        <f>SUM(V5:V31)</f>
        <v>3108879.5759999999</v>
      </c>
      <c r="W32" s="7" t="e">
        <f>#REF!+#REF!+#REF!+#REF!+#REF!+#REF!+#REF!+#REF!+#REF!+#REF!+#REF!+#REF!</f>
        <v>#REF!</v>
      </c>
      <c r="X32" s="1" t="e">
        <f>#REF!+#REF!+#REF!+#REF!+#REF!+#REF!+#REF!+#REF!+#REF!+#REF!+#REF!+#REF!-M32</f>
        <v>#REF!</v>
      </c>
      <c r="Y32" s="1">
        <f t="shared" si="1"/>
        <v>85040099.410999998</v>
      </c>
    </row>
    <row r="33" spans="3:25" x14ac:dyDescent="0.25">
      <c r="C33" s="11" t="s">
        <v>0</v>
      </c>
      <c r="D33" s="11" t="s">
        <v>1</v>
      </c>
      <c r="E33" s="29" t="s">
        <v>2</v>
      </c>
      <c r="F33" s="20" t="s">
        <v>5</v>
      </c>
      <c r="G33" s="21">
        <v>17615.8</v>
      </c>
      <c r="H33" s="21">
        <v>11230</v>
      </c>
      <c r="I33" s="48"/>
      <c r="J33" s="48"/>
      <c r="K33" s="21" t="s">
        <v>21</v>
      </c>
      <c r="L33" s="58">
        <f>179.64*1000</f>
        <v>179640</v>
      </c>
      <c r="M33" s="21">
        <f>L33*H33</f>
        <v>2017357200</v>
      </c>
      <c r="N33" s="21"/>
      <c r="O33" s="22">
        <v>1.6E-2</v>
      </c>
      <c r="P33" s="23">
        <f t="shared" ref="P33:P54" si="3">O33*$M33</f>
        <v>32277715.199999999</v>
      </c>
      <c r="Q33" s="21"/>
      <c r="R33" s="22">
        <v>2.3300000000000001E-2</v>
      </c>
      <c r="S33" s="3">
        <f t="shared" ref="S33:S54" si="4">R33*$M33</f>
        <v>47004422.760000005</v>
      </c>
      <c r="T33" s="21"/>
      <c r="U33" s="22">
        <v>1.4E-3</v>
      </c>
      <c r="V33" s="3">
        <f t="shared" ref="V33:V54" si="5">U33*$M33</f>
        <v>2824300.08</v>
      </c>
      <c r="W33" s="7" t="e">
        <f>#REF!+#REF!+#REF!+#REF!+#REF!+#REF!+#REF!+#REF!+#REF!+#REF!+#REF!+#REF!</f>
        <v>#REF!</v>
      </c>
      <c r="X33" s="1" t="e">
        <f>#REF!+#REF!+#REF!+#REF!+#REF!+#REF!+#REF!+#REF!+#REF!+#REF!+#REF!+#REF!-M33</f>
        <v>#REF!</v>
      </c>
      <c r="Y33" s="1">
        <f t="shared" si="1"/>
        <v>82106438.040000007</v>
      </c>
    </row>
    <row r="34" spans="3:25" x14ac:dyDescent="0.25">
      <c r="C34" s="2"/>
      <c r="D34" s="2"/>
      <c r="E34" s="17"/>
      <c r="F34" s="66" t="s">
        <v>48</v>
      </c>
      <c r="G34" s="12"/>
      <c r="H34" s="12"/>
      <c r="I34" s="12"/>
      <c r="J34" s="12"/>
      <c r="K34" s="12" t="s">
        <v>49</v>
      </c>
      <c r="L34" s="58"/>
      <c r="M34" s="12"/>
      <c r="N34" s="12"/>
      <c r="O34" s="13"/>
      <c r="P34" s="14"/>
      <c r="Q34" s="12"/>
      <c r="R34" s="13"/>
      <c r="S34" s="14"/>
      <c r="T34" s="12"/>
      <c r="U34" s="13"/>
      <c r="V34" s="14"/>
      <c r="W34" s="7"/>
      <c r="X34" s="1"/>
      <c r="Y34" s="1">
        <f t="shared" si="1"/>
        <v>0</v>
      </c>
    </row>
    <row r="35" spans="3:25" x14ac:dyDescent="0.25">
      <c r="C35" s="2"/>
      <c r="D35" s="2"/>
      <c r="E35" s="17"/>
      <c r="F35" s="66" t="s">
        <v>48</v>
      </c>
      <c r="G35" s="12"/>
      <c r="H35" s="12"/>
      <c r="I35" s="12"/>
      <c r="J35" s="12"/>
      <c r="K35" s="12" t="s">
        <v>51</v>
      </c>
      <c r="L35" s="58"/>
      <c r="M35" s="12"/>
      <c r="N35" s="12">
        <v>3.29</v>
      </c>
      <c r="O35" s="13"/>
      <c r="P35" s="14">
        <f>N35*H33</f>
        <v>36946.699999999997</v>
      </c>
      <c r="Q35" s="12"/>
      <c r="R35" s="13"/>
      <c r="S35" s="14"/>
      <c r="T35" s="12"/>
      <c r="U35" s="13"/>
      <c r="V35" s="14"/>
      <c r="W35" s="7"/>
      <c r="X35" s="1"/>
      <c r="Y35" s="1">
        <f t="shared" si="1"/>
        <v>36946.699999999997</v>
      </c>
    </row>
    <row r="36" spans="3:25" x14ac:dyDescent="0.25">
      <c r="C36" s="2"/>
      <c r="D36" s="2"/>
      <c r="E36" s="17"/>
      <c r="F36" s="66" t="s">
        <v>48</v>
      </c>
      <c r="G36" s="12"/>
      <c r="H36" s="12"/>
      <c r="I36" s="12"/>
      <c r="J36" s="12"/>
      <c r="K36" s="12" t="s">
        <v>52</v>
      </c>
      <c r="L36" s="58"/>
      <c r="M36" s="12"/>
      <c r="N36" s="12"/>
      <c r="O36" s="13"/>
      <c r="P36" s="14"/>
      <c r="Q36" s="12">
        <v>4.7300000000000004</v>
      </c>
      <c r="R36" s="13"/>
      <c r="S36" s="14">
        <f>Q36*H33</f>
        <v>53117.9</v>
      </c>
      <c r="T36" s="12"/>
      <c r="U36" s="13"/>
      <c r="V36" s="14"/>
      <c r="W36" s="7"/>
      <c r="X36" s="1"/>
      <c r="Y36" s="1">
        <f t="shared" si="1"/>
        <v>53117.9</v>
      </c>
    </row>
    <row r="37" spans="3:25" x14ac:dyDescent="0.25">
      <c r="C37" s="2"/>
      <c r="D37" s="2"/>
      <c r="E37" s="17"/>
      <c r="F37" s="66" t="s">
        <v>48</v>
      </c>
      <c r="G37" s="12"/>
      <c r="H37" s="12"/>
      <c r="I37" s="12"/>
      <c r="J37" s="12"/>
      <c r="K37" s="12" t="s">
        <v>53</v>
      </c>
      <c r="L37" s="58"/>
      <c r="M37" s="12"/>
      <c r="N37" s="12"/>
      <c r="O37" s="13"/>
      <c r="P37" s="14"/>
      <c r="Q37" s="12"/>
      <c r="R37" s="13"/>
      <c r="S37" s="14"/>
      <c r="T37" s="12"/>
      <c r="U37" s="13"/>
      <c r="V37" s="14"/>
      <c r="W37" s="7"/>
      <c r="X37" s="1"/>
      <c r="Y37" s="1">
        <f t="shared" si="1"/>
        <v>0</v>
      </c>
    </row>
    <row r="38" spans="3:25" x14ac:dyDescent="0.25">
      <c r="C38" s="2"/>
      <c r="D38" s="2"/>
      <c r="E38" s="17"/>
      <c r="F38" s="66" t="s">
        <v>48</v>
      </c>
      <c r="G38" s="12"/>
      <c r="H38" s="12"/>
      <c r="I38" s="12"/>
      <c r="J38" s="12"/>
      <c r="K38" s="12" t="s">
        <v>54</v>
      </c>
      <c r="L38" s="58"/>
      <c r="M38" s="12"/>
      <c r="N38" s="12"/>
      <c r="O38" s="13"/>
      <c r="P38" s="14"/>
      <c r="Q38" s="12"/>
      <c r="R38" s="13"/>
      <c r="S38" s="14"/>
      <c r="T38" s="12"/>
      <c r="U38" s="13"/>
      <c r="V38" s="14"/>
      <c r="W38" s="7"/>
      <c r="X38" s="1"/>
      <c r="Y38" s="1">
        <f t="shared" si="1"/>
        <v>0</v>
      </c>
    </row>
    <row r="39" spans="3:25" x14ac:dyDescent="0.25">
      <c r="C39" s="2"/>
      <c r="D39" s="2"/>
      <c r="E39" s="17"/>
      <c r="F39" s="66" t="s">
        <v>48</v>
      </c>
      <c r="G39" s="12"/>
      <c r="H39" s="12"/>
      <c r="I39" s="12"/>
      <c r="J39" s="12"/>
      <c r="K39" s="12" t="s">
        <v>55</v>
      </c>
      <c r="L39" s="58"/>
      <c r="M39" s="12"/>
      <c r="N39" s="12"/>
      <c r="O39" s="13"/>
      <c r="P39" s="14"/>
      <c r="Q39" s="12"/>
      <c r="R39" s="13"/>
      <c r="S39" s="14"/>
      <c r="T39" s="12">
        <v>0.25</v>
      </c>
      <c r="U39" s="13"/>
      <c r="V39" s="14">
        <f>T39*H33</f>
        <v>2807.5</v>
      </c>
      <c r="W39" s="7"/>
      <c r="X39" s="1"/>
      <c r="Y39" s="1">
        <f t="shared" si="1"/>
        <v>2807.5</v>
      </c>
    </row>
    <row r="40" spans="3:25" ht="31.5" x14ac:dyDescent="0.25">
      <c r="C40" s="11"/>
      <c r="D40" s="11"/>
      <c r="E40" s="29"/>
      <c r="F40" s="24" t="s">
        <v>30</v>
      </c>
      <c r="G40" s="12"/>
      <c r="H40" s="12">
        <v>339</v>
      </c>
      <c r="I40" s="2"/>
      <c r="J40" s="11"/>
      <c r="K40" s="12" t="s">
        <v>21</v>
      </c>
      <c r="L40" s="58">
        <f>125.81*1000</f>
        <v>125810</v>
      </c>
      <c r="M40" s="12">
        <f>L40*H40</f>
        <v>42649590</v>
      </c>
      <c r="N40" s="12"/>
      <c r="O40" s="13">
        <v>1.6E-2</v>
      </c>
      <c r="P40" s="14">
        <f t="shared" si="3"/>
        <v>682393.44000000006</v>
      </c>
      <c r="Q40" s="12"/>
      <c r="R40" s="13">
        <v>2.3300000000000001E-2</v>
      </c>
      <c r="S40" s="3">
        <f t="shared" si="4"/>
        <v>993735.44700000004</v>
      </c>
      <c r="T40" s="12"/>
      <c r="U40" s="13">
        <v>1.4E-3</v>
      </c>
      <c r="V40" s="3">
        <f t="shared" si="5"/>
        <v>59709.425999999999</v>
      </c>
      <c r="W40" s="7" t="e">
        <f>#REF!+#REF!+#REF!+#REF!+#REF!+#REF!+#REF!+#REF!+#REF!+#REF!+#REF!+#REF!</f>
        <v>#REF!</v>
      </c>
      <c r="X40" s="1" t="e">
        <f>#REF!+#REF!+#REF!+#REF!+#REF!+#REF!+#REF!+#REF!+#REF!+#REF!+#REF!+#REF!-M40</f>
        <v>#REF!</v>
      </c>
      <c r="Y40" s="1">
        <f t="shared" si="1"/>
        <v>1735838.3130000001</v>
      </c>
    </row>
    <row r="41" spans="3:25" x14ac:dyDescent="0.25">
      <c r="C41" s="2"/>
      <c r="D41" s="2"/>
      <c r="E41" s="17"/>
      <c r="F41" s="66" t="s">
        <v>48</v>
      </c>
      <c r="G41" s="12"/>
      <c r="H41" s="12"/>
      <c r="I41" s="12"/>
      <c r="J41" s="12"/>
      <c r="K41" s="12" t="s">
        <v>49</v>
      </c>
      <c r="L41" s="58"/>
      <c r="M41" s="12"/>
      <c r="N41" s="12"/>
      <c r="O41" s="13"/>
      <c r="P41" s="14"/>
      <c r="Q41" s="12"/>
      <c r="R41" s="13"/>
      <c r="S41" s="14"/>
      <c r="T41" s="12"/>
      <c r="U41" s="13"/>
      <c r="V41" s="14"/>
      <c r="W41" s="7"/>
      <c r="X41" s="1"/>
      <c r="Y41" s="1">
        <f t="shared" si="1"/>
        <v>0</v>
      </c>
    </row>
    <row r="42" spans="3:25" x14ac:dyDescent="0.25">
      <c r="C42" s="2"/>
      <c r="D42" s="2"/>
      <c r="E42" s="17"/>
      <c r="F42" s="66" t="s">
        <v>48</v>
      </c>
      <c r="G42" s="12"/>
      <c r="H42" s="12"/>
      <c r="I42" s="12"/>
      <c r="J42" s="12"/>
      <c r="K42" s="12" t="s">
        <v>51</v>
      </c>
      <c r="L42" s="58"/>
      <c r="M42" s="12"/>
      <c r="N42" s="12">
        <v>2.25</v>
      </c>
      <c r="O42" s="13"/>
      <c r="P42" s="14">
        <f>N42*H40</f>
        <v>762.75</v>
      </c>
      <c r="Q42" s="12"/>
      <c r="R42" s="13"/>
      <c r="S42" s="14"/>
      <c r="T42" s="12"/>
      <c r="U42" s="13"/>
      <c r="V42" s="14"/>
      <c r="W42" s="7"/>
      <c r="X42" s="1"/>
      <c r="Y42" s="1">
        <f t="shared" si="1"/>
        <v>762.75</v>
      </c>
    </row>
    <row r="43" spans="3:25" x14ac:dyDescent="0.25">
      <c r="C43" s="2"/>
      <c r="D43" s="2"/>
      <c r="E43" s="17"/>
      <c r="F43" s="66" t="s">
        <v>48</v>
      </c>
      <c r="G43" s="12"/>
      <c r="H43" s="12"/>
      <c r="I43" s="12"/>
      <c r="J43" s="12"/>
      <c r="K43" s="12" t="s">
        <v>52</v>
      </c>
      <c r="L43" s="58"/>
      <c r="M43" s="12"/>
      <c r="N43" s="12"/>
      <c r="O43" s="13"/>
      <c r="P43" s="14"/>
      <c r="Q43" s="12">
        <v>3.24</v>
      </c>
      <c r="R43" s="13"/>
      <c r="S43" s="14">
        <f>Q43*H40</f>
        <v>1098.3600000000001</v>
      </c>
      <c r="T43" s="12"/>
      <c r="U43" s="13"/>
      <c r="V43" s="14"/>
      <c r="W43" s="7"/>
      <c r="X43" s="1"/>
      <c r="Y43" s="1">
        <f t="shared" si="1"/>
        <v>1098.3600000000001</v>
      </c>
    </row>
    <row r="44" spans="3:25" x14ac:dyDescent="0.25">
      <c r="C44" s="2"/>
      <c r="D44" s="2"/>
      <c r="E44" s="17"/>
      <c r="F44" s="66" t="s">
        <v>48</v>
      </c>
      <c r="G44" s="12"/>
      <c r="H44" s="12"/>
      <c r="I44" s="12"/>
      <c r="J44" s="12"/>
      <c r="K44" s="12" t="s">
        <v>53</v>
      </c>
      <c r="L44" s="58"/>
      <c r="M44" s="12"/>
      <c r="N44" s="12"/>
      <c r="O44" s="13"/>
      <c r="P44" s="14"/>
      <c r="Q44" s="12"/>
      <c r="R44" s="13"/>
      <c r="S44" s="14"/>
      <c r="T44" s="12"/>
      <c r="U44" s="13"/>
      <c r="V44" s="14"/>
      <c r="W44" s="7"/>
      <c r="X44" s="1"/>
      <c r="Y44" s="1">
        <f t="shared" si="1"/>
        <v>0</v>
      </c>
    </row>
    <row r="45" spans="3:25" x14ac:dyDescent="0.25">
      <c r="C45" s="2"/>
      <c r="D45" s="2"/>
      <c r="E45" s="17"/>
      <c r="F45" s="66" t="s">
        <v>48</v>
      </c>
      <c r="G45" s="12"/>
      <c r="H45" s="12"/>
      <c r="I45" s="12"/>
      <c r="J45" s="12"/>
      <c r="K45" s="12" t="s">
        <v>54</v>
      </c>
      <c r="L45" s="58"/>
      <c r="M45" s="12"/>
      <c r="N45" s="12"/>
      <c r="O45" s="13"/>
      <c r="P45" s="14"/>
      <c r="Q45" s="12"/>
      <c r="R45" s="13"/>
      <c r="S45" s="14"/>
      <c r="T45" s="12"/>
      <c r="U45" s="13"/>
      <c r="V45" s="14"/>
      <c r="W45" s="7"/>
      <c r="X45" s="1"/>
      <c r="Y45" s="1">
        <f t="shared" si="1"/>
        <v>0</v>
      </c>
    </row>
    <row r="46" spans="3:25" x14ac:dyDescent="0.25">
      <c r="C46" s="2"/>
      <c r="D46" s="2"/>
      <c r="E46" s="17"/>
      <c r="F46" s="66" t="s">
        <v>48</v>
      </c>
      <c r="G46" s="12"/>
      <c r="H46" s="12"/>
      <c r="I46" s="12"/>
      <c r="J46" s="12"/>
      <c r="K46" s="12" t="s">
        <v>55</v>
      </c>
      <c r="L46" s="58"/>
      <c r="M46" s="12"/>
      <c r="N46" s="12"/>
      <c r="O46" s="13"/>
      <c r="P46" s="14"/>
      <c r="Q46" s="12"/>
      <c r="R46" s="13"/>
      <c r="S46" s="14"/>
      <c r="T46" s="12">
        <v>0.17</v>
      </c>
      <c r="U46" s="13"/>
      <c r="V46" s="14">
        <f>T46*H40</f>
        <v>57.63</v>
      </c>
      <c r="W46" s="7"/>
      <c r="X46" s="1"/>
      <c r="Y46" s="1">
        <f t="shared" si="1"/>
        <v>57.63</v>
      </c>
    </row>
    <row r="47" spans="3:25" x14ac:dyDescent="0.25">
      <c r="C47" s="2"/>
      <c r="D47" s="2"/>
      <c r="E47" s="17"/>
      <c r="F47" s="25" t="s">
        <v>28</v>
      </c>
      <c r="G47" s="4"/>
      <c r="H47" s="4"/>
      <c r="I47" s="4">
        <f>49*3*6</f>
        <v>882</v>
      </c>
      <c r="J47" s="4"/>
      <c r="K47" s="4" t="s">
        <v>25</v>
      </c>
      <c r="L47" s="58">
        <f>276.67*1000</f>
        <v>276670</v>
      </c>
      <c r="M47" s="4">
        <f>L47*I47</f>
        <v>244022940</v>
      </c>
      <c r="N47" s="4"/>
      <c r="O47" s="6">
        <v>1.5900000000000001E-2</v>
      </c>
      <c r="P47" s="3">
        <f t="shared" si="3"/>
        <v>3879964.7460000003</v>
      </c>
      <c r="Q47" s="4"/>
      <c r="R47" s="6">
        <v>2.4500000000000001E-2</v>
      </c>
      <c r="S47" s="3">
        <f t="shared" si="4"/>
        <v>5978562.0300000003</v>
      </c>
      <c r="T47" s="4"/>
      <c r="U47" s="6">
        <v>1.4E-3</v>
      </c>
      <c r="V47" s="3">
        <f t="shared" si="5"/>
        <v>341632.11599999998</v>
      </c>
      <c r="W47" s="7" t="e">
        <f>#REF!+#REF!+#REF!+#REF!+#REF!+#REF!+#REF!+#REF!+#REF!+#REF!+#REF!+#REF!</f>
        <v>#REF!</v>
      </c>
      <c r="X47" s="1" t="e">
        <f>#REF!+#REF!+#REF!+#REF!+#REF!+#REF!+#REF!+#REF!+#REF!+#REF!+#REF!+#REF!-M47</f>
        <v>#REF!</v>
      </c>
      <c r="Y47" s="1">
        <f t="shared" si="1"/>
        <v>10200158.892000001</v>
      </c>
    </row>
    <row r="48" spans="3:25" x14ac:dyDescent="0.25">
      <c r="C48" s="2"/>
      <c r="D48" s="2"/>
      <c r="E48" s="17"/>
      <c r="F48" s="66" t="s">
        <v>56</v>
      </c>
      <c r="G48" s="12"/>
      <c r="H48" s="12"/>
      <c r="I48" s="12"/>
      <c r="J48" s="12"/>
      <c r="K48" s="12" t="s">
        <v>57</v>
      </c>
      <c r="L48" s="58"/>
      <c r="M48" s="12"/>
      <c r="N48" s="12"/>
      <c r="O48" s="13"/>
      <c r="P48" s="14"/>
      <c r="Q48" s="12"/>
      <c r="R48" s="13"/>
      <c r="S48" s="14"/>
      <c r="T48" s="12"/>
      <c r="U48" s="13"/>
      <c r="V48" s="14"/>
      <c r="W48" s="7"/>
      <c r="X48" s="1"/>
      <c r="Y48" s="1">
        <f t="shared" si="1"/>
        <v>0</v>
      </c>
    </row>
    <row r="49" spans="3:25" x14ac:dyDescent="0.25">
      <c r="C49" s="2"/>
      <c r="D49" s="2"/>
      <c r="E49" s="17"/>
      <c r="F49" s="66" t="s">
        <v>56</v>
      </c>
      <c r="G49" s="12"/>
      <c r="H49" s="12"/>
      <c r="I49" s="12"/>
      <c r="J49" s="12"/>
      <c r="K49" s="12" t="s">
        <v>58</v>
      </c>
      <c r="L49" s="58"/>
      <c r="M49" s="12"/>
      <c r="N49" s="12">
        <v>4.58</v>
      </c>
      <c r="O49" s="13"/>
      <c r="P49" s="14">
        <f>N49*I47</f>
        <v>4039.56</v>
      </c>
      <c r="Q49" s="12"/>
      <c r="R49" s="13"/>
      <c r="S49" s="14"/>
      <c r="T49" s="12"/>
      <c r="U49" s="13"/>
      <c r="V49" s="14"/>
      <c r="W49" s="7"/>
      <c r="X49" s="1"/>
      <c r="Y49" s="1">
        <f t="shared" si="1"/>
        <v>4039.56</v>
      </c>
    </row>
    <row r="50" spans="3:25" x14ac:dyDescent="0.25">
      <c r="C50" s="2"/>
      <c r="D50" s="2"/>
      <c r="E50" s="17"/>
      <c r="F50" s="66" t="s">
        <v>56</v>
      </c>
      <c r="G50" s="12"/>
      <c r="H50" s="12"/>
      <c r="I50" s="12"/>
      <c r="J50" s="12"/>
      <c r="K50" s="12" t="s">
        <v>59</v>
      </c>
      <c r="L50" s="58"/>
      <c r="M50" s="12"/>
      <c r="N50" s="12"/>
      <c r="O50" s="13"/>
      <c r="P50" s="14"/>
      <c r="Q50" s="12">
        <v>6.59</v>
      </c>
      <c r="R50" s="13"/>
      <c r="S50" s="14">
        <f>Q50*I47</f>
        <v>5812.38</v>
      </c>
      <c r="T50" s="12"/>
      <c r="U50" s="13"/>
      <c r="V50" s="14"/>
      <c r="W50" s="7"/>
      <c r="X50" s="1"/>
      <c r="Y50" s="1">
        <f t="shared" si="1"/>
        <v>5812.38</v>
      </c>
    </row>
    <row r="51" spans="3:25" x14ac:dyDescent="0.25">
      <c r="C51" s="2"/>
      <c r="D51" s="2"/>
      <c r="E51" s="17"/>
      <c r="F51" s="66" t="s">
        <v>56</v>
      </c>
      <c r="G51" s="12"/>
      <c r="H51" s="12"/>
      <c r="I51" s="12"/>
      <c r="J51" s="12"/>
      <c r="K51" s="12" t="s">
        <v>60</v>
      </c>
      <c r="L51" s="58"/>
      <c r="M51" s="12"/>
      <c r="N51" s="12"/>
      <c r="O51" s="13"/>
      <c r="P51" s="14"/>
      <c r="Q51" s="12"/>
      <c r="R51" s="13"/>
      <c r="S51" s="14"/>
      <c r="T51" s="12"/>
      <c r="U51" s="13"/>
      <c r="V51" s="14"/>
      <c r="W51" s="7"/>
      <c r="X51" s="1"/>
      <c r="Y51" s="1">
        <f t="shared" si="1"/>
        <v>0</v>
      </c>
    </row>
    <row r="52" spans="3:25" x14ac:dyDescent="0.25">
      <c r="C52" s="2"/>
      <c r="D52" s="2"/>
      <c r="E52" s="17"/>
      <c r="F52" s="66" t="s">
        <v>56</v>
      </c>
      <c r="G52" s="12"/>
      <c r="H52" s="12"/>
      <c r="I52" s="12"/>
      <c r="J52" s="12"/>
      <c r="K52" s="12" t="s">
        <v>61</v>
      </c>
      <c r="L52" s="58"/>
      <c r="M52" s="12"/>
      <c r="N52" s="12"/>
      <c r="O52" s="13"/>
      <c r="P52" s="14"/>
      <c r="Q52" s="12"/>
      <c r="R52" s="13"/>
      <c r="S52" s="14"/>
      <c r="T52" s="12"/>
      <c r="U52" s="13"/>
      <c r="V52" s="14"/>
      <c r="W52" s="7"/>
      <c r="X52" s="1"/>
      <c r="Y52" s="1">
        <f t="shared" si="1"/>
        <v>0</v>
      </c>
    </row>
    <row r="53" spans="3:25" x14ac:dyDescent="0.25">
      <c r="C53" s="2"/>
      <c r="D53" s="2"/>
      <c r="E53" s="17"/>
      <c r="F53" s="66" t="s">
        <v>56</v>
      </c>
      <c r="G53" s="12"/>
      <c r="H53" s="12"/>
      <c r="I53" s="12"/>
      <c r="J53" s="12"/>
      <c r="K53" s="12" t="s">
        <v>62</v>
      </c>
      <c r="L53" s="58"/>
      <c r="M53" s="12"/>
      <c r="N53" s="12"/>
      <c r="O53" s="13"/>
      <c r="P53" s="14"/>
      <c r="Q53" s="12"/>
      <c r="R53" s="13"/>
      <c r="S53" s="14"/>
      <c r="T53" s="12">
        <v>0.39</v>
      </c>
      <c r="U53" s="13"/>
      <c r="V53" s="14">
        <f>T53*I47</f>
        <v>343.98</v>
      </c>
      <c r="W53" s="7"/>
      <c r="X53" s="1"/>
      <c r="Y53" s="1">
        <f t="shared" si="1"/>
        <v>343.98</v>
      </c>
    </row>
    <row r="54" spans="3:25" x14ac:dyDescent="0.25">
      <c r="C54" s="2"/>
      <c r="D54" s="2"/>
      <c r="E54" s="17"/>
      <c r="F54" s="44" t="s">
        <v>29</v>
      </c>
      <c r="G54" s="4"/>
      <c r="H54" s="4"/>
      <c r="I54" s="4"/>
      <c r="J54" s="4">
        <v>9500</v>
      </c>
      <c r="K54" s="4" t="s">
        <v>37</v>
      </c>
      <c r="L54" s="58">
        <v>382230</v>
      </c>
      <c r="M54" s="4">
        <f>J54*L54/100</f>
        <v>36311850</v>
      </c>
      <c r="N54" s="9"/>
      <c r="O54" s="10">
        <v>1.8100000000000002E-2</v>
      </c>
      <c r="P54" s="3">
        <f t="shared" si="3"/>
        <v>657244.4850000001</v>
      </c>
      <c r="Q54" s="9"/>
      <c r="R54" s="10">
        <v>3.0000000000000001E-3</v>
      </c>
      <c r="S54" s="3">
        <f t="shared" si="4"/>
        <v>108935.55</v>
      </c>
      <c r="T54" s="9"/>
      <c r="U54" s="10">
        <v>1.4E-3</v>
      </c>
      <c r="V54" s="3">
        <f t="shared" si="5"/>
        <v>50836.59</v>
      </c>
      <c r="W54" s="7" t="e">
        <f>#REF!+#REF!+#REF!+#REF!+#REF!+#REF!+#REF!+#REF!+#REF!+#REF!+#REF!+#REF!</f>
        <v>#REF!</v>
      </c>
      <c r="X54" s="1" t="e">
        <f>#REF!+#REF!+#REF!+#REF!+#REF!+#REF!+#REF!+#REF!+#REF!+#REF!+#REF!+#REF!-M54</f>
        <v>#REF!</v>
      </c>
      <c r="Y54" s="1">
        <f t="shared" si="1"/>
        <v>817016.62500000012</v>
      </c>
    </row>
    <row r="55" spans="3:25" x14ac:dyDescent="0.25">
      <c r="C55" s="2"/>
      <c r="D55" s="2"/>
      <c r="E55" s="17"/>
      <c r="F55" s="66" t="s">
        <v>56</v>
      </c>
      <c r="G55" s="4"/>
      <c r="H55" s="4"/>
      <c r="I55" s="4"/>
      <c r="J55" s="4"/>
      <c r="K55" s="4" t="s">
        <v>63</v>
      </c>
      <c r="L55" s="58"/>
      <c r="M55" s="4"/>
      <c r="N55" s="4">
        <v>4.67</v>
      </c>
      <c r="O55" s="6"/>
      <c r="P55" s="3">
        <f>N55*J54</f>
        <v>44365</v>
      </c>
      <c r="Q55" s="4"/>
      <c r="R55" s="6"/>
      <c r="S55" s="3"/>
      <c r="T55" s="4"/>
      <c r="U55" s="6"/>
      <c r="V55" s="3"/>
      <c r="W55" s="7"/>
      <c r="X55" s="1"/>
      <c r="Y55" s="1">
        <f t="shared" si="1"/>
        <v>44365</v>
      </c>
    </row>
    <row r="56" spans="3:25" x14ac:dyDescent="0.25">
      <c r="C56" s="2"/>
      <c r="D56" s="2"/>
      <c r="E56" s="17"/>
      <c r="F56" s="66" t="s">
        <v>56</v>
      </c>
      <c r="G56" s="4"/>
      <c r="H56" s="4"/>
      <c r="I56" s="4"/>
      <c r="J56" s="4"/>
      <c r="K56" s="4" t="s">
        <v>64</v>
      </c>
      <c r="L56" s="58"/>
      <c r="M56" s="4"/>
      <c r="N56" s="4"/>
      <c r="O56" s="6"/>
      <c r="P56" s="3"/>
      <c r="Q56" s="4">
        <v>0.86</v>
      </c>
      <c r="R56" s="6"/>
      <c r="S56" s="3">
        <f>Q56*J54</f>
        <v>8170</v>
      </c>
      <c r="T56" s="4"/>
      <c r="U56" s="6"/>
      <c r="V56" s="3"/>
      <c r="W56" s="7"/>
      <c r="X56" s="1"/>
      <c r="Y56" s="1">
        <f t="shared" si="1"/>
        <v>8170</v>
      </c>
    </row>
    <row r="57" spans="3:25" x14ac:dyDescent="0.25">
      <c r="C57" s="2"/>
      <c r="D57" s="2"/>
      <c r="E57" s="17"/>
      <c r="F57" s="66" t="s">
        <v>56</v>
      </c>
      <c r="G57" s="12"/>
      <c r="H57" s="12"/>
      <c r="I57" s="12"/>
      <c r="J57" s="12"/>
      <c r="K57" s="12" t="s">
        <v>65</v>
      </c>
      <c r="L57" s="58"/>
      <c r="M57" s="12"/>
      <c r="N57" s="12"/>
      <c r="O57" s="13"/>
      <c r="P57" s="14"/>
      <c r="Q57" s="12"/>
      <c r="R57" s="13"/>
      <c r="S57" s="14"/>
      <c r="T57" s="12"/>
      <c r="U57" s="13"/>
      <c r="V57" s="14"/>
      <c r="W57" s="7"/>
      <c r="X57" s="1"/>
      <c r="Y57" s="1">
        <f t="shared" si="1"/>
        <v>0</v>
      </c>
    </row>
    <row r="58" spans="3:25" x14ac:dyDescent="0.25">
      <c r="C58" s="2"/>
      <c r="D58" s="2"/>
      <c r="E58" s="17"/>
      <c r="F58" s="66" t="s">
        <v>56</v>
      </c>
      <c r="G58" s="12"/>
      <c r="H58" s="12"/>
      <c r="I58" s="12"/>
      <c r="J58" s="12"/>
      <c r="K58" s="12" t="s">
        <v>66</v>
      </c>
      <c r="L58" s="58"/>
      <c r="M58" s="12"/>
      <c r="N58" s="12"/>
      <c r="O58" s="13"/>
      <c r="P58" s="14"/>
      <c r="Q58" s="12"/>
      <c r="R58" s="13"/>
      <c r="S58" s="14"/>
      <c r="T58" s="12"/>
      <c r="U58" s="13"/>
      <c r="V58" s="14"/>
      <c r="W58" s="7"/>
      <c r="X58" s="1"/>
      <c r="Y58" s="1">
        <f t="shared" si="1"/>
        <v>0</v>
      </c>
    </row>
    <row r="59" spans="3:25" x14ac:dyDescent="0.25">
      <c r="C59" s="2"/>
      <c r="D59" s="2"/>
      <c r="E59" s="17"/>
      <c r="F59" s="66" t="s">
        <v>56</v>
      </c>
      <c r="G59" s="12"/>
      <c r="H59" s="12"/>
      <c r="I59" s="12"/>
      <c r="J59" s="12"/>
      <c r="K59" s="12" t="s">
        <v>67</v>
      </c>
      <c r="L59" s="58"/>
      <c r="M59" s="12"/>
      <c r="N59" s="12"/>
      <c r="O59" s="13"/>
      <c r="P59" s="14"/>
      <c r="Q59" s="12"/>
      <c r="R59" s="13"/>
      <c r="S59" s="14"/>
      <c r="T59" s="12">
        <v>0.53</v>
      </c>
      <c r="U59" s="13"/>
      <c r="V59" s="14">
        <f>T59*J54</f>
        <v>5035</v>
      </c>
      <c r="W59" s="7"/>
      <c r="X59" s="1"/>
      <c r="Y59" s="1">
        <f t="shared" si="1"/>
        <v>5035</v>
      </c>
    </row>
    <row r="60" spans="3:25" ht="16.5" thickBot="1" x14ac:dyDescent="0.3">
      <c r="C60" s="15"/>
      <c r="D60" s="15"/>
      <c r="E60" s="19"/>
      <c r="F60" s="30" t="s">
        <v>5</v>
      </c>
      <c r="G60" s="27"/>
      <c r="H60" s="27"/>
      <c r="I60" s="27"/>
      <c r="J60" s="27"/>
      <c r="K60" s="27"/>
      <c r="L60" s="27"/>
      <c r="M60" s="27">
        <f>SUM(M33:M59)</f>
        <v>2340341580</v>
      </c>
      <c r="N60" s="27"/>
      <c r="O60" s="28"/>
      <c r="P60" s="27">
        <f>SUM(P33:P59)</f>
        <v>37583431.881000005</v>
      </c>
      <c r="Q60" s="27"/>
      <c r="R60" s="28"/>
      <c r="S60" s="27">
        <f>SUM(S33:S59)</f>
        <v>54153854.427000001</v>
      </c>
      <c r="T60" s="27"/>
      <c r="U60" s="28"/>
      <c r="V60" s="27">
        <f>SUM(V33:V59)</f>
        <v>3284722.3219999997</v>
      </c>
      <c r="W60" s="7" t="e">
        <f>#REF!+#REF!+#REF!+#REF!+#REF!+#REF!+#REF!+#REF!+#REF!+#REF!+#REF!+#REF!</f>
        <v>#REF!</v>
      </c>
      <c r="X60" s="1" t="e">
        <f>#REF!+#REF!+#REF!+#REF!+#REF!+#REF!+#REF!+#REF!+#REF!+#REF!+#REF!+#REF!-M60</f>
        <v>#REF!</v>
      </c>
      <c r="Y60" s="1">
        <f t="shared" si="1"/>
        <v>95022008.629999995</v>
      </c>
    </row>
    <row r="61" spans="3:25" x14ac:dyDescent="0.25">
      <c r="C61" s="2" t="s">
        <v>0</v>
      </c>
      <c r="D61" s="2" t="s">
        <v>1</v>
      </c>
      <c r="E61" s="17" t="s">
        <v>2</v>
      </c>
      <c r="F61" s="20" t="s">
        <v>6</v>
      </c>
      <c r="G61" s="21">
        <v>16202.7</v>
      </c>
      <c r="H61" s="21">
        <v>10329</v>
      </c>
      <c r="I61" s="48"/>
      <c r="J61" s="48"/>
      <c r="K61" s="21" t="s">
        <v>22</v>
      </c>
      <c r="L61" s="58">
        <f>183.27*1000</f>
        <v>183270</v>
      </c>
      <c r="M61" s="21">
        <f>L61*H61</f>
        <v>1892995830</v>
      </c>
      <c r="N61" s="21"/>
      <c r="O61" s="22">
        <v>1.55E-2</v>
      </c>
      <c r="P61" s="23">
        <f t="shared" ref="P61:P82" si="6">O61*$M61</f>
        <v>29341435.364999998</v>
      </c>
      <c r="Q61" s="21"/>
      <c r="R61" s="22">
        <v>2.1600000000000001E-2</v>
      </c>
      <c r="S61" s="23">
        <f t="shared" ref="S61:S82" si="7">R61*$M61</f>
        <v>40888709.928000003</v>
      </c>
      <c r="T61" s="21"/>
      <c r="U61" s="22">
        <v>1.4E-3</v>
      </c>
      <c r="V61" s="23">
        <f t="shared" ref="V61:V82" si="8">U61*$M61</f>
        <v>2650194.162</v>
      </c>
      <c r="W61" s="7" t="e">
        <f>#REF!+#REF!+#REF!+#REF!+#REF!+#REF!+#REF!+#REF!+#REF!+#REF!+#REF!+#REF!</f>
        <v>#REF!</v>
      </c>
      <c r="X61" s="1" t="e">
        <f>#REF!+#REF!+#REF!+#REF!+#REF!+#REF!+#REF!+#REF!+#REF!+#REF!+#REF!+#REF!-M61</f>
        <v>#REF!</v>
      </c>
      <c r="Y61" s="1">
        <f t="shared" si="1"/>
        <v>72880339.454999998</v>
      </c>
    </row>
    <row r="62" spans="3:25" x14ac:dyDescent="0.25">
      <c r="C62" s="2"/>
      <c r="D62" s="2"/>
      <c r="E62" s="17"/>
      <c r="F62" s="66" t="s">
        <v>48</v>
      </c>
      <c r="G62" s="12"/>
      <c r="H62" s="12"/>
      <c r="I62" s="12"/>
      <c r="J62" s="12"/>
      <c r="K62" s="12" t="s">
        <v>49</v>
      </c>
      <c r="L62" s="58"/>
      <c r="M62" s="12"/>
      <c r="N62" s="12"/>
      <c r="O62" s="13"/>
      <c r="P62" s="14"/>
      <c r="Q62" s="12"/>
      <c r="R62" s="13"/>
      <c r="S62" s="14"/>
      <c r="T62" s="12"/>
      <c r="U62" s="13"/>
      <c r="V62" s="14"/>
      <c r="W62" s="7"/>
      <c r="X62" s="1"/>
      <c r="Y62" s="1">
        <f t="shared" si="1"/>
        <v>0</v>
      </c>
    </row>
    <row r="63" spans="3:25" x14ac:dyDescent="0.25">
      <c r="C63" s="2"/>
      <c r="D63" s="2"/>
      <c r="E63" s="17"/>
      <c r="F63" s="66" t="s">
        <v>48</v>
      </c>
      <c r="G63" s="12"/>
      <c r="H63" s="12"/>
      <c r="I63" s="12"/>
      <c r="J63" s="12"/>
      <c r="K63" s="12" t="s">
        <v>51</v>
      </c>
      <c r="L63" s="58"/>
      <c r="M63" s="12"/>
      <c r="N63" s="12">
        <v>3.29</v>
      </c>
      <c r="O63" s="13"/>
      <c r="P63" s="14">
        <f>N63*H61</f>
        <v>33982.410000000003</v>
      </c>
      <c r="Q63" s="12"/>
      <c r="R63" s="13"/>
      <c r="S63" s="14"/>
      <c r="T63" s="12"/>
      <c r="U63" s="13"/>
      <c r="V63" s="14"/>
      <c r="W63" s="7"/>
      <c r="X63" s="1"/>
      <c r="Y63" s="1">
        <f t="shared" si="1"/>
        <v>33982.410000000003</v>
      </c>
    </row>
    <row r="64" spans="3:25" x14ac:dyDescent="0.25">
      <c r="C64" s="2"/>
      <c r="D64" s="2"/>
      <c r="E64" s="17"/>
      <c r="F64" s="66" t="s">
        <v>48</v>
      </c>
      <c r="G64" s="12"/>
      <c r="H64" s="12"/>
      <c r="I64" s="12"/>
      <c r="J64" s="12"/>
      <c r="K64" s="12" t="s">
        <v>52</v>
      </c>
      <c r="L64" s="58"/>
      <c r="M64" s="12"/>
      <c r="N64" s="12"/>
      <c r="O64" s="13"/>
      <c r="P64" s="14"/>
      <c r="Q64" s="12">
        <v>4.7300000000000004</v>
      </c>
      <c r="R64" s="13"/>
      <c r="S64" s="14">
        <f>Q64*H61</f>
        <v>48856.170000000006</v>
      </c>
      <c r="T64" s="12"/>
      <c r="U64" s="13"/>
      <c r="V64" s="14"/>
      <c r="W64" s="7"/>
      <c r="X64" s="1"/>
      <c r="Y64" s="1">
        <f t="shared" si="1"/>
        <v>48856.170000000006</v>
      </c>
    </row>
    <row r="65" spans="3:25" x14ac:dyDescent="0.25">
      <c r="C65" s="2"/>
      <c r="D65" s="2"/>
      <c r="E65" s="17"/>
      <c r="F65" s="66" t="s">
        <v>48</v>
      </c>
      <c r="G65" s="12"/>
      <c r="H65" s="12"/>
      <c r="I65" s="12"/>
      <c r="J65" s="12"/>
      <c r="K65" s="12" t="s">
        <v>53</v>
      </c>
      <c r="L65" s="58"/>
      <c r="M65" s="12"/>
      <c r="N65" s="12"/>
      <c r="O65" s="13"/>
      <c r="P65" s="14"/>
      <c r="Q65" s="12"/>
      <c r="R65" s="13"/>
      <c r="S65" s="14"/>
      <c r="T65" s="12"/>
      <c r="U65" s="13"/>
      <c r="V65" s="14"/>
      <c r="W65" s="7"/>
      <c r="X65" s="1"/>
      <c r="Y65" s="1">
        <f t="shared" si="1"/>
        <v>0</v>
      </c>
    </row>
    <row r="66" spans="3:25" x14ac:dyDescent="0.25">
      <c r="C66" s="2"/>
      <c r="D66" s="2"/>
      <c r="E66" s="17"/>
      <c r="F66" s="66" t="s">
        <v>48</v>
      </c>
      <c r="G66" s="12"/>
      <c r="H66" s="12"/>
      <c r="I66" s="12"/>
      <c r="J66" s="12"/>
      <c r="K66" s="12" t="s">
        <v>54</v>
      </c>
      <c r="L66" s="58"/>
      <c r="M66" s="12"/>
      <c r="N66" s="12"/>
      <c r="O66" s="13"/>
      <c r="P66" s="14"/>
      <c r="Q66" s="12"/>
      <c r="R66" s="13"/>
      <c r="S66" s="14"/>
      <c r="T66" s="12"/>
      <c r="U66" s="13"/>
      <c r="V66" s="14"/>
      <c r="W66" s="7"/>
      <c r="X66" s="1"/>
      <c r="Y66" s="1">
        <f t="shared" si="1"/>
        <v>0</v>
      </c>
    </row>
    <row r="67" spans="3:25" x14ac:dyDescent="0.25">
      <c r="C67" s="2"/>
      <c r="D67" s="2"/>
      <c r="E67" s="17"/>
      <c r="F67" s="66" t="s">
        <v>48</v>
      </c>
      <c r="G67" s="12"/>
      <c r="H67" s="12"/>
      <c r="I67" s="12"/>
      <c r="J67" s="12"/>
      <c r="K67" s="12" t="s">
        <v>55</v>
      </c>
      <c r="L67" s="58"/>
      <c r="M67" s="12"/>
      <c r="N67" s="12"/>
      <c r="O67" s="13"/>
      <c r="P67" s="14"/>
      <c r="Q67" s="12"/>
      <c r="R67" s="13"/>
      <c r="S67" s="14"/>
      <c r="T67" s="12">
        <v>0.25</v>
      </c>
      <c r="U67" s="13"/>
      <c r="V67" s="14">
        <f>T67*H61</f>
        <v>2582.25</v>
      </c>
      <c r="W67" s="7"/>
      <c r="X67" s="1"/>
      <c r="Y67" s="1">
        <f t="shared" si="1"/>
        <v>2582.25</v>
      </c>
    </row>
    <row r="68" spans="3:25" ht="31.5" x14ac:dyDescent="0.25">
      <c r="C68" s="2"/>
      <c r="D68" s="2"/>
      <c r="E68" s="17"/>
      <c r="F68" s="24" t="s">
        <v>30</v>
      </c>
      <c r="G68" s="4"/>
      <c r="H68" s="4">
        <v>311.5</v>
      </c>
      <c r="I68" s="2"/>
      <c r="J68" s="2"/>
      <c r="K68" s="4" t="s">
        <v>22</v>
      </c>
      <c r="L68" s="58">
        <f>126.27*1000</f>
        <v>126270</v>
      </c>
      <c r="M68" s="4">
        <f>L68*H68</f>
        <v>39333105</v>
      </c>
      <c r="N68" s="12"/>
      <c r="O68" s="13">
        <v>1.55E-2</v>
      </c>
      <c r="P68" s="3">
        <f t="shared" si="6"/>
        <v>609663.12749999994</v>
      </c>
      <c r="Q68" s="12"/>
      <c r="R68" s="13">
        <v>2.1600000000000001E-2</v>
      </c>
      <c r="S68" s="3">
        <f t="shared" si="7"/>
        <v>849595.06800000009</v>
      </c>
      <c r="T68" s="12"/>
      <c r="U68" s="13">
        <v>1.4E-3</v>
      </c>
      <c r="V68" s="3">
        <f t="shared" si="8"/>
        <v>55066.347000000002</v>
      </c>
      <c r="W68" s="7" t="e">
        <f>#REF!+#REF!+#REF!+#REF!+#REF!+#REF!+#REF!+#REF!+#REF!+#REF!+#REF!+#REF!</f>
        <v>#REF!</v>
      </c>
      <c r="X68" s="1" t="e">
        <f>#REF!+#REF!+#REF!+#REF!+#REF!+#REF!+#REF!+#REF!+#REF!+#REF!+#REF!+#REF!-M68</f>
        <v>#REF!</v>
      </c>
      <c r="Y68" s="1">
        <f t="shared" si="1"/>
        <v>1514324.5425</v>
      </c>
    </row>
    <row r="69" spans="3:25" x14ac:dyDescent="0.25">
      <c r="C69" s="2"/>
      <c r="D69" s="2"/>
      <c r="E69" s="17"/>
      <c r="F69" s="66" t="s">
        <v>48</v>
      </c>
      <c r="G69" s="12"/>
      <c r="H69" s="12"/>
      <c r="I69" s="12"/>
      <c r="J69" s="12"/>
      <c r="K69" s="12" t="s">
        <v>49</v>
      </c>
      <c r="L69" s="58"/>
      <c r="M69" s="12"/>
      <c r="N69" s="12"/>
      <c r="O69" s="13"/>
      <c r="P69" s="14"/>
      <c r="Q69" s="12"/>
      <c r="R69" s="13"/>
      <c r="S69" s="14"/>
      <c r="T69" s="12"/>
      <c r="U69" s="13"/>
      <c r="V69" s="14"/>
      <c r="W69" s="7"/>
      <c r="X69" s="1"/>
      <c r="Y69" s="1">
        <f t="shared" si="1"/>
        <v>0</v>
      </c>
    </row>
    <row r="70" spans="3:25" x14ac:dyDescent="0.25">
      <c r="C70" s="2"/>
      <c r="D70" s="2"/>
      <c r="E70" s="17"/>
      <c r="F70" s="66" t="s">
        <v>48</v>
      </c>
      <c r="G70" s="12"/>
      <c r="H70" s="12"/>
      <c r="I70" s="12"/>
      <c r="J70" s="12"/>
      <c r="K70" s="12" t="s">
        <v>51</v>
      </c>
      <c r="L70" s="58"/>
      <c r="M70" s="12"/>
      <c r="N70" s="12">
        <v>2.25</v>
      </c>
      <c r="O70" s="13"/>
      <c r="P70" s="14">
        <f>N70*H68</f>
        <v>700.875</v>
      </c>
      <c r="Q70" s="12"/>
      <c r="R70" s="13"/>
      <c r="S70" s="14"/>
      <c r="T70" s="12"/>
      <c r="U70" s="13"/>
      <c r="V70" s="14"/>
      <c r="W70" s="7"/>
      <c r="X70" s="1"/>
      <c r="Y70" s="1">
        <f t="shared" ref="Y70:Y133" si="9">V70+S70+P70</f>
        <v>700.875</v>
      </c>
    </row>
    <row r="71" spans="3:25" x14ac:dyDescent="0.25">
      <c r="C71" s="2"/>
      <c r="D71" s="2"/>
      <c r="E71" s="17"/>
      <c r="F71" s="66" t="s">
        <v>48</v>
      </c>
      <c r="G71" s="12"/>
      <c r="H71" s="12"/>
      <c r="I71" s="12"/>
      <c r="J71" s="12"/>
      <c r="K71" s="12" t="s">
        <v>52</v>
      </c>
      <c r="L71" s="58"/>
      <c r="M71" s="12"/>
      <c r="N71" s="12"/>
      <c r="O71" s="13"/>
      <c r="P71" s="14"/>
      <c r="Q71" s="12">
        <v>3.24</v>
      </c>
      <c r="R71" s="13"/>
      <c r="S71" s="14">
        <f>Q71*H68</f>
        <v>1009.2600000000001</v>
      </c>
      <c r="T71" s="12"/>
      <c r="U71" s="13"/>
      <c r="V71" s="14"/>
      <c r="W71" s="7"/>
      <c r="X71" s="1"/>
      <c r="Y71" s="1">
        <f t="shared" si="9"/>
        <v>1009.2600000000001</v>
      </c>
    </row>
    <row r="72" spans="3:25" x14ac:dyDescent="0.25">
      <c r="C72" s="2"/>
      <c r="D72" s="2"/>
      <c r="E72" s="17"/>
      <c r="F72" s="66" t="s">
        <v>48</v>
      </c>
      <c r="G72" s="12"/>
      <c r="H72" s="12"/>
      <c r="I72" s="12"/>
      <c r="J72" s="12"/>
      <c r="K72" s="12" t="s">
        <v>53</v>
      </c>
      <c r="L72" s="58"/>
      <c r="M72" s="12"/>
      <c r="N72" s="12"/>
      <c r="O72" s="13"/>
      <c r="P72" s="14"/>
      <c r="Q72" s="12"/>
      <c r="R72" s="13"/>
      <c r="S72" s="14"/>
      <c r="T72" s="12"/>
      <c r="U72" s="13"/>
      <c r="V72" s="14"/>
      <c r="W72" s="7"/>
      <c r="X72" s="1"/>
      <c r="Y72" s="1">
        <f t="shared" si="9"/>
        <v>0</v>
      </c>
    </row>
    <row r="73" spans="3:25" x14ac:dyDescent="0.25">
      <c r="C73" s="2"/>
      <c r="D73" s="2"/>
      <c r="E73" s="17"/>
      <c r="F73" s="66" t="s">
        <v>48</v>
      </c>
      <c r="G73" s="12"/>
      <c r="H73" s="12"/>
      <c r="I73" s="12"/>
      <c r="J73" s="12"/>
      <c r="K73" s="12" t="s">
        <v>54</v>
      </c>
      <c r="L73" s="58"/>
      <c r="M73" s="12"/>
      <c r="N73" s="12"/>
      <c r="O73" s="13"/>
      <c r="P73" s="14"/>
      <c r="Q73" s="12"/>
      <c r="R73" s="13"/>
      <c r="S73" s="14"/>
      <c r="T73" s="12"/>
      <c r="U73" s="13"/>
      <c r="V73" s="14"/>
      <c r="W73" s="7"/>
      <c r="X73" s="1"/>
      <c r="Y73" s="1">
        <f t="shared" si="9"/>
        <v>0</v>
      </c>
    </row>
    <row r="74" spans="3:25" x14ac:dyDescent="0.25">
      <c r="C74" s="2"/>
      <c r="D74" s="2"/>
      <c r="E74" s="17"/>
      <c r="F74" s="66" t="s">
        <v>48</v>
      </c>
      <c r="G74" s="12"/>
      <c r="H74" s="12"/>
      <c r="I74" s="12"/>
      <c r="J74" s="12"/>
      <c r="K74" s="12" t="s">
        <v>55</v>
      </c>
      <c r="L74" s="58"/>
      <c r="M74" s="12"/>
      <c r="N74" s="12"/>
      <c r="O74" s="13"/>
      <c r="P74" s="14"/>
      <c r="Q74" s="12"/>
      <c r="R74" s="13"/>
      <c r="S74" s="14"/>
      <c r="T74" s="12">
        <v>0.17</v>
      </c>
      <c r="U74" s="13"/>
      <c r="V74" s="14">
        <f>T74*H68</f>
        <v>52.955000000000005</v>
      </c>
      <c r="W74" s="7"/>
      <c r="X74" s="1"/>
      <c r="Y74" s="1">
        <f t="shared" si="9"/>
        <v>52.955000000000005</v>
      </c>
    </row>
    <row r="75" spans="3:25" x14ac:dyDescent="0.25">
      <c r="C75" s="2"/>
      <c r="D75" s="2"/>
      <c r="E75" s="17"/>
      <c r="F75" s="25" t="s">
        <v>28</v>
      </c>
      <c r="G75" s="4"/>
      <c r="H75" s="4"/>
      <c r="I75" s="4">
        <f>43*3*6</f>
        <v>774</v>
      </c>
      <c r="J75" s="4"/>
      <c r="K75" s="4" t="s">
        <v>25</v>
      </c>
      <c r="L75" s="58">
        <f>276.67*1000</f>
        <v>276670</v>
      </c>
      <c r="M75" s="4">
        <f>L75*I75</f>
        <v>214142580</v>
      </c>
      <c r="N75" s="4"/>
      <c r="O75" s="6">
        <v>1.5900000000000001E-2</v>
      </c>
      <c r="P75" s="3">
        <f t="shared" si="6"/>
        <v>3404867.0220000003</v>
      </c>
      <c r="Q75" s="4"/>
      <c r="R75" s="6">
        <v>2.4500000000000001E-2</v>
      </c>
      <c r="S75" s="3">
        <f t="shared" si="7"/>
        <v>5246493.21</v>
      </c>
      <c r="T75" s="4"/>
      <c r="U75" s="6">
        <v>1.4E-3</v>
      </c>
      <c r="V75" s="3">
        <f t="shared" si="8"/>
        <v>299799.61200000002</v>
      </c>
      <c r="W75" s="7" t="e">
        <f>#REF!+#REF!+#REF!+#REF!+#REF!+#REF!+#REF!+#REF!+#REF!+#REF!+#REF!+#REF!</f>
        <v>#REF!</v>
      </c>
      <c r="X75" s="1" t="e">
        <f>#REF!+#REF!+#REF!+#REF!+#REF!+#REF!+#REF!+#REF!+#REF!+#REF!+#REF!+#REF!-M75</f>
        <v>#REF!</v>
      </c>
      <c r="Y75" s="1">
        <f t="shared" si="9"/>
        <v>8951159.8440000005</v>
      </c>
    </row>
    <row r="76" spans="3:25" x14ac:dyDescent="0.25">
      <c r="C76" s="2"/>
      <c r="D76" s="2"/>
      <c r="E76" s="17"/>
      <c r="F76" s="66" t="s">
        <v>56</v>
      </c>
      <c r="G76" s="12"/>
      <c r="H76" s="12"/>
      <c r="I76" s="12"/>
      <c r="J76" s="12"/>
      <c r="K76" s="12" t="s">
        <v>57</v>
      </c>
      <c r="L76" s="58"/>
      <c r="M76" s="12"/>
      <c r="N76" s="12"/>
      <c r="O76" s="13"/>
      <c r="P76" s="14"/>
      <c r="Q76" s="12"/>
      <c r="R76" s="13"/>
      <c r="S76" s="14"/>
      <c r="T76" s="12"/>
      <c r="U76" s="13"/>
      <c r="V76" s="14"/>
      <c r="W76" s="7"/>
      <c r="X76" s="1"/>
      <c r="Y76" s="1">
        <f t="shared" si="9"/>
        <v>0</v>
      </c>
    </row>
    <row r="77" spans="3:25" x14ac:dyDescent="0.25">
      <c r="C77" s="2"/>
      <c r="D77" s="2"/>
      <c r="E77" s="17"/>
      <c r="F77" s="66" t="s">
        <v>56</v>
      </c>
      <c r="G77" s="12"/>
      <c r="H77" s="12"/>
      <c r="I77" s="12"/>
      <c r="J77" s="12"/>
      <c r="K77" s="12" t="s">
        <v>58</v>
      </c>
      <c r="L77" s="58"/>
      <c r="M77" s="12"/>
      <c r="N77" s="12">
        <v>4.58</v>
      </c>
      <c r="O77" s="13"/>
      <c r="P77" s="14">
        <f>N77*I75</f>
        <v>3544.92</v>
      </c>
      <c r="Q77" s="12"/>
      <c r="R77" s="13"/>
      <c r="S77" s="14"/>
      <c r="T77" s="12"/>
      <c r="U77" s="13"/>
      <c r="V77" s="14"/>
      <c r="W77" s="7"/>
      <c r="X77" s="1"/>
      <c r="Y77" s="1">
        <f t="shared" si="9"/>
        <v>3544.92</v>
      </c>
    </row>
    <row r="78" spans="3:25" x14ac:dyDescent="0.25">
      <c r="C78" s="2"/>
      <c r="D78" s="2"/>
      <c r="E78" s="17"/>
      <c r="F78" s="66" t="s">
        <v>56</v>
      </c>
      <c r="G78" s="12"/>
      <c r="H78" s="12"/>
      <c r="I78" s="12"/>
      <c r="J78" s="12"/>
      <c r="K78" s="12" t="s">
        <v>59</v>
      </c>
      <c r="L78" s="58"/>
      <c r="M78" s="12"/>
      <c r="N78" s="12"/>
      <c r="O78" s="13"/>
      <c r="P78" s="14"/>
      <c r="Q78" s="12">
        <v>6.59</v>
      </c>
      <c r="R78" s="13"/>
      <c r="S78" s="14">
        <f>Q78*I75</f>
        <v>5100.66</v>
      </c>
      <c r="T78" s="12"/>
      <c r="U78" s="13"/>
      <c r="V78" s="14"/>
      <c r="W78" s="7"/>
      <c r="X78" s="1"/>
      <c r="Y78" s="1">
        <f t="shared" si="9"/>
        <v>5100.66</v>
      </c>
    </row>
    <row r="79" spans="3:25" x14ac:dyDescent="0.25">
      <c r="C79" s="2"/>
      <c r="D79" s="2"/>
      <c r="E79" s="17"/>
      <c r="F79" s="66" t="s">
        <v>56</v>
      </c>
      <c r="G79" s="12"/>
      <c r="H79" s="12"/>
      <c r="I79" s="12"/>
      <c r="J79" s="12"/>
      <c r="K79" s="12" t="s">
        <v>60</v>
      </c>
      <c r="L79" s="58"/>
      <c r="M79" s="12"/>
      <c r="N79" s="12"/>
      <c r="O79" s="13"/>
      <c r="P79" s="14"/>
      <c r="Q79" s="12"/>
      <c r="R79" s="13"/>
      <c r="S79" s="14"/>
      <c r="T79" s="12"/>
      <c r="U79" s="13"/>
      <c r="V79" s="14"/>
      <c r="W79" s="7"/>
      <c r="X79" s="1"/>
      <c r="Y79" s="1">
        <f t="shared" si="9"/>
        <v>0</v>
      </c>
    </row>
    <row r="80" spans="3:25" x14ac:dyDescent="0.25">
      <c r="C80" s="2"/>
      <c r="D80" s="2"/>
      <c r="E80" s="17"/>
      <c r="F80" s="66" t="s">
        <v>56</v>
      </c>
      <c r="G80" s="12"/>
      <c r="H80" s="12"/>
      <c r="I80" s="12"/>
      <c r="J80" s="12"/>
      <c r="K80" s="12" t="s">
        <v>61</v>
      </c>
      <c r="L80" s="58"/>
      <c r="M80" s="12"/>
      <c r="N80" s="12"/>
      <c r="O80" s="13"/>
      <c r="P80" s="14"/>
      <c r="Q80" s="12"/>
      <c r="R80" s="13"/>
      <c r="S80" s="14"/>
      <c r="T80" s="12"/>
      <c r="U80" s="13"/>
      <c r="V80" s="14"/>
      <c r="W80" s="7"/>
      <c r="X80" s="1"/>
      <c r="Y80" s="1">
        <f t="shared" si="9"/>
        <v>0</v>
      </c>
    </row>
    <row r="81" spans="3:25" x14ac:dyDescent="0.25">
      <c r="C81" s="2"/>
      <c r="D81" s="2"/>
      <c r="E81" s="17"/>
      <c r="F81" s="66" t="s">
        <v>56</v>
      </c>
      <c r="G81" s="12"/>
      <c r="H81" s="12"/>
      <c r="I81" s="12"/>
      <c r="J81" s="12"/>
      <c r="K81" s="12" t="s">
        <v>62</v>
      </c>
      <c r="L81" s="58"/>
      <c r="M81" s="12"/>
      <c r="N81" s="12"/>
      <c r="O81" s="13"/>
      <c r="P81" s="14"/>
      <c r="Q81" s="12"/>
      <c r="R81" s="13"/>
      <c r="S81" s="14"/>
      <c r="T81" s="12">
        <v>0.39</v>
      </c>
      <c r="U81" s="13"/>
      <c r="V81" s="14">
        <f>T81*I75</f>
        <v>301.86</v>
      </c>
      <c r="W81" s="7"/>
      <c r="X81" s="1"/>
      <c r="Y81" s="1">
        <f t="shared" si="9"/>
        <v>301.86</v>
      </c>
    </row>
    <row r="82" spans="3:25" x14ac:dyDescent="0.25">
      <c r="C82" s="2"/>
      <c r="D82" s="2"/>
      <c r="E82" s="17"/>
      <c r="F82" s="44" t="s">
        <v>29</v>
      </c>
      <c r="G82" s="4"/>
      <c r="H82" s="4"/>
      <c r="I82" s="4"/>
      <c r="J82" s="4">
        <v>9500</v>
      </c>
      <c r="K82" s="4" t="s">
        <v>37</v>
      </c>
      <c r="L82" s="58">
        <v>382230</v>
      </c>
      <c r="M82" s="4">
        <f>J82*L82/100</f>
        <v>36311850</v>
      </c>
      <c r="N82" s="9"/>
      <c r="O82" s="10">
        <v>1.8100000000000002E-2</v>
      </c>
      <c r="P82" s="3">
        <f t="shared" si="6"/>
        <v>657244.4850000001</v>
      </c>
      <c r="Q82" s="9"/>
      <c r="R82" s="10">
        <v>3.0000000000000001E-3</v>
      </c>
      <c r="S82" s="3">
        <f t="shared" si="7"/>
        <v>108935.55</v>
      </c>
      <c r="T82" s="9"/>
      <c r="U82" s="10">
        <v>1.4E-3</v>
      </c>
      <c r="V82" s="3">
        <f t="shared" si="8"/>
        <v>50836.59</v>
      </c>
      <c r="W82" s="7" t="e">
        <f>#REF!+#REF!+#REF!+#REF!+#REF!+#REF!+#REF!+#REF!+#REF!+#REF!+#REF!+#REF!</f>
        <v>#REF!</v>
      </c>
      <c r="X82" s="1" t="e">
        <f>#REF!+#REF!+#REF!+#REF!+#REF!+#REF!+#REF!+#REF!+#REF!+#REF!+#REF!+#REF!-M82</f>
        <v>#REF!</v>
      </c>
      <c r="Y82" s="1">
        <f t="shared" si="9"/>
        <v>817016.62500000012</v>
      </c>
    </row>
    <row r="83" spans="3:25" x14ac:dyDescent="0.25">
      <c r="C83" s="2"/>
      <c r="D83" s="2"/>
      <c r="E83" s="17"/>
      <c r="F83" s="66" t="s">
        <v>56</v>
      </c>
      <c r="G83" s="4"/>
      <c r="H83" s="4"/>
      <c r="I83" s="4"/>
      <c r="J83" s="4"/>
      <c r="K83" s="4" t="s">
        <v>63</v>
      </c>
      <c r="L83" s="58"/>
      <c r="M83" s="4"/>
      <c r="N83" s="4">
        <v>4.67</v>
      </c>
      <c r="O83" s="6"/>
      <c r="P83" s="3">
        <f>N83*J82</f>
        <v>44365</v>
      </c>
      <c r="Q83" s="4"/>
      <c r="R83" s="6"/>
      <c r="S83" s="3"/>
      <c r="T83" s="4"/>
      <c r="U83" s="6"/>
      <c r="V83" s="3"/>
      <c r="W83" s="7"/>
      <c r="X83" s="1"/>
      <c r="Y83" s="1">
        <f t="shared" si="9"/>
        <v>44365</v>
      </c>
    </row>
    <row r="84" spans="3:25" x14ac:dyDescent="0.25">
      <c r="C84" s="2"/>
      <c r="D84" s="2"/>
      <c r="E84" s="17"/>
      <c r="F84" s="66" t="s">
        <v>56</v>
      </c>
      <c r="G84" s="4"/>
      <c r="H84" s="4"/>
      <c r="I84" s="4"/>
      <c r="J84" s="4"/>
      <c r="K84" s="4" t="s">
        <v>64</v>
      </c>
      <c r="L84" s="58"/>
      <c r="M84" s="4"/>
      <c r="N84" s="4"/>
      <c r="O84" s="6"/>
      <c r="P84" s="3"/>
      <c r="Q84" s="4">
        <v>0.86</v>
      </c>
      <c r="R84" s="6"/>
      <c r="S84" s="3">
        <f>Q84*J82</f>
        <v>8170</v>
      </c>
      <c r="T84" s="4"/>
      <c r="U84" s="6"/>
      <c r="V84" s="3"/>
      <c r="W84" s="7"/>
      <c r="X84" s="1"/>
      <c r="Y84" s="1">
        <f t="shared" si="9"/>
        <v>8170</v>
      </c>
    </row>
    <row r="85" spans="3:25" x14ac:dyDescent="0.25">
      <c r="C85" s="2"/>
      <c r="D85" s="2"/>
      <c r="E85" s="17"/>
      <c r="F85" s="66" t="s">
        <v>56</v>
      </c>
      <c r="G85" s="12"/>
      <c r="H85" s="12"/>
      <c r="I85" s="12"/>
      <c r="J85" s="12"/>
      <c r="K85" s="12" t="s">
        <v>65</v>
      </c>
      <c r="L85" s="58"/>
      <c r="M85" s="12"/>
      <c r="N85" s="12"/>
      <c r="O85" s="13"/>
      <c r="P85" s="14"/>
      <c r="Q85" s="12"/>
      <c r="R85" s="13"/>
      <c r="S85" s="14"/>
      <c r="T85" s="12"/>
      <c r="U85" s="13"/>
      <c r="V85" s="14"/>
      <c r="W85" s="7"/>
      <c r="X85" s="1"/>
      <c r="Y85" s="1">
        <f t="shared" si="9"/>
        <v>0</v>
      </c>
    </row>
    <row r="86" spans="3:25" x14ac:dyDescent="0.25">
      <c r="C86" s="2"/>
      <c r="D86" s="2"/>
      <c r="E86" s="17"/>
      <c r="F86" s="66" t="s">
        <v>56</v>
      </c>
      <c r="G86" s="12"/>
      <c r="H86" s="12"/>
      <c r="I86" s="12"/>
      <c r="J86" s="12"/>
      <c r="K86" s="12" t="s">
        <v>66</v>
      </c>
      <c r="L86" s="58"/>
      <c r="M86" s="12"/>
      <c r="N86" s="12"/>
      <c r="O86" s="13"/>
      <c r="P86" s="14"/>
      <c r="Q86" s="12"/>
      <c r="R86" s="13"/>
      <c r="S86" s="14"/>
      <c r="T86" s="12"/>
      <c r="U86" s="13"/>
      <c r="V86" s="14"/>
      <c r="W86" s="7"/>
      <c r="X86" s="1"/>
      <c r="Y86" s="1">
        <f t="shared" si="9"/>
        <v>0</v>
      </c>
    </row>
    <row r="87" spans="3:25" x14ac:dyDescent="0.25">
      <c r="C87" s="2"/>
      <c r="D87" s="2"/>
      <c r="E87" s="17"/>
      <c r="F87" s="66" t="s">
        <v>56</v>
      </c>
      <c r="G87" s="12"/>
      <c r="H87" s="12"/>
      <c r="I87" s="12"/>
      <c r="J87" s="12"/>
      <c r="K87" s="12" t="s">
        <v>67</v>
      </c>
      <c r="L87" s="58"/>
      <c r="M87" s="12"/>
      <c r="N87" s="12"/>
      <c r="O87" s="13"/>
      <c r="P87" s="14"/>
      <c r="Q87" s="12"/>
      <c r="R87" s="13"/>
      <c r="S87" s="14"/>
      <c r="T87" s="12">
        <v>0.53</v>
      </c>
      <c r="U87" s="13"/>
      <c r="V87" s="14">
        <f>T87*J82</f>
        <v>5035</v>
      </c>
      <c r="W87" s="7"/>
      <c r="X87" s="1"/>
      <c r="Y87" s="1">
        <f t="shared" si="9"/>
        <v>5035</v>
      </c>
    </row>
    <row r="88" spans="3:25" ht="16.5" thickBot="1" x14ac:dyDescent="0.3">
      <c r="C88" s="15"/>
      <c r="D88" s="15"/>
      <c r="E88" s="19"/>
      <c r="F88" s="26" t="s">
        <v>6</v>
      </c>
      <c r="G88" s="27"/>
      <c r="H88" s="27"/>
      <c r="I88" s="27"/>
      <c r="J88" s="27"/>
      <c r="K88" s="27"/>
      <c r="L88" s="59"/>
      <c r="M88" s="27">
        <f>SUM(M61:M87)</f>
        <v>2182783365</v>
      </c>
      <c r="N88" s="27"/>
      <c r="O88" s="28"/>
      <c r="P88" s="27">
        <f>SUM(P61:P87)</f>
        <v>34095803.204500005</v>
      </c>
      <c r="Q88" s="27"/>
      <c r="R88" s="28"/>
      <c r="S88" s="27">
        <f>SUM(S61:S87)</f>
        <v>47156869.846000001</v>
      </c>
      <c r="T88" s="27"/>
      <c r="U88" s="28"/>
      <c r="V88" s="27">
        <f>SUM(V61:V87)</f>
        <v>3063868.7760000001</v>
      </c>
      <c r="W88" s="7" t="e">
        <f>#REF!+#REF!+#REF!+#REF!+#REF!+#REF!+#REF!+#REF!+#REF!+#REF!+#REF!+#REF!</f>
        <v>#REF!</v>
      </c>
      <c r="X88" s="1" t="e">
        <f>#REF!+#REF!+#REF!+#REF!+#REF!+#REF!+#REF!+#REF!+#REF!+#REF!+#REF!+#REF!-M88</f>
        <v>#REF!</v>
      </c>
      <c r="Y88" s="1">
        <f t="shared" si="9"/>
        <v>84316541.826499999</v>
      </c>
    </row>
    <row r="89" spans="3:25" x14ac:dyDescent="0.25">
      <c r="C89" s="2" t="s">
        <v>0</v>
      </c>
      <c r="D89" s="2" t="s">
        <v>1</v>
      </c>
      <c r="E89" s="17" t="s">
        <v>2</v>
      </c>
      <c r="F89" s="20" t="s">
        <v>7</v>
      </c>
      <c r="G89" s="21">
        <v>25763.599999999999</v>
      </c>
      <c r="H89" s="21">
        <v>16424</v>
      </c>
      <c r="I89" s="21"/>
      <c r="J89" s="21"/>
      <c r="K89" s="21" t="s">
        <v>21</v>
      </c>
      <c r="L89" s="60">
        <f>179.64*1000</f>
        <v>179640</v>
      </c>
      <c r="M89" s="21">
        <f>L89*H89</f>
        <v>2950407360</v>
      </c>
      <c r="N89" s="21"/>
      <c r="O89" s="22">
        <v>1.6E-2</v>
      </c>
      <c r="P89" s="23">
        <f t="shared" ref="P89:P96" si="10">O89*$M89</f>
        <v>47206517.759999998</v>
      </c>
      <c r="Q89" s="21"/>
      <c r="R89" s="22">
        <v>2.3300000000000001E-2</v>
      </c>
      <c r="S89" s="3">
        <f t="shared" ref="S89:S96" si="11">R89*$M89</f>
        <v>68744491.488000005</v>
      </c>
      <c r="T89" s="21"/>
      <c r="U89" s="22">
        <v>1.4E-3</v>
      </c>
      <c r="V89" s="3">
        <f t="shared" ref="V89:V96" si="12">U89*$M89</f>
        <v>4130570.304</v>
      </c>
      <c r="W89" s="7" t="e">
        <f>#REF!+#REF!+#REF!+#REF!+#REF!+#REF!+#REF!+#REF!+#REF!+#REF!+#REF!+#REF!</f>
        <v>#REF!</v>
      </c>
      <c r="X89" s="1" t="e">
        <f>#REF!+#REF!+#REF!+#REF!+#REF!+#REF!+#REF!+#REF!+#REF!+#REF!+#REF!+#REF!-M89</f>
        <v>#REF!</v>
      </c>
      <c r="Y89" s="1">
        <f t="shared" si="9"/>
        <v>120081579.55200002</v>
      </c>
    </row>
    <row r="90" spans="3:25" x14ac:dyDescent="0.25">
      <c r="C90" s="2"/>
      <c r="D90" s="2"/>
      <c r="E90" s="17"/>
      <c r="F90" s="66" t="s">
        <v>48</v>
      </c>
      <c r="G90" s="12"/>
      <c r="H90" s="12"/>
      <c r="I90" s="12"/>
      <c r="J90" s="12"/>
      <c r="K90" s="12" t="s">
        <v>49</v>
      </c>
      <c r="L90" s="58"/>
      <c r="M90" s="12"/>
      <c r="N90" s="12"/>
      <c r="O90" s="13"/>
      <c r="P90" s="14"/>
      <c r="Q90" s="12"/>
      <c r="R90" s="13"/>
      <c r="S90" s="14"/>
      <c r="T90" s="12"/>
      <c r="U90" s="13"/>
      <c r="V90" s="14"/>
      <c r="W90" s="7"/>
      <c r="X90" s="1"/>
      <c r="Y90" s="1">
        <f t="shared" si="9"/>
        <v>0</v>
      </c>
    </row>
    <row r="91" spans="3:25" x14ac:dyDescent="0.25">
      <c r="C91" s="2"/>
      <c r="D91" s="2"/>
      <c r="E91" s="17"/>
      <c r="F91" s="66" t="s">
        <v>48</v>
      </c>
      <c r="G91" s="12"/>
      <c r="H91" s="12"/>
      <c r="I91" s="12"/>
      <c r="J91" s="12"/>
      <c r="K91" s="12" t="s">
        <v>51</v>
      </c>
      <c r="L91" s="58"/>
      <c r="M91" s="12"/>
      <c r="N91" s="12">
        <v>3.29</v>
      </c>
      <c r="O91" s="13"/>
      <c r="P91" s="14">
        <f>N91*H89</f>
        <v>54034.96</v>
      </c>
      <c r="Q91" s="12"/>
      <c r="R91" s="13"/>
      <c r="S91" s="14"/>
      <c r="T91" s="12"/>
      <c r="U91" s="13"/>
      <c r="V91" s="14"/>
      <c r="W91" s="7"/>
      <c r="X91" s="1"/>
      <c r="Y91" s="1">
        <f t="shared" si="9"/>
        <v>54034.96</v>
      </c>
    </row>
    <row r="92" spans="3:25" x14ac:dyDescent="0.25">
      <c r="C92" s="2"/>
      <c r="D92" s="2"/>
      <c r="E92" s="17"/>
      <c r="F92" s="66" t="s">
        <v>48</v>
      </c>
      <c r="G92" s="12"/>
      <c r="H92" s="12"/>
      <c r="I92" s="12"/>
      <c r="J92" s="12"/>
      <c r="K92" s="12" t="s">
        <v>52</v>
      </c>
      <c r="L92" s="58"/>
      <c r="M92" s="12"/>
      <c r="N92" s="12"/>
      <c r="O92" s="13"/>
      <c r="P92" s="14"/>
      <c r="Q92" s="12">
        <v>4.7300000000000004</v>
      </c>
      <c r="R92" s="13"/>
      <c r="S92" s="14">
        <f>Q92*H89</f>
        <v>77685.52</v>
      </c>
      <c r="T92" s="12"/>
      <c r="U92" s="13"/>
      <c r="V92" s="14"/>
      <c r="W92" s="7"/>
      <c r="X92" s="1"/>
      <c r="Y92" s="1">
        <f t="shared" si="9"/>
        <v>77685.52</v>
      </c>
    </row>
    <row r="93" spans="3:25" x14ac:dyDescent="0.25">
      <c r="C93" s="2"/>
      <c r="D93" s="2"/>
      <c r="E93" s="17"/>
      <c r="F93" s="66" t="s">
        <v>48</v>
      </c>
      <c r="G93" s="12"/>
      <c r="H93" s="12"/>
      <c r="I93" s="12"/>
      <c r="J93" s="12"/>
      <c r="K93" s="12" t="s">
        <v>53</v>
      </c>
      <c r="L93" s="58"/>
      <c r="M93" s="12"/>
      <c r="N93" s="12"/>
      <c r="O93" s="13"/>
      <c r="P93" s="14"/>
      <c r="Q93" s="12"/>
      <c r="R93" s="13"/>
      <c r="S93" s="14"/>
      <c r="T93" s="12"/>
      <c r="U93" s="13"/>
      <c r="V93" s="14"/>
      <c r="W93" s="7"/>
      <c r="X93" s="1"/>
      <c r="Y93" s="1">
        <f t="shared" si="9"/>
        <v>0</v>
      </c>
    </row>
    <row r="94" spans="3:25" x14ac:dyDescent="0.25">
      <c r="C94" s="2"/>
      <c r="D94" s="2"/>
      <c r="E94" s="17"/>
      <c r="F94" s="66" t="s">
        <v>48</v>
      </c>
      <c r="G94" s="12"/>
      <c r="H94" s="12"/>
      <c r="I94" s="12"/>
      <c r="J94" s="12"/>
      <c r="K94" s="12" t="s">
        <v>54</v>
      </c>
      <c r="L94" s="58"/>
      <c r="M94" s="12"/>
      <c r="N94" s="12"/>
      <c r="O94" s="13"/>
      <c r="P94" s="14"/>
      <c r="Q94" s="12"/>
      <c r="R94" s="13"/>
      <c r="S94" s="14"/>
      <c r="T94" s="12"/>
      <c r="U94" s="13"/>
      <c r="V94" s="14"/>
      <c r="W94" s="7"/>
      <c r="X94" s="1"/>
      <c r="Y94" s="1">
        <f t="shared" si="9"/>
        <v>0</v>
      </c>
    </row>
    <row r="95" spans="3:25" x14ac:dyDescent="0.25">
      <c r="C95" s="2"/>
      <c r="D95" s="2"/>
      <c r="E95" s="17"/>
      <c r="F95" s="66" t="s">
        <v>48</v>
      </c>
      <c r="G95" s="12"/>
      <c r="H95" s="12"/>
      <c r="I95" s="12"/>
      <c r="J95" s="12"/>
      <c r="K95" s="12" t="s">
        <v>55</v>
      </c>
      <c r="L95" s="58"/>
      <c r="M95" s="12"/>
      <c r="N95" s="12"/>
      <c r="O95" s="13"/>
      <c r="P95" s="14"/>
      <c r="Q95" s="12"/>
      <c r="R95" s="13"/>
      <c r="S95" s="14"/>
      <c r="T95" s="12">
        <v>0.25</v>
      </c>
      <c r="U95" s="13"/>
      <c r="V95" s="14">
        <f>T95*H89</f>
        <v>4106</v>
      </c>
      <c r="W95" s="7"/>
      <c r="X95" s="1"/>
      <c r="Y95" s="1">
        <f t="shared" si="9"/>
        <v>4106</v>
      </c>
    </row>
    <row r="96" spans="3:25" ht="31.5" x14ac:dyDescent="0.25">
      <c r="C96" s="2"/>
      <c r="D96" s="2"/>
      <c r="E96" s="17"/>
      <c r="F96" s="24" t="s">
        <v>30</v>
      </c>
      <c r="G96" s="4"/>
      <c r="H96" s="4">
        <v>495.5</v>
      </c>
      <c r="I96" s="4"/>
      <c r="J96" s="12"/>
      <c r="K96" s="12" t="s">
        <v>21</v>
      </c>
      <c r="L96" s="61">
        <f>125.81*1000</f>
        <v>125810</v>
      </c>
      <c r="M96" s="12">
        <f>L96*H96</f>
        <v>62338855</v>
      </c>
      <c r="N96" s="12"/>
      <c r="O96" s="13">
        <v>1.6E-2</v>
      </c>
      <c r="P96" s="14">
        <f t="shared" si="10"/>
        <v>997421.68</v>
      </c>
      <c r="Q96" s="12"/>
      <c r="R96" s="13">
        <v>2.3300000000000001E-2</v>
      </c>
      <c r="S96" s="3">
        <f t="shared" si="11"/>
        <v>1452495.3215000001</v>
      </c>
      <c r="T96" s="12"/>
      <c r="U96" s="13">
        <v>1.4E-3</v>
      </c>
      <c r="V96" s="3">
        <f t="shared" si="12"/>
        <v>87274.396999999997</v>
      </c>
      <c r="W96" s="7" t="e">
        <f>#REF!+#REF!+#REF!+#REF!+#REF!+#REF!+#REF!+#REF!+#REF!+#REF!+#REF!+#REF!</f>
        <v>#REF!</v>
      </c>
      <c r="X96" s="1" t="e">
        <f>#REF!+#REF!+#REF!+#REF!+#REF!+#REF!+#REF!+#REF!+#REF!+#REF!+#REF!+#REF!-M96</f>
        <v>#REF!</v>
      </c>
      <c r="Y96" s="1">
        <f t="shared" si="9"/>
        <v>2537191.3985000001</v>
      </c>
    </row>
    <row r="97" spans="3:25" x14ac:dyDescent="0.25">
      <c r="C97" s="2"/>
      <c r="D97" s="2"/>
      <c r="E97" s="17"/>
      <c r="F97" s="66" t="s">
        <v>48</v>
      </c>
      <c r="G97" s="12"/>
      <c r="H97" s="12"/>
      <c r="I97" s="12"/>
      <c r="J97" s="12"/>
      <c r="K97" s="12" t="s">
        <v>49</v>
      </c>
      <c r="L97" s="58"/>
      <c r="M97" s="12"/>
      <c r="N97" s="12"/>
      <c r="O97" s="13"/>
      <c r="P97" s="14"/>
      <c r="Q97" s="12"/>
      <c r="R97" s="13"/>
      <c r="S97" s="14"/>
      <c r="T97" s="12"/>
      <c r="U97" s="13"/>
      <c r="V97" s="14"/>
      <c r="W97" s="7"/>
      <c r="X97" s="1"/>
      <c r="Y97" s="1">
        <f t="shared" si="9"/>
        <v>0</v>
      </c>
    </row>
    <row r="98" spans="3:25" x14ac:dyDescent="0.25">
      <c r="C98" s="2"/>
      <c r="D98" s="2"/>
      <c r="E98" s="17"/>
      <c r="F98" s="66" t="s">
        <v>48</v>
      </c>
      <c r="G98" s="12"/>
      <c r="H98" s="12"/>
      <c r="I98" s="12"/>
      <c r="J98" s="12"/>
      <c r="K98" s="12" t="s">
        <v>51</v>
      </c>
      <c r="L98" s="58"/>
      <c r="M98" s="12"/>
      <c r="N98" s="12">
        <v>2.25</v>
      </c>
      <c r="O98" s="13"/>
      <c r="P98" s="14">
        <f>N98*H96</f>
        <v>1114.875</v>
      </c>
      <c r="Q98" s="12"/>
      <c r="R98" s="13"/>
      <c r="S98" s="14"/>
      <c r="T98" s="12"/>
      <c r="U98" s="13"/>
      <c r="V98" s="14"/>
      <c r="W98" s="7"/>
      <c r="X98" s="1"/>
      <c r="Y98" s="1">
        <f t="shared" si="9"/>
        <v>1114.875</v>
      </c>
    </row>
    <row r="99" spans="3:25" x14ac:dyDescent="0.25">
      <c r="C99" s="2"/>
      <c r="D99" s="2"/>
      <c r="E99" s="17"/>
      <c r="F99" s="66" t="s">
        <v>48</v>
      </c>
      <c r="G99" s="12"/>
      <c r="H99" s="12"/>
      <c r="I99" s="12"/>
      <c r="J99" s="12"/>
      <c r="K99" s="12" t="s">
        <v>52</v>
      </c>
      <c r="L99" s="58"/>
      <c r="M99" s="12"/>
      <c r="N99" s="12"/>
      <c r="O99" s="13"/>
      <c r="P99" s="14"/>
      <c r="Q99" s="12">
        <v>3.24</v>
      </c>
      <c r="R99" s="13"/>
      <c r="S99" s="14">
        <f>Q99*H96</f>
        <v>1605.42</v>
      </c>
      <c r="T99" s="12"/>
      <c r="U99" s="13"/>
      <c r="V99" s="14"/>
      <c r="W99" s="7"/>
      <c r="X99" s="1"/>
      <c r="Y99" s="1">
        <f t="shared" si="9"/>
        <v>1605.42</v>
      </c>
    </row>
    <row r="100" spans="3:25" x14ac:dyDescent="0.25">
      <c r="C100" s="2"/>
      <c r="D100" s="2"/>
      <c r="E100" s="17"/>
      <c r="F100" s="66" t="s">
        <v>48</v>
      </c>
      <c r="G100" s="12"/>
      <c r="H100" s="12"/>
      <c r="I100" s="12"/>
      <c r="J100" s="12"/>
      <c r="K100" s="12" t="s">
        <v>53</v>
      </c>
      <c r="L100" s="58"/>
      <c r="M100" s="12"/>
      <c r="N100" s="12"/>
      <c r="O100" s="13"/>
      <c r="P100" s="14"/>
      <c r="Q100" s="12"/>
      <c r="R100" s="13"/>
      <c r="S100" s="14"/>
      <c r="T100" s="12"/>
      <c r="U100" s="13"/>
      <c r="V100" s="14"/>
      <c r="W100" s="7"/>
      <c r="X100" s="1"/>
      <c r="Y100" s="1">
        <f t="shared" si="9"/>
        <v>0</v>
      </c>
    </row>
    <row r="101" spans="3:25" x14ac:dyDescent="0.25">
      <c r="C101" s="2"/>
      <c r="D101" s="2"/>
      <c r="E101" s="17"/>
      <c r="F101" s="66" t="s">
        <v>48</v>
      </c>
      <c r="G101" s="12"/>
      <c r="H101" s="12"/>
      <c r="I101" s="12"/>
      <c r="J101" s="12"/>
      <c r="K101" s="12" t="s">
        <v>54</v>
      </c>
      <c r="L101" s="58"/>
      <c r="M101" s="12"/>
      <c r="N101" s="12"/>
      <c r="O101" s="13"/>
      <c r="P101" s="14"/>
      <c r="Q101" s="12"/>
      <c r="R101" s="13"/>
      <c r="S101" s="14"/>
      <c r="T101" s="12"/>
      <c r="U101" s="13"/>
      <c r="V101" s="14"/>
      <c r="W101" s="7"/>
      <c r="X101" s="1"/>
      <c r="Y101" s="1">
        <f t="shared" si="9"/>
        <v>0</v>
      </c>
    </row>
    <row r="102" spans="3:25" x14ac:dyDescent="0.25">
      <c r="C102" s="2"/>
      <c r="D102" s="2"/>
      <c r="E102" s="17"/>
      <c r="F102" s="66" t="s">
        <v>48</v>
      </c>
      <c r="G102" s="12"/>
      <c r="H102" s="12"/>
      <c r="I102" s="12"/>
      <c r="J102" s="12"/>
      <c r="K102" s="12" t="s">
        <v>55</v>
      </c>
      <c r="L102" s="58"/>
      <c r="M102" s="12"/>
      <c r="N102" s="12"/>
      <c r="O102" s="13"/>
      <c r="P102" s="14"/>
      <c r="Q102" s="12"/>
      <c r="R102" s="13"/>
      <c r="S102" s="14"/>
      <c r="T102" s="12">
        <v>0.17</v>
      </c>
      <c r="U102" s="13"/>
      <c r="V102" s="14">
        <f>T102*H96</f>
        <v>84.234999999999999</v>
      </c>
      <c r="W102" s="7"/>
      <c r="X102" s="1"/>
      <c r="Y102" s="1">
        <f t="shared" si="9"/>
        <v>84.234999999999999</v>
      </c>
    </row>
    <row r="103" spans="3:25" x14ac:dyDescent="0.25">
      <c r="C103" s="2"/>
      <c r="D103" s="2"/>
      <c r="E103" s="17"/>
      <c r="F103" s="25" t="s">
        <v>28</v>
      </c>
      <c r="G103" s="4"/>
      <c r="H103" s="4"/>
      <c r="I103" s="4">
        <f>77*3*6</f>
        <v>1386</v>
      </c>
      <c r="J103" s="4"/>
      <c r="K103" s="4" t="s">
        <v>25</v>
      </c>
      <c r="L103" s="58">
        <f>276.67*1000</f>
        <v>276670</v>
      </c>
      <c r="M103" s="4">
        <f>L103*I103</f>
        <v>383464620</v>
      </c>
      <c r="N103" s="4"/>
      <c r="O103" s="6">
        <v>1.5900000000000001E-2</v>
      </c>
      <c r="P103" s="3">
        <f t="shared" ref="P103:P110" si="13">O103*$M103</f>
        <v>6097087.4580000006</v>
      </c>
      <c r="Q103" s="4"/>
      <c r="R103" s="6">
        <v>2.4500000000000001E-2</v>
      </c>
      <c r="S103" s="3">
        <f t="shared" ref="S103:S110" si="14">R103*$M103</f>
        <v>9394883.1899999995</v>
      </c>
      <c r="T103" s="4"/>
      <c r="U103" s="6">
        <v>1.4E-3</v>
      </c>
      <c r="V103" s="3">
        <f t="shared" ref="V103:V110" si="15">U103*$M103</f>
        <v>536850.46799999999</v>
      </c>
      <c r="W103" s="7" t="e">
        <f>#REF!+#REF!+#REF!+#REF!+#REF!+#REF!+#REF!+#REF!+#REF!+#REF!+#REF!+#REF!</f>
        <v>#REF!</v>
      </c>
      <c r="X103" s="1" t="e">
        <f>#REF!+#REF!+#REF!+#REF!+#REF!+#REF!+#REF!+#REF!+#REF!+#REF!+#REF!+#REF!-M103</f>
        <v>#REF!</v>
      </c>
      <c r="Y103" s="1">
        <f t="shared" si="9"/>
        <v>16028821.116</v>
      </c>
    </row>
    <row r="104" spans="3:25" x14ac:dyDescent="0.25">
      <c r="C104" s="2"/>
      <c r="D104" s="2"/>
      <c r="E104" s="17"/>
      <c r="F104" s="66" t="s">
        <v>56</v>
      </c>
      <c r="G104" s="12"/>
      <c r="H104" s="12"/>
      <c r="I104" s="12"/>
      <c r="J104" s="12"/>
      <c r="K104" s="12" t="s">
        <v>57</v>
      </c>
      <c r="L104" s="58"/>
      <c r="M104" s="12"/>
      <c r="N104" s="12"/>
      <c r="O104" s="13"/>
      <c r="P104" s="14"/>
      <c r="Q104" s="12"/>
      <c r="R104" s="13"/>
      <c r="S104" s="14"/>
      <c r="T104" s="12"/>
      <c r="U104" s="13"/>
      <c r="V104" s="14"/>
      <c r="W104" s="7"/>
      <c r="X104" s="1"/>
      <c r="Y104" s="1">
        <f t="shared" si="9"/>
        <v>0</v>
      </c>
    </row>
    <row r="105" spans="3:25" x14ac:dyDescent="0.25">
      <c r="C105" s="2"/>
      <c r="D105" s="2"/>
      <c r="E105" s="17"/>
      <c r="F105" s="66" t="s">
        <v>56</v>
      </c>
      <c r="G105" s="12"/>
      <c r="H105" s="12"/>
      <c r="I105" s="12"/>
      <c r="J105" s="12"/>
      <c r="K105" s="12" t="s">
        <v>58</v>
      </c>
      <c r="L105" s="58"/>
      <c r="M105" s="12"/>
      <c r="N105" s="12">
        <v>4.58</v>
      </c>
      <c r="O105" s="13"/>
      <c r="P105" s="14">
        <f>N105*I103</f>
        <v>6347.88</v>
      </c>
      <c r="Q105" s="12"/>
      <c r="R105" s="13"/>
      <c r="S105" s="14"/>
      <c r="T105" s="12"/>
      <c r="U105" s="13"/>
      <c r="V105" s="14"/>
      <c r="W105" s="7"/>
      <c r="X105" s="1"/>
      <c r="Y105" s="1">
        <f t="shared" si="9"/>
        <v>6347.88</v>
      </c>
    </row>
    <row r="106" spans="3:25" x14ac:dyDescent="0.25">
      <c r="C106" s="2"/>
      <c r="D106" s="2"/>
      <c r="E106" s="17"/>
      <c r="F106" s="66" t="s">
        <v>56</v>
      </c>
      <c r="G106" s="12"/>
      <c r="H106" s="12"/>
      <c r="I106" s="12"/>
      <c r="J106" s="12"/>
      <c r="K106" s="12" t="s">
        <v>59</v>
      </c>
      <c r="L106" s="58"/>
      <c r="M106" s="12"/>
      <c r="N106" s="12"/>
      <c r="O106" s="13"/>
      <c r="P106" s="14"/>
      <c r="Q106" s="12">
        <v>6.59</v>
      </c>
      <c r="R106" s="13"/>
      <c r="S106" s="14">
        <f>Q106*I103</f>
        <v>9133.74</v>
      </c>
      <c r="T106" s="12"/>
      <c r="U106" s="13"/>
      <c r="V106" s="14"/>
      <c r="W106" s="7"/>
      <c r="X106" s="1"/>
      <c r="Y106" s="1">
        <f t="shared" si="9"/>
        <v>9133.74</v>
      </c>
    </row>
    <row r="107" spans="3:25" x14ac:dyDescent="0.25">
      <c r="C107" s="2"/>
      <c r="D107" s="2"/>
      <c r="E107" s="17"/>
      <c r="F107" s="66" t="s">
        <v>56</v>
      </c>
      <c r="G107" s="12"/>
      <c r="H107" s="12"/>
      <c r="I107" s="12"/>
      <c r="J107" s="12"/>
      <c r="K107" s="12" t="s">
        <v>60</v>
      </c>
      <c r="L107" s="58"/>
      <c r="M107" s="12"/>
      <c r="N107" s="12"/>
      <c r="O107" s="13"/>
      <c r="P107" s="14"/>
      <c r="Q107" s="12"/>
      <c r="R107" s="13"/>
      <c r="S107" s="14"/>
      <c r="T107" s="12"/>
      <c r="U107" s="13"/>
      <c r="V107" s="14"/>
      <c r="W107" s="7"/>
      <c r="X107" s="1"/>
      <c r="Y107" s="1">
        <f t="shared" si="9"/>
        <v>0</v>
      </c>
    </row>
    <row r="108" spans="3:25" x14ac:dyDescent="0.25">
      <c r="C108" s="2"/>
      <c r="D108" s="2"/>
      <c r="E108" s="17"/>
      <c r="F108" s="66" t="s">
        <v>56</v>
      </c>
      <c r="G108" s="12"/>
      <c r="H108" s="12"/>
      <c r="I108" s="12"/>
      <c r="J108" s="12"/>
      <c r="K108" s="12" t="s">
        <v>61</v>
      </c>
      <c r="L108" s="58"/>
      <c r="M108" s="12"/>
      <c r="N108" s="12"/>
      <c r="O108" s="13"/>
      <c r="P108" s="14"/>
      <c r="Q108" s="12"/>
      <c r="R108" s="13"/>
      <c r="S108" s="14"/>
      <c r="T108" s="12"/>
      <c r="U108" s="13"/>
      <c r="V108" s="14"/>
      <c r="W108" s="7"/>
      <c r="X108" s="1"/>
      <c r="Y108" s="1">
        <f t="shared" si="9"/>
        <v>0</v>
      </c>
    </row>
    <row r="109" spans="3:25" x14ac:dyDescent="0.25">
      <c r="C109" s="2"/>
      <c r="D109" s="2"/>
      <c r="E109" s="17"/>
      <c r="F109" s="66" t="s">
        <v>56</v>
      </c>
      <c r="G109" s="12"/>
      <c r="H109" s="12"/>
      <c r="I109" s="12"/>
      <c r="J109" s="12"/>
      <c r="K109" s="12" t="s">
        <v>62</v>
      </c>
      <c r="L109" s="58"/>
      <c r="M109" s="12"/>
      <c r="N109" s="12"/>
      <c r="O109" s="13"/>
      <c r="P109" s="14"/>
      <c r="Q109" s="12"/>
      <c r="R109" s="13"/>
      <c r="S109" s="14"/>
      <c r="T109" s="12">
        <v>0.39</v>
      </c>
      <c r="U109" s="13"/>
      <c r="V109" s="14">
        <f>T109*I103</f>
        <v>540.54</v>
      </c>
      <c r="W109" s="7"/>
      <c r="X109" s="1"/>
      <c r="Y109" s="1">
        <f t="shared" si="9"/>
        <v>540.54</v>
      </c>
    </row>
    <row r="110" spans="3:25" x14ac:dyDescent="0.25">
      <c r="C110" s="2"/>
      <c r="D110" s="2"/>
      <c r="E110" s="17"/>
      <c r="F110" s="44" t="s">
        <v>29</v>
      </c>
      <c r="G110" s="4"/>
      <c r="H110" s="4"/>
      <c r="I110" s="4"/>
      <c r="J110" s="4">
        <v>9500</v>
      </c>
      <c r="K110" s="4" t="s">
        <v>37</v>
      </c>
      <c r="L110" s="58">
        <v>382230</v>
      </c>
      <c r="M110" s="4">
        <f>J110*L110/100</f>
        <v>36311850</v>
      </c>
      <c r="N110" s="9"/>
      <c r="O110" s="10">
        <v>1.8100000000000002E-2</v>
      </c>
      <c r="P110" s="3">
        <f t="shared" si="13"/>
        <v>657244.4850000001</v>
      </c>
      <c r="Q110" s="9"/>
      <c r="R110" s="10">
        <v>3.0000000000000001E-3</v>
      </c>
      <c r="S110" s="3">
        <f t="shared" si="14"/>
        <v>108935.55</v>
      </c>
      <c r="T110" s="9"/>
      <c r="U110" s="10">
        <v>1.4E-3</v>
      </c>
      <c r="V110" s="3">
        <f t="shared" si="15"/>
        <v>50836.59</v>
      </c>
      <c r="W110" s="7" t="e">
        <f>#REF!+#REF!+#REF!+#REF!+#REF!+#REF!+#REF!+#REF!+#REF!+#REF!+#REF!+#REF!</f>
        <v>#REF!</v>
      </c>
      <c r="X110" s="1" t="e">
        <f>#REF!+#REF!+#REF!+#REF!+#REF!+#REF!+#REF!+#REF!+#REF!+#REF!+#REF!+#REF!-M110</f>
        <v>#REF!</v>
      </c>
      <c r="Y110" s="1">
        <f t="shared" si="9"/>
        <v>817016.62500000012</v>
      </c>
    </row>
    <row r="111" spans="3:25" x14ac:dyDescent="0.25">
      <c r="C111" s="2"/>
      <c r="D111" s="2"/>
      <c r="E111" s="17"/>
      <c r="F111" s="66" t="s">
        <v>56</v>
      </c>
      <c r="G111" s="4"/>
      <c r="H111" s="4"/>
      <c r="I111" s="4"/>
      <c r="J111" s="4"/>
      <c r="K111" s="4" t="s">
        <v>63</v>
      </c>
      <c r="L111" s="58"/>
      <c r="M111" s="4"/>
      <c r="N111" s="4">
        <v>4.67</v>
      </c>
      <c r="O111" s="6"/>
      <c r="P111" s="3">
        <f>N111*J110</f>
        <v>44365</v>
      </c>
      <c r="Q111" s="4"/>
      <c r="R111" s="6"/>
      <c r="S111" s="3"/>
      <c r="T111" s="4"/>
      <c r="U111" s="6"/>
      <c r="V111" s="3"/>
      <c r="W111" s="7"/>
      <c r="X111" s="1"/>
      <c r="Y111" s="1">
        <f t="shared" si="9"/>
        <v>44365</v>
      </c>
    </row>
    <row r="112" spans="3:25" x14ac:dyDescent="0.25">
      <c r="C112" s="2"/>
      <c r="D112" s="2"/>
      <c r="E112" s="17"/>
      <c r="F112" s="66" t="s">
        <v>56</v>
      </c>
      <c r="G112" s="4"/>
      <c r="H112" s="4"/>
      <c r="I112" s="4"/>
      <c r="J112" s="4"/>
      <c r="K112" s="4" t="s">
        <v>64</v>
      </c>
      <c r="L112" s="58"/>
      <c r="M112" s="4"/>
      <c r="N112" s="4"/>
      <c r="O112" s="6"/>
      <c r="P112" s="3"/>
      <c r="Q112" s="4">
        <v>0.86</v>
      </c>
      <c r="R112" s="6"/>
      <c r="S112" s="3">
        <f>Q112*J110</f>
        <v>8170</v>
      </c>
      <c r="T112" s="4"/>
      <c r="U112" s="6"/>
      <c r="V112" s="3"/>
      <c r="W112" s="7"/>
      <c r="X112" s="1"/>
      <c r="Y112" s="1">
        <f t="shared" si="9"/>
        <v>8170</v>
      </c>
    </row>
    <row r="113" spans="3:25" x14ac:dyDescent="0.25">
      <c r="C113" s="2"/>
      <c r="D113" s="2"/>
      <c r="E113" s="17"/>
      <c r="F113" s="66" t="s">
        <v>56</v>
      </c>
      <c r="G113" s="12"/>
      <c r="H113" s="12"/>
      <c r="I113" s="12"/>
      <c r="J113" s="12"/>
      <c r="K113" s="12" t="s">
        <v>65</v>
      </c>
      <c r="L113" s="58"/>
      <c r="M113" s="12"/>
      <c r="N113" s="12"/>
      <c r="O113" s="13"/>
      <c r="P113" s="14"/>
      <c r="Q113" s="12"/>
      <c r="R113" s="13"/>
      <c r="S113" s="14"/>
      <c r="T113" s="12"/>
      <c r="U113" s="13"/>
      <c r="V113" s="14"/>
      <c r="W113" s="7"/>
      <c r="X113" s="1"/>
      <c r="Y113" s="1">
        <f t="shared" si="9"/>
        <v>0</v>
      </c>
    </row>
    <row r="114" spans="3:25" x14ac:dyDescent="0.25">
      <c r="C114" s="2"/>
      <c r="D114" s="2"/>
      <c r="E114" s="17"/>
      <c r="F114" s="66" t="s">
        <v>56</v>
      </c>
      <c r="G114" s="12"/>
      <c r="H114" s="12"/>
      <c r="I114" s="12"/>
      <c r="J114" s="12"/>
      <c r="K114" s="12" t="s">
        <v>66</v>
      </c>
      <c r="L114" s="58"/>
      <c r="M114" s="12"/>
      <c r="N114" s="12"/>
      <c r="O114" s="13"/>
      <c r="P114" s="14"/>
      <c r="Q114" s="12"/>
      <c r="R114" s="13"/>
      <c r="S114" s="14"/>
      <c r="T114" s="12"/>
      <c r="U114" s="13"/>
      <c r="V114" s="14"/>
      <c r="W114" s="7"/>
      <c r="X114" s="1"/>
      <c r="Y114" s="1">
        <f t="shared" si="9"/>
        <v>0</v>
      </c>
    </row>
    <row r="115" spans="3:25" x14ac:dyDescent="0.25">
      <c r="C115" s="2"/>
      <c r="D115" s="2"/>
      <c r="E115" s="17"/>
      <c r="F115" s="66" t="s">
        <v>56</v>
      </c>
      <c r="G115" s="12"/>
      <c r="H115" s="12"/>
      <c r="I115" s="12"/>
      <c r="J115" s="12"/>
      <c r="K115" s="12" t="s">
        <v>67</v>
      </c>
      <c r="L115" s="58"/>
      <c r="M115" s="12"/>
      <c r="N115" s="12"/>
      <c r="O115" s="13"/>
      <c r="P115" s="14"/>
      <c r="Q115" s="12"/>
      <c r="R115" s="13"/>
      <c r="S115" s="14"/>
      <c r="T115" s="12">
        <v>0.53</v>
      </c>
      <c r="U115" s="13"/>
      <c r="V115" s="14">
        <f>T115*J110</f>
        <v>5035</v>
      </c>
      <c r="W115" s="7"/>
      <c r="X115" s="1"/>
      <c r="Y115" s="1">
        <f t="shared" si="9"/>
        <v>5035</v>
      </c>
    </row>
    <row r="116" spans="3:25" ht="16.5" thickBot="1" x14ac:dyDescent="0.3">
      <c r="C116" s="15"/>
      <c r="D116" s="15"/>
      <c r="E116" s="19"/>
      <c r="F116" s="26" t="s">
        <v>7</v>
      </c>
      <c r="G116" s="27"/>
      <c r="H116" s="27"/>
      <c r="I116" s="27"/>
      <c r="J116" s="27"/>
      <c r="K116" s="27"/>
      <c r="L116" s="59"/>
      <c r="M116" s="27">
        <f>SUM(M89:M115)</f>
        <v>3432522685</v>
      </c>
      <c r="N116" s="27"/>
      <c r="O116" s="28"/>
      <c r="P116" s="27">
        <f>SUM(P89:P115)</f>
        <v>55064134.097999997</v>
      </c>
      <c r="Q116" s="27"/>
      <c r="R116" s="28"/>
      <c r="S116" s="27">
        <f>SUM(S89:S115)</f>
        <v>79797400.229499996</v>
      </c>
      <c r="T116" s="27"/>
      <c r="U116" s="28"/>
      <c r="V116" s="27">
        <f>SUM(V89:V115)</f>
        <v>4815297.5340000009</v>
      </c>
      <c r="W116" s="7" t="e">
        <f>#REF!+#REF!+#REF!+#REF!+#REF!+#REF!+#REF!+#REF!+#REF!+#REF!+#REF!+#REF!</f>
        <v>#REF!</v>
      </c>
      <c r="X116" s="1" t="e">
        <f>#REF!+#REF!+#REF!+#REF!+#REF!+#REF!+#REF!+#REF!+#REF!+#REF!+#REF!+#REF!-M116</f>
        <v>#REF!</v>
      </c>
      <c r="Y116" s="1">
        <f t="shared" si="9"/>
        <v>139676831.86149999</v>
      </c>
    </row>
    <row r="117" spans="3:25" x14ac:dyDescent="0.25">
      <c r="C117" s="2" t="s">
        <v>0</v>
      </c>
      <c r="D117" s="2" t="s">
        <v>1</v>
      </c>
      <c r="E117" s="17" t="s">
        <v>2</v>
      </c>
      <c r="F117" s="20" t="s">
        <v>8</v>
      </c>
      <c r="G117" s="21">
        <v>20505</v>
      </c>
      <c r="H117" s="21">
        <v>13072</v>
      </c>
      <c r="I117" s="21">
        <v>0</v>
      </c>
      <c r="J117" s="21"/>
      <c r="K117" s="21" t="s">
        <v>21</v>
      </c>
      <c r="L117" s="60">
        <f>179.64*1000</f>
        <v>179640</v>
      </c>
      <c r="M117" s="21">
        <f>L117*H117</f>
        <v>2348254080</v>
      </c>
      <c r="N117" s="21"/>
      <c r="O117" s="22">
        <v>1.6E-2</v>
      </c>
      <c r="P117" s="23">
        <f t="shared" ref="P117:P124" si="16">O117*$M117</f>
        <v>37572065.280000001</v>
      </c>
      <c r="Q117" s="21"/>
      <c r="R117" s="22">
        <v>2.3300000000000001E-2</v>
      </c>
      <c r="S117" s="3">
        <f t="shared" ref="S117:S124" si="17">R117*$M117</f>
        <v>54714320.064000003</v>
      </c>
      <c r="T117" s="21"/>
      <c r="U117" s="22">
        <v>1.4E-3</v>
      </c>
      <c r="V117" s="3">
        <f t="shared" ref="V117:V124" si="18">U117*$M117</f>
        <v>3287555.7119999998</v>
      </c>
      <c r="W117" s="7" t="e">
        <f>#REF!+#REF!+#REF!+#REF!+#REF!+#REF!+#REF!+#REF!+#REF!+#REF!+#REF!+#REF!</f>
        <v>#REF!</v>
      </c>
      <c r="X117" s="1" t="e">
        <f>#REF!+#REF!+#REF!+#REF!+#REF!+#REF!+#REF!+#REF!+#REF!+#REF!+#REF!+#REF!-M117</f>
        <v>#REF!</v>
      </c>
      <c r="Y117" s="1">
        <f t="shared" si="9"/>
        <v>95573941.055999994</v>
      </c>
    </row>
    <row r="118" spans="3:25" x14ac:dyDescent="0.25">
      <c r="C118" s="2"/>
      <c r="D118" s="2"/>
      <c r="E118" s="17"/>
      <c r="F118" s="66" t="s">
        <v>48</v>
      </c>
      <c r="G118" s="12"/>
      <c r="H118" s="12"/>
      <c r="I118" s="12"/>
      <c r="J118" s="12"/>
      <c r="K118" s="12" t="s">
        <v>49</v>
      </c>
      <c r="L118" s="58"/>
      <c r="M118" s="12"/>
      <c r="N118" s="12"/>
      <c r="O118" s="13"/>
      <c r="P118" s="14"/>
      <c r="Q118" s="12"/>
      <c r="R118" s="13"/>
      <c r="S118" s="14"/>
      <c r="T118" s="12"/>
      <c r="U118" s="13"/>
      <c r="V118" s="14"/>
      <c r="W118" s="7"/>
      <c r="X118" s="1"/>
      <c r="Y118" s="1">
        <f t="shared" si="9"/>
        <v>0</v>
      </c>
    </row>
    <row r="119" spans="3:25" x14ac:dyDescent="0.25">
      <c r="C119" s="2"/>
      <c r="D119" s="2"/>
      <c r="E119" s="17"/>
      <c r="F119" s="66" t="s">
        <v>48</v>
      </c>
      <c r="G119" s="12"/>
      <c r="H119" s="12"/>
      <c r="I119" s="12"/>
      <c r="J119" s="12"/>
      <c r="K119" s="12" t="s">
        <v>51</v>
      </c>
      <c r="L119" s="58"/>
      <c r="M119" s="12"/>
      <c r="N119" s="12">
        <v>3.29</v>
      </c>
      <c r="O119" s="13"/>
      <c r="P119" s="14">
        <f>N119*H117</f>
        <v>43006.879999999997</v>
      </c>
      <c r="Q119" s="12"/>
      <c r="R119" s="13"/>
      <c r="S119" s="14"/>
      <c r="T119" s="12"/>
      <c r="U119" s="13"/>
      <c r="V119" s="14"/>
      <c r="W119" s="7"/>
      <c r="X119" s="1"/>
      <c r="Y119" s="1">
        <f t="shared" si="9"/>
        <v>43006.879999999997</v>
      </c>
    </row>
    <row r="120" spans="3:25" x14ac:dyDescent="0.25">
      <c r="C120" s="2"/>
      <c r="D120" s="2"/>
      <c r="E120" s="17"/>
      <c r="F120" s="66" t="s">
        <v>48</v>
      </c>
      <c r="G120" s="12"/>
      <c r="H120" s="12"/>
      <c r="I120" s="12"/>
      <c r="J120" s="12"/>
      <c r="K120" s="12" t="s">
        <v>52</v>
      </c>
      <c r="L120" s="58"/>
      <c r="M120" s="12"/>
      <c r="N120" s="12"/>
      <c r="O120" s="13"/>
      <c r="P120" s="14"/>
      <c r="Q120" s="12">
        <v>4.7300000000000004</v>
      </c>
      <c r="R120" s="13"/>
      <c r="S120" s="14">
        <f>Q120*H117</f>
        <v>61830.560000000005</v>
      </c>
      <c r="T120" s="12"/>
      <c r="U120" s="13"/>
      <c r="V120" s="14"/>
      <c r="W120" s="7"/>
      <c r="X120" s="1"/>
      <c r="Y120" s="1">
        <f t="shared" si="9"/>
        <v>61830.560000000005</v>
      </c>
    </row>
    <row r="121" spans="3:25" x14ac:dyDescent="0.25">
      <c r="C121" s="2"/>
      <c r="D121" s="2"/>
      <c r="E121" s="17"/>
      <c r="F121" s="66" t="s">
        <v>48</v>
      </c>
      <c r="G121" s="12"/>
      <c r="H121" s="12"/>
      <c r="I121" s="12"/>
      <c r="J121" s="12"/>
      <c r="K121" s="12" t="s">
        <v>53</v>
      </c>
      <c r="L121" s="58"/>
      <c r="M121" s="12"/>
      <c r="N121" s="12"/>
      <c r="O121" s="13"/>
      <c r="P121" s="14"/>
      <c r="Q121" s="12"/>
      <c r="R121" s="13"/>
      <c r="S121" s="14"/>
      <c r="T121" s="12"/>
      <c r="U121" s="13"/>
      <c r="V121" s="14"/>
      <c r="W121" s="7"/>
      <c r="X121" s="1"/>
      <c r="Y121" s="1">
        <f t="shared" si="9"/>
        <v>0</v>
      </c>
    </row>
    <row r="122" spans="3:25" x14ac:dyDescent="0.25">
      <c r="C122" s="2"/>
      <c r="D122" s="2"/>
      <c r="E122" s="17"/>
      <c r="F122" s="66" t="s">
        <v>48</v>
      </c>
      <c r="G122" s="12"/>
      <c r="H122" s="12"/>
      <c r="I122" s="12"/>
      <c r="J122" s="12"/>
      <c r="K122" s="12" t="s">
        <v>54</v>
      </c>
      <c r="L122" s="58"/>
      <c r="M122" s="12"/>
      <c r="N122" s="12"/>
      <c r="O122" s="13"/>
      <c r="P122" s="14"/>
      <c r="Q122" s="12"/>
      <c r="R122" s="13"/>
      <c r="S122" s="14"/>
      <c r="T122" s="12"/>
      <c r="U122" s="13"/>
      <c r="V122" s="14"/>
      <c r="W122" s="7"/>
      <c r="X122" s="1"/>
      <c r="Y122" s="1">
        <f t="shared" si="9"/>
        <v>0</v>
      </c>
    </row>
    <row r="123" spans="3:25" x14ac:dyDescent="0.25">
      <c r="C123" s="2"/>
      <c r="D123" s="2"/>
      <c r="E123" s="17"/>
      <c r="F123" s="66" t="s">
        <v>48</v>
      </c>
      <c r="G123" s="12"/>
      <c r="H123" s="12"/>
      <c r="I123" s="12"/>
      <c r="J123" s="12"/>
      <c r="K123" s="12" t="s">
        <v>55</v>
      </c>
      <c r="L123" s="58"/>
      <c r="M123" s="12"/>
      <c r="N123" s="12"/>
      <c r="O123" s="13"/>
      <c r="P123" s="14"/>
      <c r="Q123" s="12"/>
      <c r="R123" s="13"/>
      <c r="S123" s="14"/>
      <c r="T123" s="12">
        <v>0.25</v>
      </c>
      <c r="U123" s="13"/>
      <c r="V123" s="14">
        <f>T123*H117</f>
        <v>3268</v>
      </c>
      <c r="W123" s="7"/>
      <c r="X123" s="1"/>
      <c r="Y123" s="1">
        <f t="shared" si="9"/>
        <v>3268</v>
      </c>
    </row>
    <row r="124" spans="3:25" ht="31.5" x14ac:dyDescent="0.25">
      <c r="C124" s="2"/>
      <c r="D124" s="2"/>
      <c r="E124" s="17"/>
      <c r="F124" s="24" t="s">
        <v>30</v>
      </c>
      <c r="G124" s="4"/>
      <c r="H124" s="4">
        <v>394.5</v>
      </c>
      <c r="I124" s="4"/>
      <c r="J124" s="12"/>
      <c r="K124" s="12" t="s">
        <v>21</v>
      </c>
      <c r="L124" s="61">
        <f>125.81*1000</f>
        <v>125810</v>
      </c>
      <c r="M124" s="12">
        <f>L124*H124</f>
        <v>49632045</v>
      </c>
      <c r="N124" s="12"/>
      <c r="O124" s="13">
        <v>1.6E-2</v>
      </c>
      <c r="P124" s="14">
        <f t="shared" si="16"/>
        <v>794112.72</v>
      </c>
      <c r="Q124" s="12"/>
      <c r="R124" s="13">
        <v>2.3300000000000001E-2</v>
      </c>
      <c r="S124" s="3">
        <f t="shared" si="17"/>
        <v>1156426.6485000001</v>
      </c>
      <c r="T124" s="12"/>
      <c r="U124" s="13">
        <v>1.4E-3</v>
      </c>
      <c r="V124" s="3">
        <f t="shared" si="18"/>
        <v>69484.862999999998</v>
      </c>
      <c r="W124" s="7" t="e">
        <f>#REF!+#REF!+#REF!+#REF!+#REF!+#REF!+#REF!+#REF!+#REF!+#REF!+#REF!+#REF!</f>
        <v>#REF!</v>
      </c>
      <c r="X124" s="1" t="e">
        <f>#REF!+#REF!+#REF!+#REF!+#REF!+#REF!+#REF!+#REF!+#REF!+#REF!+#REF!+#REF!-M124</f>
        <v>#REF!</v>
      </c>
      <c r="Y124" s="1">
        <f t="shared" si="9"/>
        <v>2020024.2315</v>
      </c>
    </row>
    <row r="125" spans="3:25" x14ac:dyDescent="0.25">
      <c r="C125" s="2"/>
      <c r="D125" s="2"/>
      <c r="E125" s="17"/>
      <c r="F125" s="66" t="s">
        <v>48</v>
      </c>
      <c r="G125" s="12"/>
      <c r="H125" s="12"/>
      <c r="I125" s="12"/>
      <c r="J125" s="12"/>
      <c r="K125" s="12" t="s">
        <v>49</v>
      </c>
      <c r="L125" s="58"/>
      <c r="M125" s="12"/>
      <c r="N125" s="12"/>
      <c r="O125" s="13"/>
      <c r="P125" s="14"/>
      <c r="Q125" s="12"/>
      <c r="R125" s="13"/>
      <c r="S125" s="14"/>
      <c r="T125" s="12"/>
      <c r="U125" s="13"/>
      <c r="V125" s="14"/>
      <c r="W125" s="7"/>
      <c r="X125" s="1"/>
      <c r="Y125" s="1">
        <f t="shared" si="9"/>
        <v>0</v>
      </c>
    </row>
    <row r="126" spans="3:25" x14ac:dyDescent="0.25">
      <c r="C126" s="2"/>
      <c r="D126" s="2"/>
      <c r="E126" s="17"/>
      <c r="F126" s="66" t="s">
        <v>48</v>
      </c>
      <c r="G126" s="12"/>
      <c r="H126" s="12"/>
      <c r="I126" s="12"/>
      <c r="J126" s="12"/>
      <c r="K126" s="12" t="s">
        <v>51</v>
      </c>
      <c r="L126" s="58"/>
      <c r="M126" s="12"/>
      <c r="N126" s="12">
        <v>2.25</v>
      </c>
      <c r="O126" s="13"/>
      <c r="P126" s="14">
        <f>N126*H124</f>
        <v>887.625</v>
      </c>
      <c r="Q126" s="12"/>
      <c r="R126" s="13"/>
      <c r="S126" s="14"/>
      <c r="T126" s="12"/>
      <c r="U126" s="13"/>
      <c r="V126" s="14"/>
      <c r="W126" s="7"/>
      <c r="X126" s="1"/>
      <c r="Y126" s="1">
        <f t="shared" si="9"/>
        <v>887.625</v>
      </c>
    </row>
    <row r="127" spans="3:25" x14ac:dyDescent="0.25">
      <c r="C127" s="2"/>
      <c r="D127" s="2"/>
      <c r="E127" s="17"/>
      <c r="F127" s="66" t="s">
        <v>48</v>
      </c>
      <c r="G127" s="12"/>
      <c r="H127" s="12"/>
      <c r="I127" s="12"/>
      <c r="J127" s="12"/>
      <c r="K127" s="12" t="s">
        <v>52</v>
      </c>
      <c r="L127" s="58"/>
      <c r="M127" s="12"/>
      <c r="N127" s="12"/>
      <c r="O127" s="13"/>
      <c r="P127" s="14"/>
      <c r="Q127" s="12">
        <v>3.24</v>
      </c>
      <c r="R127" s="13"/>
      <c r="S127" s="14">
        <f>Q127*H124</f>
        <v>1278.18</v>
      </c>
      <c r="T127" s="12"/>
      <c r="U127" s="13"/>
      <c r="V127" s="14"/>
      <c r="W127" s="7"/>
      <c r="X127" s="1"/>
      <c r="Y127" s="1">
        <f t="shared" si="9"/>
        <v>1278.18</v>
      </c>
    </row>
    <row r="128" spans="3:25" x14ac:dyDescent="0.25">
      <c r="C128" s="2"/>
      <c r="D128" s="2"/>
      <c r="E128" s="17"/>
      <c r="F128" s="66" t="s">
        <v>48</v>
      </c>
      <c r="G128" s="12"/>
      <c r="H128" s="12"/>
      <c r="I128" s="12"/>
      <c r="J128" s="12"/>
      <c r="K128" s="12" t="s">
        <v>53</v>
      </c>
      <c r="L128" s="58"/>
      <c r="M128" s="12"/>
      <c r="N128" s="12"/>
      <c r="O128" s="13"/>
      <c r="P128" s="14"/>
      <c r="Q128" s="12"/>
      <c r="R128" s="13"/>
      <c r="S128" s="14"/>
      <c r="T128" s="12"/>
      <c r="U128" s="13"/>
      <c r="V128" s="14"/>
      <c r="W128" s="7"/>
      <c r="X128" s="1"/>
      <c r="Y128" s="1">
        <f t="shared" si="9"/>
        <v>0</v>
      </c>
    </row>
    <row r="129" spans="3:25" x14ac:dyDescent="0.25">
      <c r="C129" s="2"/>
      <c r="D129" s="2"/>
      <c r="E129" s="17"/>
      <c r="F129" s="66" t="s">
        <v>48</v>
      </c>
      <c r="G129" s="12"/>
      <c r="H129" s="12"/>
      <c r="I129" s="12"/>
      <c r="J129" s="12"/>
      <c r="K129" s="12" t="s">
        <v>54</v>
      </c>
      <c r="L129" s="58"/>
      <c r="M129" s="12"/>
      <c r="N129" s="12"/>
      <c r="O129" s="13"/>
      <c r="P129" s="14"/>
      <c r="Q129" s="12"/>
      <c r="R129" s="13"/>
      <c r="S129" s="14"/>
      <c r="T129" s="12"/>
      <c r="U129" s="13"/>
      <c r="V129" s="14"/>
      <c r="W129" s="7"/>
      <c r="X129" s="1"/>
      <c r="Y129" s="1">
        <f t="shared" si="9"/>
        <v>0</v>
      </c>
    </row>
    <row r="130" spans="3:25" x14ac:dyDescent="0.25">
      <c r="C130" s="2"/>
      <c r="D130" s="2"/>
      <c r="E130" s="17"/>
      <c r="F130" s="66" t="s">
        <v>48</v>
      </c>
      <c r="G130" s="12"/>
      <c r="H130" s="12"/>
      <c r="I130" s="12"/>
      <c r="J130" s="12"/>
      <c r="K130" s="12" t="s">
        <v>55</v>
      </c>
      <c r="L130" s="58"/>
      <c r="M130" s="12"/>
      <c r="N130" s="12"/>
      <c r="O130" s="13"/>
      <c r="P130" s="14"/>
      <c r="Q130" s="12"/>
      <c r="R130" s="13"/>
      <c r="S130" s="14"/>
      <c r="T130" s="12">
        <v>0.17</v>
      </c>
      <c r="U130" s="13"/>
      <c r="V130" s="14">
        <f>T130*H124</f>
        <v>67.064999999999998</v>
      </c>
      <c r="W130" s="7"/>
      <c r="X130" s="1"/>
      <c r="Y130" s="1">
        <f t="shared" si="9"/>
        <v>67.064999999999998</v>
      </c>
    </row>
    <row r="131" spans="3:25" x14ac:dyDescent="0.25">
      <c r="C131" s="2"/>
      <c r="D131" s="2"/>
      <c r="E131" s="17"/>
      <c r="F131" s="25" t="s">
        <v>28</v>
      </c>
      <c r="G131" s="4"/>
      <c r="H131" s="4"/>
      <c r="I131" s="4"/>
      <c r="J131" s="4"/>
      <c r="K131" s="4" t="s">
        <v>25</v>
      </c>
      <c r="L131" s="58">
        <f>276.67*1000</f>
        <v>276670</v>
      </c>
      <c r="M131" s="4">
        <f>L131*I131</f>
        <v>0</v>
      </c>
      <c r="N131" s="4"/>
      <c r="O131" s="6">
        <v>1.5900000000000001E-2</v>
      </c>
      <c r="P131" s="3">
        <f t="shared" ref="P131:P138" si="19">O131*$M131</f>
        <v>0</v>
      </c>
      <c r="Q131" s="4"/>
      <c r="R131" s="6">
        <v>2.4500000000000001E-2</v>
      </c>
      <c r="S131" s="3">
        <f t="shared" ref="S131:S138" si="20">R131*$M131</f>
        <v>0</v>
      </c>
      <c r="T131" s="4"/>
      <c r="U131" s="6">
        <v>1.4E-3</v>
      </c>
      <c r="V131" s="3">
        <f t="shared" ref="V131:V138" si="21">U131*$M131</f>
        <v>0</v>
      </c>
      <c r="W131" s="7" t="e">
        <f>#REF!+#REF!+#REF!+#REF!+#REF!+#REF!+#REF!+#REF!+#REF!+#REF!+#REF!+#REF!</f>
        <v>#REF!</v>
      </c>
      <c r="X131" s="1" t="e">
        <f>#REF!+#REF!+#REF!+#REF!+#REF!+#REF!+#REF!+#REF!+#REF!+#REF!+#REF!+#REF!-M131</f>
        <v>#REF!</v>
      </c>
      <c r="Y131" s="1">
        <f t="shared" si="9"/>
        <v>0</v>
      </c>
    </row>
    <row r="132" spans="3:25" x14ac:dyDescent="0.25">
      <c r="C132" s="2"/>
      <c r="D132" s="2"/>
      <c r="E132" s="17"/>
      <c r="F132" s="66" t="s">
        <v>56</v>
      </c>
      <c r="G132" s="12"/>
      <c r="H132" s="12"/>
      <c r="I132" s="12"/>
      <c r="J132" s="12"/>
      <c r="K132" s="12" t="s">
        <v>57</v>
      </c>
      <c r="L132" s="58"/>
      <c r="M132" s="12"/>
      <c r="N132" s="12"/>
      <c r="O132" s="13"/>
      <c r="P132" s="14"/>
      <c r="Q132" s="12"/>
      <c r="R132" s="13"/>
      <c r="S132" s="14"/>
      <c r="T132" s="12"/>
      <c r="U132" s="13"/>
      <c r="V132" s="14"/>
      <c r="W132" s="7"/>
      <c r="X132" s="1"/>
      <c r="Y132" s="1">
        <f t="shared" si="9"/>
        <v>0</v>
      </c>
    </row>
    <row r="133" spans="3:25" x14ac:dyDescent="0.25">
      <c r="C133" s="2"/>
      <c r="D133" s="2"/>
      <c r="E133" s="17"/>
      <c r="F133" s="66" t="s">
        <v>56</v>
      </c>
      <c r="G133" s="12"/>
      <c r="H133" s="12"/>
      <c r="I133" s="12"/>
      <c r="J133" s="12"/>
      <c r="K133" s="12" t="s">
        <v>58</v>
      </c>
      <c r="L133" s="58"/>
      <c r="M133" s="12"/>
      <c r="N133" s="12">
        <v>4.58</v>
      </c>
      <c r="O133" s="13"/>
      <c r="P133" s="14">
        <f>N133*I131</f>
        <v>0</v>
      </c>
      <c r="Q133" s="12"/>
      <c r="R133" s="13"/>
      <c r="S133" s="14"/>
      <c r="T133" s="12"/>
      <c r="U133" s="13"/>
      <c r="V133" s="14"/>
      <c r="W133" s="7"/>
      <c r="X133" s="1"/>
      <c r="Y133" s="1">
        <f t="shared" si="9"/>
        <v>0</v>
      </c>
    </row>
    <row r="134" spans="3:25" x14ac:dyDescent="0.25">
      <c r="C134" s="2"/>
      <c r="D134" s="2"/>
      <c r="E134" s="17"/>
      <c r="F134" s="66" t="s">
        <v>56</v>
      </c>
      <c r="G134" s="12"/>
      <c r="H134" s="12"/>
      <c r="I134" s="12"/>
      <c r="J134" s="12"/>
      <c r="K134" s="12" t="s">
        <v>59</v>
      </c>
      <c r="L134" s="58"/>
      <c r="M134" s="12"/>
      <c r="N134" s="12"/>
      <c r="O134" s="13"/>
      <c r="P134" s="14"/>
      <c r="Q134" s="12">
        <v>6.59</v>
      </c>
      <c r="R134" s="13"/>
      <c r="S134" s="14">
        <f>Q134*I131</f>
        <v>0</v>
      </c>
      <c r="T134" s="12"/>
      <c r="U134" s="13"/>
      <c r="V134" s="14"/>
      <c r="W134" s="7"/>
      <c r="X134" s="1"/>
      <c r="Y134" s="1">
        <f t="shared" ref="Y134:Y197" si="22">V134+S134+P134</f>
        <v>0</v>
      </c>
    </row>
    <row r="135" spans="3:25" x14ac:dyDescent="0.25">
      <c r="C135" s="2"/>
      <c r="D135" s="2"/>
      <c r="E135" s="17"/>
      <c r="F135" s="66" t="s">
        <v>56</v>
      </c>
      <c r="G135" s="12"/>
      <c r="H135" s="12"/>
      <c r="I135" s="12"/>
      <c r="J135" s="12"/>
      <c r="K135" s="12" t="s">
        <v>60</v>
      </c>
      <c r="L135" s="58"/>
      <c r="M135" s="12"/>
      <c r="N135" s="12"/>
      <c r="O135" s="13"/>
      <c r="P135" s="14"/>
      <c r="Q135" s="12"/>
      <c r="R135" s="13"/>
      <c r="S135" s="14"/>
      <c r="T135" s="12"/>
      <c r="U135" s="13"/>
      <c r="V135" s="14"/>
      <c r="W135" s="7"/>
      <c r="X135" s="1"/>
      <c r="Y135" s="1">
        <f t="shared" si="22"/>
        <v>0</v>
      </c>
    </row>
    <row r="136" spans="3:25" x14ac:dyDescent="0.25">
      <c r="C136" s="2"/>
      <c r="D136" s="2"/>
      <c r="E136" s="17"/>
      <c r="F136" s="66" t="s">
        <v>56</v>
      </c>
      <c r="G136" s="12"/>
      <c r="H136" s="12"/>
      <c r="I136" s="12"/>
      <c r="J136" s="12"/>
      <c r="K136" s="12" t="s">
        <v>61</v>
      </c>
      <c r="L136" s="58"/>
      <c r="M136" s="12"/>
      <c r="N136" s="12"/>
      <c r="O136" s="13"/>
      <c r="P136" s="14"/>
      <c r="Q136" s="12"/>
      <c r="R136" s="13"/>
      <c r="S136" s="14"/>
      <c r="T136" s="12"/>
      <c r="U136" s="13"/>
      <c r="V136" s="14"/>
      <c r="W136" s="7"/>
      <c r="X136" s="1"/>
      <c r="Y136" s="1">
        <f t="shared" si="22"/>
        <v>0</v>
      </c>
    </row>
    <row r="137" spans="3:25" x14ac:dyDescent="0.25">
      <c r="C137" s="2"/>
      <c r="D137" s="2"/>
      <c r="E137" s="17"/>
      <c r="F137" s="66" t="s">
        <v>56</v>
      </c>
      <c r="G137" s="12"/>
      <c r="H137" s="12"/>
      <c r="I137" s="12"/>
      <c r="J137" s="12"/>
      <c r="K137" s="12" t="s">
        <v>62</v>
      </c>
      <c r="L137" s="58"/>
      <c r="M137" s="12"/>
      <c r="N137" s="12"/>
      <c r="O137" s="13"/>
      <c r="P137" s="14"/>
      <c r="Q137" s="12"/>
      <c r="R137" s="13"/>
      <c r="S137" s="14"/>
      <c r="T137" s="12">
        <v>0.39</v>
      </c>
      <c r="U137" s="13"/>
      <c r="V137" s="14">
        <f>T137*I131</f>
        <v>0</v>
      </c>
      <c r="W137" s="7"/>
      <c r="X137" s="1"/>
      <c r="Y137" s="1">
        <f t="shared" si="22"/>
        <v>0</v>
      </c>
    </row>
    <row r="138" spans="3:25" x14ac:dyDescent="0.25">
      <c r="C138" s="2"/>
      <c r="D138" s="2"/>
      <c r="E138" s="17"/>
      <c r="F138" s="44" t="s">
        <v>29</v>
      </c>
      <c r="G138" s="4"/>
      <c r="H138" s="4"/>
      <c r="I138" s="4"/>
      <c r="J138" s="4">
        <v>9500</v>
      </c>
      <c r="K138" s="4" t="s">
        <v>37</v>
      </c>
      <c r="L138" s="58">
        <v>382230</v>
      </c>
      <c r="M138" s="4">
        <f>J138*L138/100</f>
        <v>36311850</v>
      </c>
      <c r="N138" s="9"/>
      <c r="O138" s="10">
        <v>1.8100000000000002E-2</v>
      </c>
      <c r="P138" s="3">
        <f t="shared" si="19"/>
        <v>657244.4850000001</v>
      </c>
      <c r="Q138" s="9"/>
      <c r="R138" s="10">
        <v>3.0000000000000001E-3</v>
      </c>
      <c r="S138" s="3">
        <f t="shared" si="20"/>
        <v>108935.55</v>
      </c>
      <c r="T138" s="9"/>
      <c r="U138" s="10">
        <v>1.4E-3</v>
      </c>
      <c r="V138" s="3">
        <f t="shared" si="21"/>
        <v>50836.59</v>
      </c>
      <c r="W138" s="7" t="e">
        <f>#REF!+#REF!+#REF!+#REF!+#REF!+#REF!+#REF!+#REF!+#REF!+#REF!+#REF!+#REF!</f>
        <v>#REF!</v>
      </c>
      <c r="X138" s="1" t="e">
        <f>#REF!+#REF!+#REF!+#REF!+#REF!+#REF!+#REF!+#REF!+#REF!+#REF!+#REF!+#REF!-M138</f>
        <v>#REF!</v>
      </c>
      <c r="Y138" s="1">
        <f t="shared" si="22"/>
        <v>817016.62500000012</v>
      </c>
    </row>
    <row r="139" spans="3:25" x14ac:dyDescent="0.25">
      <c r="C139" s="2"/>
      <c r="D139" s="2"/>
      <c r="E139" s="17"/>
      <c r="F139" s="66" t="s">
        <v>56</v>
      </c>
      <c r="G139" s="4"/>
      <c r="H139" s="4"/>
      <c r="I139" s="4"/>
      <c r="J139" s="4"/>
      <c r="K139" s="4" t="s">
        <v>63</v>
      </c>
      <c r="L139" s="58"/>
      <c r="M139" s="4"/>
      <c r="N139" s="4">
        <v>4.67</v>
      </c>
      <c r="O139" s="6"/>
      <c r="P139" s="3">
        <f>N139*J138</f>
        <v>44365</v>
      </c>
      <c r="Q139" s="4"/>
      <c r="R139" s="6"/>
      <c r="S139" s="3"/>
      <c r="T139" s="4"/>
      <c r="U139" s="6"/>
      <c r="V139" s="3"/>
      <c r="W139" s="7"/>
      <c r="X139" s="1"/>
      <c r="Y139" s="1">
        <f t="shared" si="22"/>
        <v>44365</v>
      </c>
    </row>
    <row r="140" spans="3:25" x14ac:dyDescent="0.25">
      <c r="C140" s="2"/>
      <c r="D140" s="2"/>
      <c r="E140" s="17"/>
      <c r="F140" s="66" t="s">
        <v>56</v>
      </c>
      <c r="G140" s="4"/>
      <c r="H140" s="4"/>
      <c r="I140" s="4"/>
      <c r="J140" s="4"/>
      <c r="K140" s="4" t="s">
        <v>64</v>
      </c>
      <c r="L140" s="58"/>
      <c r="M140" s="4"/>
      <c r="N140" s="4"/>
      <c r="O140" s="6"/>
      <c r="P140" s="3"/>
      <c r="Q140" s="4">
        <v>0.86</v>
      </c>
      <c r="R140" s="6"/>
      <c r="S140" s="3">
        <f>Q140*J138</f>
        <v>8170</v>
      </c>
      <c r="T140" s="4"/>
      <c r="U140" s="6"/>
      <c r="V140" s="3"/>
      <c r="W140" s="7"/>
      <c r="X140" s="1"/>
      <c r="Y140" s="1">
        <f t="shared" si="22"/>
        <v>8170</v>
      </c>
    </row>
    <row r="141" spans="3:25" x14ac:dyDescent="0.25">
      <c r="C141" s="2"/>
      <c r="D141" s="2"/>
      <c r="E141" s="17"/>
      <c r="F141" s="66" t="s">
        <v>56</v>
      </c>
      <c r="G141" s="12"/>
      <c r="H141" s="12"/>
      <c r="I141" s="12"/>
      <c r="J141" s="12"/>
      <c r="K141" s="12" t="s">
        <v>65</v>
      </c>
      <c r="L141" s="58"/>
      <c r="M141" s="12"/>
      <c r="N141" s="12"/>
      <c r="O141" s="13"/>
      <c r="P141" s="14"/>
      <c r="Q141" s="12"/>
      <c r="R141" s="13"/>
      <c r="S141" s="14"/>
      <c r="T141" s="12"/>
      <c r="U141" s="13"/>
      <c r="V141" s="14"/>
      <c r="W141" s="7"/>
      <c r="X141" s="1"/>
      <c r="Y141" s="1">
        <f t="shared" si="22"/>
        <v>0</v>
      </c>
    </row>
    <row r="142" spans="3:25" x14ac:dyDescent="0.25">
      <c r="C142" s="2"/>
      <c r="D142" s="2"/>
      <c r="E142" s="17"/>
      <c r="F142" s="66" t="s">
        <v>56</v>
      </c>
      <c r="G142" s="12"/>
      <c r="H142" s="12"/>
      <c r="I142" s="12"/>
      <c r="J142" s="12"/>
      <c r="K142" s="12" t="s">
        <v>66</v>
      </c>
      <c r="L142" s="58"/>
      <c r="M142" s="12"/>
      <c r="N142" s="12"/>
      <c r="O142" s="13"/>
      <c r="P142" s="14"/>
      <c r="Q142" s="12"/>
      <c r="R142" s="13"/>
      <c r="S142" s="14"/>
      <c r="T142" s="12"/>
      <c r="U142" s="13"/>
      <c r="V142" s="14"/>
      <c r="W142" s="7"/>
      <c r="X142" s="1"/>
      <c r="Y142" s="1">
        <f t="shared" si="22"/>
        <v>0</v>
      </c>
    </row>
    <row r="143" spans="3:25" x14ac:dyDescent="0.25">
      <c r="C143" s="2"/>
      <c r="D143" s="2"/>
      <c r="E143" s="17"/>
      <c r="F143" s="66" t="s">
        <v>56</v>
      </c>
      <c r="G143" s="12"/>
      <c r="H143" s="12"/>
      <c r="I143" s="12"/>
      <c r="J143" s="12"/>
      <c r="K143" s="12" t="s">
        <v>67</v>
      </c>
      <c r="L143" s="58"/>
      <c r="M143" s="12"/>
      <c r="N143" s="12"/>
      <c r="O143" s="13"/>
      <c r="P143" s="14"/>
      <c r="Q143" s="12"/>
      <c r="R143" s="13"/>
      <c r="S143" s="14"/>
      <c r="T143" s="12">
        <v>0.53</v>
      </c>
      <c r="U143" s="13"/>
      <c r="V143" s="14">
        <f>T143*J138</f>
        <v>5035</v>
      </c>
      <c r="W143" s="7"/>
      <c r="X143" s="1"/>
      <c r="Y143" s="1">
        <f t="shared" si="22"/>
        <v>5035</v>
      </c>
    </row>
    <row r="144" spans="3:25" ht="16.5" thickBot="1" x14ac:dyDescent="0.3">
      <c r="C144" s="15"/>
      <c r="D144" s="15"/>
      <c r="E144" s="19"/>
      <c r="F144" s="26" t="s">
        <v>8</v>
      </c>
      <c r="G144" s="27"/>
      <c r="H144" s="27"/>
      <c r="I144" s="27"/>
      <c r="J144" s="27"/>
      <c r="K144" s="27"/>
      <c r="L144" s="59"/>
      <c r="M144" s="27">
        <f>SUM(M117:M143)</f>
        <v>2434197975</v>
      </c>
      <c r="N144" s="27"/>
      <c r="O144" s="28"/>
      <c r="P144" s="27">
        <f>SUM(P117:P143)</f>
        <v>39111681.990000002</v>
      </c>
      <c r="Q144" s="27"/>
      <c r="R144" s="28"/>
      <c r="S144" s="27">
        <f>SUM(S117:S143)</f>
        <v>56050961.002500005</v>
      </c>
      <c r="T144" s="27"/>
      <c r="U144" s="28"/>
      <c r="V144" s="27">
        <f>SUM(V117:V143)</f>
        <v>3416247.2299999995</v>
      </c>
      <c r="W144" s="7" t="e">
        <f>#REF!+#REF!+#REF!+#REF!+#REF!+#REF!+#REF!+#REF!+#REF!+#REF!+#REF!+#REF!</f>
        <v>#REF!</v>
      </c>
      <c r="X144" s="1" t="e">
        <f>#REF!+#REF!+#REF!+#REF!+#REF!+#REF!+#REF!+#REF!+#REF!+#REF!+#REF!+#REF!-M144</f>
        <v>#REF!</v>
      </c>
      <c r="Y144" s="1">
        <f t="shared" si="22"/>
        <v>98578890.222499996</v>
      </c>
    </row>
    <row r="145" spans="3:25" ht="47.25" x14ac:dyDescent="0.25">
      <c r="C145" s="2" t="s">
        <v>0</v>
      </c>
      <c r="D145" s="2" t="s">
        <v>1</v>
      </c>
      <c r="E145" s="17" t="s">
        <v>2</v>
      </c>
      <c r="F145" s="31" t="s">
        <v>10</v>
      </c>
      <c r="G145" s="21">
        <v>54641.5</v>
      </c>
      <c r="H145" s="21">
        <v>34834</v>
      </c>
      <c r="I145" s="21"/>
      <c r="J145" s="21"/>
      <c r="K145" s="21" t="s">
        <v>21</v>
      </c>
      <c r="L145" s="60">
        <f>179.64*1000</f>
        <v>179640</v>
      </c>
      <c r="M145" s="21">
        <f>L145*H145</f>
        <v>6257579760</v>
      </c>
      <c r="N145" s="21"/>
      <c r="O145" s="22">
        <v>1.6E-2</v>
      </c>
      <c r="P145" s="23">
        <f t="shared" ref="P145:P152" si="23">O145*$M145</f>
        <v>100121276.16</v>
      </c>
      <c r="Q145" s="21"/>
      <c r="R145" s="22">
        <v>2.3300000000000001E-2</v>
      </c>
      <c r="S145" s="3">
        <f t="shared" ref="S145:S152" si="24">R145*$M145</f>
        <v>145801608.40800002</v>
      </c>
      <c r="T145" s="21"/>
      <c r="U145" s="22">
        <v>1.4E-3</v>
      </c>
      <c r="V145" s="3">
        <f t="shared" ref="V145:V152" si="25">U145*$M145</f>
        <v>8760611.6640000008</v>
      </c>
      <c r="W145" s="7" t="e">
        <f>#REF!+#REF!+#REF!+#REF!+#REF!+#REF!+#REF!+#REF!+#REF!+#REF!+#REF!+#REF!</f>
        <v>#REF!</v>
      </c>
      <c r="X145" s="1" t="e">
        <f>#REF!+#REF!+#REF!+#REF!+#REF!+#REF!+#REF!+#REF!+#REF!+#REF!+#REF!+#REF!-M145</f>
        <v>#REF!</v>
      </c>
      <c r="Y145" s="1">
        <f t="shared" si="22"/>
        <v>254683496.23200002</v>
      </c>
    </row>
    <row r="146" spans="3:25" x14ac:dyDescent="0.25">
      <c r="C146" s="2"/>
      <c r="D146" s="2"/>
      <c r="E146" s="17"/>
      <c r="F146" s="66" t="s">
        <v>48</v>
      </c>
      <c r="G146" s="12"/>
      <c r="H146" s="12"/>
      <c r="I146" s="12"/>
      <c r="J146" s="12"/>
      <c r="K146" s="12" t="s">
        <v>49</v>
      </c>
      <c r="L146" s="58"/>
      <c r="M146" s="12"/>
      <c r="N146" s="12"/>
      <c r="O146" s="13"/>
      <c r="P146" s="14"/>
      <c r="Q146" s="12"/>
      <c r="R146" s="13"/>
      <c r="S146" s="14"/>
      <c r="T146" s="12"/>
      <c r="U146" s="13"/>
      <c r="V146" s="14"/>
      <c r="W146" s="7"/>
      <c r="X146" s="1"/>
      <c r="Y146" s="1">
        <f t="shared" si="22"/>
        <v>0</v>
      </c>
    </row>
    <row r="147" spans="3:25" x14ac:dyDescent="0.25">
      <c r="C147" s="2"/>
      <c r="D147" s="2"/>
      <c r="E147" s="17"/>
      <c r="F147" s="66" t="s">
        <v>48</v>
      </c>
      <c r="G147" s="12"/>
      <c r="H147" s="12"/>
      <c r="I147" s="12"/>
      <c r="J147" s="12"/>
      <c r="K147" s="12" t="s">
        <v>51</v>
      </c>
      <c r="L147" s="58"/>
      <c r="M147" s="12"/>
      <c r="N147" s="12">
        <v>3.29</v>
      </c>
      <c r="O147" s="13"/>
      <c r="P147" s="14">
        <f>N147*H145</f>
        <v>114603.86</v>
      </c>
      <c r="Q147" s="12"/>
      <c r="R147" s="13"/>
      <c r="S147" s="14"/>
      <c r="T147" s="12"/>
      <c r="U147" s="13"/>
      <c r="V147" s="14"/>
      <c r="W147" s="7"/>
      <c r="X147" s="1"/>
      <c r="Y147" s="1">
        <f t="shared" si="22"/>
        <v>114603.86</v>
      </c>
    </row>
    <row r="148" spans="3:25" x14ac:dyDescent="0.25">
      <c r="C148" s="2"/>
      <c r="D148" s="2"/>
      <c r="E148" s="17"/>
      <c r="F148" s="66" t="s">
        <v>48</v>
      </c>
      <c r="G148" s="12"/>
      <c r="H148" s="12"/>
      <c r="I148" s="12"/>
      <c r="J148" s="12"/>
      <c r="K148" s="12" t="s">
        <v>52</v>
      </c>
      <c r="L148" s="58"/>
      <c r="M148" s="12"/>
      <c r="N148" s="12"/>
      <c r="O148" s="13"/>
      <c r="P148" s="14"/>
      <c r="Q148" s="12">
        <v>4.7300000000000004</v>
      </c>
      <c r="R148" s="13"/>
      <c r="S148" s="14">
        <f>Q148*H145</f>
        <v>164764.82</v>
      </c>
      <c r="T148" s="12"/>
      <c r="U148" s="13"/>
      <c r="V148" s="14"/>
      <c r="W148" s="7"/>
      <c r="X148" s="1"/>
      <c r="Y148" s="1">
        <f t="shared" si="22"/>
        <v>164764.82</v>
      </c>
    </row>
    <row r="149" spans="3:25" x14ac:dyDescent="0.25">
      <c r="C149" s="2"/>
      <c r="D149" s="2"/>
      <c r="E149" s="17"/>
      <c r="F149" s="66" t="s">
        <v>48</v>
      </c>
      <c r="G149" s="12"/>
      <c r="H149" s="12"/>
      <c r="I149" s="12"/>
      <c r="J149" s="12"/>
      <c r="K149" s="12" t="s">
        <v>53</v>
      </c>
      <c r="L149" s="58"/>
      <c r="M149" s="12"/>
      <c r="N149" s="12"/>
      <c r="O149" s="13"/>
      <c r="P149" s="14"/>
      <c r="Q149" s="12"/>
      <c r="R149" s="13"/>
      <c r="S149" s="14"/>
      <c r="T149" s="12"/>
      <c r="U149" s="13"/>
      <c r="V149" s="14"/>
      <c r="W149" s="7"/>
      <c r="X149" s="1"/>
      <c r="Y149" s="1">
        <f t="shared" si="22"/>
        <v>0</v>
      </c>
    </row>
    <row r="150" spans="3:25" x14ac:dyDescent="0.25">
      <c r="C150" s="2"/>
      <c r="D150" s="2"/>
      <c r="E150" s="17"/>
      <c r="F150" s="66" t="s">
        <v>48</v>
      </c>
      <c r="G150" s="12"/>
      <c r="H150" s="12"/>
      <c r="I150" s="12"/>
      <c r="J150" s="12"/>
      <c r="K150" s="12" t="s">
        <v>54</v>
      </c>
      <c r="L150" s="58"/>
      <c r="M150" s="12"/>
      <c r="N150" s="12"/>
      <c r="O150" s="13"/>
      <c r="P150" s="14"/>
      <c r="Q150" s="12"/>
      <c r="R150" s="13"/>
      <c r="S150" s="14"/>
      <c r="T150" s="12"/>
      <c r="U150" s="13"/>
      <c r="V150" s="14"/>
      <c r="W150" s="7"/>
      <c r="X150" s="1"/>
      <c r="Y150" s="1">
        <f t="shared" si="22"/>
        <v>0</v>
      </c>
    </row>
    <row r="151" spans="3:25" x14ac:dyDescent="0.25">
      <c r="C151" s="2"/>
      <c r="D151" s="2"/>
      <c r="E151" s="17"/>
      <c r="F151" s="66" t="s">
        <v>48</v>
      </c>
      <c r="G151" s="12"/>
      <c r="H151" s="12"/>
      <c r="I151" s="12"/>
      <c r="J151" s="12"/>
      <c r="K151" s="12" t="s">
        <v>55</v>
      </c>
      <c r="L151" s="58"/>
      <c r="M151" s="12"/>
      <c r="N151" s="12"/>
      <c r="O151" s="13"/>
      <c r="P151" s="14"/>
      <c r="Q151" s="12"/>
      <c r="R151" s="13"/>
      <c r="S151" s="14"/>
      <c r="T151" s="12">
        <v>0.25</v>
      </c>
      <c r="U151" s="13"/>
      <c r="V151" s="14">
        <f>T151*H145</f>
        <v>8708.5</v>
      </c>
      <c r="W151" s="7"/>
      <c r="X151" s="1"/>
      <c r="Y151" s="1">
        <f t="shared" si="22"/>
        <v>8708.5</v>
      </c>
    </row>
    <row r="152" spans="3:25" ht="31.5" x14ac:dyDescent="0.25">
      <c r="C152" s="2"/>
      <c r="D152" s="2"/>
      <c r="E152" s="17"/>
      <c r="F152" s="24" t="s">
        <v>30</v>
      </c>
      <c r="G152" s="4"/>
      <c r="H152" s="4">
        <v>1051</v>
      </c>
      <c r="I152" s="4"/>
      <c r="J152" s="12"/>
      <c r="K152" s="12" t="s">
        <v>21</v>
      </c>
      <c r="L152" s="61">
        <f>125.81*1000</f>
        <v>125810</v>
      </c>
      <c r="M152" s="12">
        <f>L152*H152</f>
        <v>132226310</v>
      </c>
      <c r="N152" s="12"/>
      <c r="O152" s="13">
        <v>1.6E-2</v>
      </c>
      <c r="P152" s="14">
        <f t="shared" si="23"/>
        <v>2115620.96</v>
      </c>
      <c r="Q152" s="12"/>
      <c r="R152" s="13">
        <v>2.3300000000000001E-2</v>
      </c>
      <c r="S152" s="3">
        <f t="shared" si="24"/>
        <v>3080873.023</v>
      </c>
      <c r="T152" s="12"/>
      <c r="U152" s="13">
        <v>1.4E-3</v>
      </c>
      <c r="V152" s="3">
        <f t="shared" si="25"/>
        <v>185116.834</v>
      </c>
      <c r="W152" s="7" t="e">
        <f>#REF!+#REF!+#REF!+#REF!+#REF!+#REF!+#REF!+#REF!+#REF!+#REF!+#REF!+#REF!</f>
        <v>#REF!</v>
      </c>
      <c r="X152" s="1" t="e">
        <f>#REF!+#REF!+#REF!+#REF!+#REF!+#REF!+#REF!+#REF!+#REF!+#REF!+#REF!+#REF!-M152</f>
        <v>#REF!</v>
      </c>
      <c r="Y152" s="1">
        <f t="shared" si="22"/>
        <v>5381610.8169999998</v>
      </c>
    </row>
    <row r="153" spans="3:25" x14ac:dyDescent="0.25">
      <c r="C153" s="2"/>
      <c r="D153" s="2"/>
      <c r="E153" s="17"/>
      <c r="F153" s="66" t="s">
        <v>48</v>
      </c>
      <c r="G153" s="12"/>
      <c r="H153" s="12"/>
      <c r="I153" s="12"/>
      <c r="J153" s="12"/>
      <c r="K153" s="12" t="s">
        <v>49</v>
      </c>
      <c r="L153" s="58"/>
      <c r="M153" s="12"/>
      <c r="N153" s="12"/>
      <c r="O153" s="13"/>
      <c r="P153" s="14"/>
      <c r="Q153" s="12"/>
      <c r="R153" s="13"/>
      <c r="S153" s="14"/>
      <c r="T153" s="12"/>
      <c r="U153" s="13"/>
      <c r="V153" s="14"/>
      <c r="W153" s="7"/>
      <c r="X153" s="1"/>
      <c r="Y153" s="1">
        <f t="shared" si="22"/>
        <v>0</v>
      </c>
    </row>
    <row r="154" spans="3:25" x14ac:dyDescent="0.25">
      <c r="C154" s="2"/>
      <c r="D154" s="2"/>
      <c r="E154" s="17"/>
      <c r="F154" s="66" t="s">
        <v>48</v>
      </c>
      <c r="G154" s="12"/>
      <c r="H154" s="12"/>
      <c r="I154" s="12"/>
      <c r="J154" s="12"/>
      <c r="K154" s="12" t="s">
        <v>51</v>
      </c>
      <c r="L154" s="58"/>
      <c r="M154" s="12"/>
      <c r="N154" s="12">
        <v>2.25</v>
      </c>
      <c r="O154" s="13"/>
      <c r="P154" s="14">
        <f>N154*H152</f>
        <v>2364.75</v>
      </c>
      <c r="Q154" s="12"/>
      <c r="R154" s="13"/>
      <c r="S154" s="14"/>
      <c r="T154" s="12"/>
      <c r="U154" s="13"/>
      <c r="V154" s="14"/>
      <c r="W154" s="7"/>
      <c r="X154" s="1"/>
      <c r="Y154" s="1">
        <f t="shared" si="22"/>
        <v>2364.75</v>
      </c>
    </row>
    <row r="155" spans="3:25" x14ac:dyDescent="0.25">
      <c r="C155" s="2"/>
      <c r="D155" s="2"/>
      <c r="E155" s="17"/>
      <c r="F155" s="66" t="s">
        <v>48</v>
      </c>
      <c r="G155" s="12"/>
      <c r="H155" s="12"/>
      <c r="I155" s="12"/>
      <c r="J155" s="12"/>
      <c r="K155" s="12" t="s">
        <v>52</v>
      </c>
      <c r="L155" s="58"/>
      <c r="M155" s="12"/>
      <c r="N155" s="12"/>
      <c r="O155" s="13"/>
      <c r="P155" s="14"/>
      <c r="Q155" s="12">
        <v>3.24</v>
      </c>
      <c r="R155" s="13"/>
      <c r="S155" s="14">
        <f>Q155*H152</f>
        <v>3405.2400000000002</v>
      </c>
      <c r="T155" s="12"/>
      <c r="U155" s="13"/>
      <c r="V155" s="14"/>
      <c r="W155" s="7"/>
      <c r="X155" s="1"/>
      <c r="Y155" s="1">
        <f t="shared" si="22"/>
        <v>3405.2400000000002</v>
      </c>
    </row>
    <row r="156" spans="3:25" x14ac:dyDescent="0.25">
      <c r="C156" s="2"/>
      <c r="D156" s="2"/>
      <c r="E156" s="17"/>
      <c r="F156" s="66" t="s">
        <v>48</v>
      </c>
      <c r="G156" s="12"/>
      <c r="H156" s="12"/>
      <c r="I156" s="12"/>
      <c r="J156" s="12"/>
      <c r="K156" s="12" t="s">
        <v>53</v>
      </c>
      <c r="L156" s="58"/>
      <c r="M156" s="12"/>
      <c r="N156" s="12"/>
      <c r="O156" s="13"/>
      <c r="P156" s="14"/>
      <c r="Q156" s="12"/>
      <c r="R156" s="13"/>
      <c r="S156" s="14"/>
      <c r="T156" s="12"/>
      <c r="U156" s="13"/>
      <c r="V156" s="14"/>
      <c r="W156" s="7"/>
      <c r="X156" s="1"/>
      <c r="Y156" s="1">
        <f t="shared" si="22"/>
        <v>0</v>
      </c>
    </row>
    <row r="157" spans="3:25" x14ac:dyDescent="0.25">
      <c r="C157" s="2"/>
      <c r="D157" s="2"/>
      <c r="E157" s="17"/>
      <c r="F157" s="66" t="s">
        <v>48</v>
      </c>
      <c r="G157" s="12"/>
      <c r="H157" s="12"/>
      <c r="I157" s="12"/>
      <c r="J157" s="12"/>
      <c r="K157" s="12" t="s">
        <v>54</v>
      </c>
      <c r="L157" s="58"/>
      <c r="M157" s="12"/>
      <c r="N157" s="12"/>
      <c r="O157" s="13"/>
      <c r="P157" s="14"/>
      <c r="Q157" s="12"/>
      <c r="R157" s="13"/>
      <c r="S157" s="14"/>
      <c r="T157" s="12"/>
      <c r="U157" s="13"/>
      <c r="V157" s="14"/>
      <c r="W157" s="7"/>
      <c r="X157" s="1"/>
      <c r="Y157" s="1">
        <f t="shared" si="22"/>
        <v>0</v>
      </c>
    </row>
    <row r="158" spans="3:25" x14ac:dyDescent="0.25">
      <c r="C158" s="2"/>
      <c r="D158" s="2"/>
      <c r="E158" s="17"/>
      <c r="F158" s="66" t="s">
        <v>48</v>
      </c>
      <c r="G158" s="12"/>
      <c r="H158" s="12"/>
      <c r="I158" s="12"/>
      <c r="J158" s="12"/>
      <c r="K158" s="12" t="s">
        <v>55</v>
      </c>
      <c r="L158" s="58"/>
      <c r="M158" s="12"/>
      <c r="N158" s="12"/>
      <c r="O158" s="13"/>
      <c r="P158" s="14"/>
      <c r="Q158" s="12"/>
      <c r="R158" s="13"/>
      <c r="S158" s="14"/>
      <c r="T158" s="12">
        <v>0.17</v>
      </c>
      <c r="U158" s="13"/>
      <c r="V158" s="14">
        <f>T158*H152</f>
        <v>178.67000000000002</v>
      </c>
      <c r="W158" s="7"/>
      <c r="X158" s="1"/>
      <c r="Y158" s="1">
        <f t="shared" si="22"/>
        <v>178.67000000000002</v>
      </c>
    </row>
    <row r="159" spans="3:25" x14ac:dyDescent="0.25">
      <c r="C159" s="2"/>
      <c r="D159" s="2"/>
      <c r="E159" s="17"/>
      <c r="F159" s="25" t="s">
        <v>28</v>
      </c>
      <c r="G159" s="4"/>
      <c r="H159" s="4"/>
      <c r="I159" s="4">
        <f>149*3*6</f>
        <v>2682</v>
      </c>
      <c r="J159" s="4"/>
      <c r="K159" s="4" t="s">
        <v>25</v>
      </c>
      <c r="L159" s="58">
        <f>276.67*1000</f>
        <v>276670</v>
      </c>
      <c r="M159" s="4">
        <f>L159*I159</f>
        <v>742028940</v>
      </c>
      <c r="N159" s="4"/>
      <c r="O159" s="6">
        <v>1.5900000000000001E-2</v>
      </c>
      <c r="P159" s="3">
        <f t="shared" ref="P159:P166" si="26">O159*$M159</f>
        <v>11798260.146000002</v>
      </c>
      <c r="Q159" s="4"/>
      <c r="R159" s="6">
        <v>2.4500000000000001E-2</v>
      </c>
      <c r="S159" s="3">
        <f t="shared" ref="S159:S166" si="27">R159*$M159</f>
        <v>18179709.030000001</v>
      </c>
      <c r="T159" s="4"/>
      <c r="U159" s="6">
        <v>1.4E-3</v>
      </c>
      <c r="V159" s="3">
        <f t="shared" ref="V159:V166" si="28">U159*$M159</f>
        <v>1038840.5159999999</v>
      </c>
      <c r="W159" s="7" t="e">
        <f>#REF!+#REF!+#REF!+#REF!+#REF!+#REF!+#REF!+#REF!+#REF!+#REF!+#REF!+#REF!</f>
        <v>#REF!</v>
      </c>
      <c r="X159" s="1" t="e">
        <f>#REF!+#REF!+#REF!+#REF!+#REF!+#REF!+#REF!+#REF!+#REF!+#REF!+#REF!+#REF!-M159</f>
        <v>#REF!</v>
      </c>
      <c r="Y159" s="1">
        <f t="shared" si="22"/>
        <v>31016809.692000002</v>
      </c>
    </row>
    <row r="160" spans="3:25" x14ac:dyDescent="0.25">
      <c r="C160" s="2"/>
      <c r="D160" s="2"/>
      <c r="E160" s="17"/>
      <c r="F160" s="66" t="s">
        <v>56</v>
      </c>
      <c r="G160" s="12"/>
      <c r="H160" s="12"/>
      <c r="I160" s="12"/>
      <c r="J160" s="12"/>
      <c r="K160" s="12" t="s">
        <v>57</v>
      </c>
      <c r="L160" s="58"/>
      <c r="M160" s="12"/>
      <c r="N160" s="12"/>
      <c r="O160" s="13"/>
      <c r="P160" s="14"/>
      <c r="Q160" s="12"/>
      <c r="R160" s="13"/>
      <c r="S160" s="14"/>
      <c r="T160" s="12"/>
      <c r="U160" s="13"/>
      <c r="V160" s="14"/>
      <c r="W160" s="7"/>
      <c r="X160" s="1"/>
      <c r="Y160" s="1">
        <f t="shared" si="22"/>
        <v>0</v>
      </c>
    </row>
    <row r="161" spans="3:25" x14ac:dyDescent="0.25">
      <c r="C161" s="2"/>
      <c r="D161" s="2"/>
      <c r="E161" s="17"/>
      <c r="F161" s="66" t="s">
        <v>56</v>
      </c>
      <c r="G161" s="12"/>
      <c r="H161" s="12"/>
      <c r="I161" s="12"/>
      <c r="J161" s="12"/>
      <c r="K161" s="12" t="s">
        <v>58</v>
      </c>
      <c r="L161" s="58"/>
      <c r="M161" s="12"/>
      <c r="N161" s="12">
        <v>4.58</v>
      </c>
      <c r="O161" s="13"/>
      <c r="P161" s="14">
        <f>N161*I159</f>
        <v>12283.56</v>
      </c>
      <c r="Q161" s="12"/>
      <c r="R161" s="13"/>
      <c r="S161" s="14"/>
      <c r="T161" s="12"/>
      <c r="U161" s="13"/>
      <c r="V161" s="14"/>
      <c r="W161" s="7"/>
      <c r="X161" s="1"/>
      <c r="Y161" s="1">
        <f t="shared" si="22"/>
        <v>12283.56</v>
      </c>
    </row>
    <row r="162" spans="3:25" x14ac:dyDescent="0.25">
      <c r="C162" s="2"/>
      <c r="D162" s="2"/>
      <c r="E162" s="17"/>
      <c r="F162" s="66" t="s">
        <v>56</v>
      </c>
      <c r="G162" s="12"/>
      <c r="H162" s="12"/>
      <c r="I162" s="12"/>
      <c r="J162" s="12"/>
      <c r="K162" s="12" t="s">
        <v>59</v>
      </c>
      <c r="L162" s="58"/>
      <c r="M162" s="12"/>
      <c r="N162" s="12"/>
      <c r="O162" s="13"/>
      <c r="P162" s="14"/>
      <c r="Q162" s="12">
        <v>6.59</v>
      </c>
      <c r="R162" s="13"/>
      <c r="S162" s="14">
        <f>Q162*I159</f>
        <v>17674.38</v>
      </c>
      <c r="T162" s="12"/>
      <c r="U162" s="13"/>
      <c r="V162" s="14"/>
      <c r="W162" s="7"/>
      <c r="X162" s="1"/>
      <c r="Y162" s="1">
        <f t="shared" si="22"/>
        <v>17674.38</v>
      </c>
    </row>
    <row r="163" spans="3:25" x14ac:dyDescent="0.25">
      <c r="C163" s="2"/>
      <c r="D163" s="2"/>
      <c r="E163" s="17"/>
      <c r="F163" s="66" t="s">
        <v>56</v>
      </c>
      <c r="G163" s="12"/>
      <c r="H163" s="12"/>
      <c r="I163" s="12"/>
      <c r="J163" s="12"/>
      <c r="K163" s="12" t="s">
        <v>60</v>
      </c>
      <c r="L163" s="58"/>
      <c r="M163" s="12"/>
      <c r="N163" s="12"/>
      <c r="O163" s="13"/>
      <c r="P163" s="14"/>
      <c r="Q163" s="12"/>
      <c r="R163" s="13"/>
      <c r="S163" s="14"/>
      <c r="T163" s="12"/>
      <c r="U163" s="13"/>
      <c r="V163" s="14"/>
      <c r="W163" s="7"/>
      <c r="X163" s="1"/>
      <c r="Y163" s="1">
        <f t="shared" si="22"/>
        <v>0</v>
      </c>
    </row>
    <row r="164" spans="3:25" x14ac:dyDescent="0.25">
      <c r="C164" s="2"/>
      <c r="D164" s="2"/>
      <c r="E164" s="17"/>
      <c r="F164" s="66" t="s">
        <v>56</v>
      </c>
      <c r="G164" s="12"/>
      <c r="H164" s="12"/>
      <c r="I164" s="12"/>
      <c r="J164" s="12"/>
      <c r="K164" s="12" t="s">
        <v>61</v>
      </c>
      <c r="L164" s="58"/>
      <c r="M164" s="12"/>
      <c r="N164" s="12"/>
      <c r="O164" s="13"/>
      <c r="P164" s="14"/>
      <c r="Q164" s="12"/>
      <c r="R164" s="13"/>
      <c r="S164" s="14"/>
      <c r="T164" s="12"/>
      <c r="U164" s="13"/>
      <c r="V164" s="14"/>
      <c r="W164" s="7"/>
      <c r="X164" s="1"/>
      <c r="Y164" s="1">
        <f t="shared" si="22"/>
        <v>0</v>
      </c>
    </row>
    <row r="165" spans="3:25" x14ac:dyDescent="0.25">
      <c r="C165" s="2"/>
      <c r="D165" s="2"/>
      <c r="E165" s="17"/>
      <c r="F165" s="66" t="s">
        <v>56</v>
      </c>
      <c r="G165" s="12"/>
      <c r="H165" s="12"/>
      <c r="I165" s="12"/>
      <c r="J165" s="12"/>
      <c r="K165" s="12" t="s">
        <v>62</v>
      </c>
      <c r="L165" s="58"/>
      <c r="M165" s="12"/>
      <c r="N165" s="12"/>
      <c r="O165" s="13"/>
      <c r="P165" s="14"/>
      <c r="Q165" s="12"/>
      <c r="R165" s="13"/>
      <c r="S165" s="14"/>
      <c r="T165" s="12">
        <v>0.39</v>
      </c>
      <c r="U165" s="13"/>
      <c r="V165" s="14">
        <f>T165*I159</f>
        <v>1045.98</v>
      </c>
      <c r="W165" s="7"/>
      <c r="X165" s="1"/>
      <c r="Y165" s="1">
        <f t="shared" si="22"/>
        <v>1045.98</v>
      </c>
    </row>
    <row r="166" spans="3:25" x14ac:dyDescent="0.25">
      <c r="C166" s="2"/>
      <c r="D166" s="2"/>
      <c r="E166" s="17"/>
      <c r="F166" s="44" t="s">
        <v>29</v>
      </c>
      <c r="G166" s="4"/>
      <c r="H166" s="4"/>
      <c r="I166" s="4"/>
      <c r="J166" s="4">
        <f>2*9500</f>
        <v>19000</v>
      </c>
      <c r="K166" s="4" t="s">
        <v>37</v>
      </c>
      <c r="L166" s="58">
        <v>382230</v>
      </c>
      <c r="M166" s="4">
        <f>J166*L166/100</f>
        <v>72623700</v>
      </c>
      <c r="N166" s="9"/>
      <c r="O166" s="10">
        <v>1.8100000000000002E-2</v>
      </c>
      <c r="P166" s="3">
        <f t="shared" si="26"/>
        <v>1314488.9700000002</v>
      </c>
      <c r="Q166" s="9"/>
      <c r="R166" s="10">
        <v>3.0000000000000001E-3</v>
      </c>
      <c r="S166" s="3">
        <f t="shared" si="27"/>
        <v>217871.1</v>
      </c>
      <c r="T166" s="9"/>
      <c r="U166" s="10">
        <v>1.4E-3</v>
      </c>
      <c r="V166" s="3">
        <f t="shared" si="28"/>
        <v>101673.18</v>
      </c>
      <c r="W166" s="7" t="e">
        <f>#REF!+#REF!+#REF!+#REF!+#REF!+#REF!+#REF!+#REF!+#REF!+#REF!+#REF!+#REF!</f>
        <v>#REF!</v>
      </c>
      <c r="X166" s="1" t="e">
        <f>#REF!+#REF!+#REF!+#REF!+#REF!+#REF!+#REF!+#REF!+#REF!+#REF!+#REF!+#REF!-M166</f>
        <v>#REF!</v>
      </c>
      <c r="Y166" s="1">
        <f t="shared" si="22"/>
        <v>1634033.2500000002</v>
      </c>
    </row>
    <row r="167" spans="3:25" x14ac:dyDescent="0.25">
      <c r="C167" s="2"/>
      <c r="D167" s="2"/>
      <c r="E167" s="17"/>
      <c r="F167" s="66" t="s">
        <v>56</v>
      </c>
      <c r="G167" s="4"/>
      <c r="H167" s="4"/>
      <c r="I167" s="4"/>
      <c r="J167" s="4"/>
      <c r="K167" s="4" t="s">
        <v>63</v>
      </c>
      <c r="L167" s="58"/>
      <c r="M167" s="4"/>
      <c r="N167" s="4">
        <v>4.67</v>
      </c>
      <c r="O167" s="6"/>
      <c r="P167" s="3">
        <f>N167*J166</f>
        <v>88730</v>
      </c>
      <c r="Q167" s="4"/>
      <c r="R167" s="6"/>
      <c r="S167" s="3"/>
      <c r="T167" s="4"/>
      <c r="U167" s="6"/>
      <c r="V167" s="3"/>
      <c r="W167" s="7"/>
      <c r="X167" s="1"/>
      <c r="Y167" s="1">
        <f t="shared" si="22"/>
        <v>88730</v>
      </c>
    </row>
    <row r="168" spans="3:25" x14ac:dyDescent="0.25">
      <c r="C168" s="2"/>
      <c r="D168" s="2"/>
      <c r="E168" s="17"/>
      <c r="F168" s="66" t="s">
        <v>56</v>
      </c>
      <c r="G168" s="4"/>
      <c r="H168" s="4"/>
      <c r="I168" s="4"/>
      <c r="J168" s="4"/>
      <c r="K168" s="4" t="s">
        <v>64</v>
      </c>
      <c r="L168" s="58"/>
      <c r="M168" s="4"/>
      <c r="N168" s="4"/>
      <c r="O168" s="6"/>
      <c r="P168" s="3"/>
      <c r="Q168" s="4">
        <v>0.86</v>
      </c>
      <c r="R168" s="6"/>
      <c r="S168" s="3">
        <f>Q168*J166</f>
        <v>16340</v>
      </c>
      <c r="T168" s="4"/>
      <c r="U168" s="6"/>
      <c r="V168" s="3"/>
      <c r="W168" s="7"/>
      <c r="X168" s="1"/>
      <c r="Y168" s="1">
        <f t="shared" si="22"/>
        <v>16340</v>
      </c>
    </row>
    <row r="169" spans="3:25" x14ac:dyDescent="0.25">
      <c r="C169" s="2"/>
      <c r="D169" s="2"/>
      <c r="E169" s="17"/>
      <c r="F169" s="66" t="s">
        <v>56</v>
      </c>
      <c r="G169" s="12"/>
      <c r="H169" s="12"/>
      <c r="I169" s="12"/>
      <c r="J169" s="12"/>
      <c r="K169" s="12" t="s">
        <v>65</v>
      </c>
      <c r="L169" s="58"/>
      <c r="M169" s="12"/>
      <c r="N169" s="12"/>
      <c r="O169" s="13"/>
      <c r="P169" s="14"/>
      <c r="Q169" s="12"/>
      <c r="R169" s="13"/>
      <c r="S169" s="14"/>
      <c r="T169" s="12"/>
      <c r="U169" s="13"/>
      <c r="V169" s="14"/>
      <c r="W169" s="7"/>
      <c r="X169" s="1"/>
      <c r="Y169" s="1">
        <f t="shared" si="22"/>
        <v>0</v>
      </c>
    </row>
    <row r="170" spans="3:25" x14ac:dyDescent="0.25">
      <c r="C170" s="2"/>
      <c r="D170" s="2"/>
      <c r="E170" s="17"/>
      <c r="F170" s="66" t="s">
        <v>56</v>
      </c>
      <c r="G170" s="12"/>
      <c r="H170" s="12"/>
      <c r="I170" s="12"/>
      <c r="J170" s="12"/>
      <c r="K170" s="12" t="s">
        <v>66</v>
      </c>
      <c r="L170" s="58"/>
      <c r="M170" s="12"/>
      <c r="N170" s="12"/>
      <c r="O170" s="13"/>
      <c r="P170" s="14"/>
      <c r="Q170" s="12"/>
      <c r="R170" s="13"/>
      <c r="S170" s="14"/>
      <c r="T170" s="12"/>
      <c r="U170" s="13"/>
      <c r="V170" s="14"/>
      <c r="W170" s="7"/>
      <c r="X170" s="1"/>
      <c r="Y170" s="1">
        <f t="shared" si="22"/>
        <v>0</v>
      </c>
    </row>
    <row r="171" spans="3:25" x14ac:dyDescent="0.25">
      <c r="C171" s="2"/>
      <c r="D171" s="2"/>
      <c r="E171" s="17"/>
      <c r="F171" s="66" t="s">
        <v>56</v>
      </c>
      <c r="G171" s="12"/>
      <c r="H171" s="12"/>
      <c r="I171" s="12"/>
      <c r="J171" s="12"/>
      <c r="K171" s="12" t="s">
        <v>67</v>
      </c>
      <c r="L171" s="58"/>
      <c r="M171" s="12"/>
      <c r="N171" s="12"/>
      <c r="O171" s="13"/>
      <c r="P171" s="14"/>
      <c r="Q171" s="12"/>
      <c r="R171" s="13"/>
      <c r="S171" s="14"/>
      <c r="T171" s="12">
        <v>0.53</v>
      </c>
      <c r="U171" s="13"/>
      <c r="V171" s="14">
        <f>T171*J166</f>
        <v>10070</v>
      </c>
      <c r="W171" s="7"/>
      <c r="X171" s="1"/>
      <c r="Y171" s="1">
        <f t="shared" si="22"/>
        <v>10070</v>
      </c>
    </row>
    <row r="172" spans="3:25" ht="48" thickBot="1" x14ac:dyDescent="0.3">
      <c r="C172" s="15"/>
      <c r="D172" s="15"/>
      <c r="E172" s="19"/>
      <c r="F172" s="32" t="s">
        <v>10</v>
      </c>
      <c r="G172" s="27"/>
      <c r="H172" s="27"/>
      <c r="I172" s="27"/>
      <c r="J172" s="27"/>
      <c r="K172" s="27"/>
      <c r="L172" s="59"/>
      <c r="M172" s="33">
        <f>SUM(M145:M171)</f>
        <v>7204458710</v>
      </c>
      <c r="N172" s="33"/>
      <c r="O172" s="28"/>
      <c r="P172" s="68">
        <f>SUM(P145:P171)</f>
        <v>115567628.40599999</v>
      </c>
      <c r="Q172" s="33"/>
      <c r="R172" s="28"/>
      <c r="S172" s="68">
        <f>SUM(S145:S171)</f>
        <v>167482246.00100002</v>
      </c>
      <c r="T172" s="33"/>
      <c r="U172" s="28"/>
      <c r="V172" s="68">
        <f>SUM(V145:V171)</f>
        <v>10106245.344000002</v>
      </c>
      <c r="W172" s="7" t="e">
        <f>#REF!+#REF!+#REF!+#REF!+#REF!+#REF!+#REF!+#REF!+#REF!+#REF!+#REF!+#REF!</f>
        <v>#REF!</v>
      </c>
      <c r="X172" s="1" t="e">
        <f>#REF!+#REF!+#REF!+#REF!+#REF!+#REF!+#REF!+#REF!+#REF!+#REF!+#REF!+#REF!-M172</f>
        <v>#REF!</v>
      </c>
      <c r="Y172" s="1">
        <f t="shared" si="22"/>
        <v>293156119.75100005</v>
      </c>
    </row>
    <row r="173" spans="3:25" ht="31.5" x14ac:dyDescent="0.25">
      <c r="C173" s="2" t="s">
        <v>0</v>
      </c>
      <c r="D173" s="2" t="s">
        <v>1</v>
      </c>
      <c r="E173" s="34" t="s">
        <v>9</v>
      </c>
      <c r="F173" s="31" t="s">
        <v>11</v>
      </c>
      <c r="G173" s="21">
        <v>51690.51</v>
      </c>
      <c r="H173" s="21">
        <v>33039</v>
      </c>
      <c r="I173" s="21"/>
      <c r="J173" s="21"/>
      <c r="K173" s="21" t="s">
        <v>21</v>
      </c>
      <c r="L173" s="60">
        <f>179.64*1000</f>
        <v>179640</v>
      </c>
      <c r="M173" s="21">
        <f>L173*H173</f>
        <v>5935125960</v>
      </c>
      <c r="N173" s="21"/>
      <c r="O173" s="22">
        <v>1.6E-2</v>
      </c>
      <c r="P173" s="23">
        <f t="shared" ref="P173:P180" si="29">O173*$M173</f>
        <v>94962015.359999999</v>
      </c>
      <c r="Q173" s="21"/>
      <c r="R173" s="22">
        <v>2.3300000000000001E-2</v>
      </c>
      <c r="S173" s="3">
        <f t="shared" ref="S173:S180" si="30">R173*$M173</f>
        <v>138288434.868</v>
      </c>
      <c r="T173" s="21"/>
      <c r="U173" s="22">
        <v>1.4E-3</v>
      </c>
      <c r="V173" s="3">
        <f t="shared" ref="V173:V180" si="31">U173*$M173</f>
        <v>8309176.3439999996</v>
      </c>
      <c r="W173" s="7" t="e">
        <f>#REF!+#REF!+#REF!+#REF!+#REF!+#REF!+#REF!+#REF!+#REF!+#REF!+#REF!+#REF!</f>
        <v>#REF!</v>
      </c>
      <c r="X173" s="1" t="e">
        <f>#REF!+#REF!+#REF!+#REF!+#REF!+#REF!+#REF!+#REF!+#REF!+#REF!+#REF!+#REF!-M173</f>
        <v>#REF!</v>
      </c>
      <c r="Y173" s="1">
        <f t="shared" si="22"/>
        <v>241559626.57200003</v>
      </c>
    </row>
    <row r="174" spans="3:25" x14ac:dyDescent="0.25">
      <c r="C174" s="2"/>
      <c r="D174" s="2"/>
      <c r="E174" s="17"/>
      <c r="F174" s="66" t="s">
        <v>48</v>
      </c>
      <c r="G174" s="12"/>
      <c r="H174" s="12"/>
      <c r="I174" s="12"/>
      <c r="J174" s="12"/>
      <c r="K174" s="12" t="s">
        <v>49</v>
      </c>
      <c r="L174" s="58"/>
      <c r="M174" s="12"/>
      <c r="N174" s="12"/>
      <c r="O174" s="13"/>
      <c r="P174" s="14"/>
      <c r="Q174" s="12"/>
      <c r="R174" s="13"/>
      <c r="S174" s="14"/>
      <c r="T174" s="12"/>
      <c r="U174" s="13"/>
      <c r="V174" s="14"/>
      <c r="W174" s="7"/>
      <c r="X174" s="1"/>
      <c r="Y174" s="1">
        <f t="shared" si="22"/>
        <v>0</v>
      </c>
    </row>
    <row r="175" spans="3:25" x14ac:dyDescent="0.25">
      <c r="C175" s="2"/>
      <c r="D175" s="2"/>
      <c r="E175" s="17"/>
      <c r="F175" s="66" t="s">
        <v>48</v>
      </c>
      <c r="G175" s="12"/>
      <c r="H175" s="12"/>
      <c r="I175" s="12"/>
      <c r="J175" s="12"/>
      <c r="K175" s="12" t="s">
        <v>51</v>
      </c>
      <c r="L175" s="58"/>
      <c r="M175" s="12"/>
      <c r="N175" s="12">
        <v>3.29</v>
      </c>
      <c r="O175" s="13"/>
      <c r="P175" s="14">
        <f>N175*H173</f>
        <v>108698.31</v>
      </c>
      <c r="Q175" s="12"/>
      <c r="R175" s="13"/>
      <c r="S175" s="14"/>
      <c r="T175" s="12"/>
      <c r="U175" s="13"/>
      <c r="V175" s="14"/>
      <c r="W175" s="7"/>
      <c r="X175" s="1"/>
      <c r="Y175" s="1">
        <f t="shared" si="22"/>
        <v>108698.31</v>
      </c>
    </row>
    <row r="176" spans="3:25" x14ac:dyDescent="0.25">
      <c r="C176" s="2"/>
      <c r="D176" s="2"/>
      <c r="E176" s="17"/>
      <c r="F176" s="66" t="s">
        <v>48</v>
      </c>
      <c r="G176" s="12"/>
      <c r="H176" s="12"/>
      <c r="I176" s="12"/>
      <c r="J176" s="12"/>
      <c r="K176" s="12" t="s">
        <v>52</v>
      </c>
      <c r="L176" s="58"/>
      <c r="M176" s="12"/>
      <c r="N176" s="12"/>
      <c r="O176" s="13"/>
      <c r="P176" s="14"/>
      <c r="Q176" s="12">
        <v>4.7300000000000004</v>
      </c>
      <c r="R176" s="13"/>
      <c r="S176" s="14">
        <f>Q176*H173</f>
        <v>156274.47</v>
      </c>
      <c r="T176" s="12"/>
      <c r="U176" s="13"/>
      <c r="V176" s="14"/>
      <c r="W176" s="7"/>
      <c r="X176" s="1"/>
      <c r="Y176" s="1">
        <f t="shared" si="22"/>
        <v>156274.47</v>
      </c>
    </row>
    <row r="177" spans="3:25" x14ac:dyDescent="0.25">
      <c r="C177" s="2"/>
      <c r="D177" s="2"/>
      <c r="E177" s="17"/>
      <c r="F177" s="66" t="s">
        <v>48</v>
      </c>
      <c r="G177" s="12"/>
      <c r="H177" s="12"/>
      <c r="I177" s="12"/>
      <c r="J177" s="12"/>
      <c r="K177" s="12" t="s">
        <v>53</v>
      </c>
      <c r="L177" s="58"/>
      <c r="M177" s="12"/>
      <c r="N177" s="12"/>
      <c r="O177" s="13"/>
      <c r="P177" s="14"/>
      <c r="Q177" s="12"/>
      <c r="R177" s="13"/>
      <c r="S177" s="14"/>
      <c r="T177" s="12"/>
      <c r="U177" s="13"/>
      <c r="V177" s="14"/>
      <c r="W177" s="7"/>
      <c r="X177" s="1"/>
      <c r="Y177" s="1">
        <f t="shared" si="22"/>
        <v>0</v>
      </c>
    </row>
    <row r="178" spans="3:25" x14ac:dyDescent="0.25">
      <c r="C178" s="2"/>
      <c r="D178" s="2"/>
      <c r="E178" s="17"/>
      <c r="F178" s="66" t="s">
        <v>48</v>
      </c>
      <c r="G178" s="12"/>
      <c r="H178" s="12"/>
      <c r="I178" s="12"/>
      <c r="J178" s="12"/>
      <c r="K178" s="12" t="s">
        <v>54</v>
      </c>
      <c r="L178" s="58"/>
      <c r="M178" s="12"/>
      <c r="N178" s="12"/>
      <c r="O178" s="13"/>
      <c r="P178" s="14"/>
      <c r="Q178" s="12"/>
      <c r="R178" s="13"/>
      <c r="S178" s="14"/>
      <c r="T178" s="12"/>
      <c r="U178" s="13"/>
      <c r="V178" s="14"/>
      <c r="W178" s="7"/>
      <c r="X178" s="1"/>
      <c r="Y178" s="1">
        <f t="shared" si="22"/>
        <v>0</v>
      </c>
    </row>
    <row r="179" spans="3:25" x14ac:dyDescent="0.25">
      <c r="C179" s="2"/>
      <c r="D179" s="2"/>
      <c r="E179" s="17"/>
      <c r="F179" s="66" t="s">
        <v>48</v>
      </c>
      <c r="G179" s="12"/>
      <c r="H179" s="12"/>
      <c r="I179" s="12"/>
      <c r="J179" s="12"/>
      <c r="K179" s="12" t="s">
        <v>55</v>
      </c>
      <c r="L179" s="58"/>
      <c r="M179" s="12"/>
      <c r="N179" s="12"/>
      <c r="O179" s="13"/>
      <c r="P179" s="14"/>
      <c r="Q179" s="12"/>
      <c r="R179" s="13"/>
      <c r="S179" s="14"/>
      <c r="T179" s="12">
        <v>0.25</v>
      </c>
      <c r="U179" s="13"/>
      <c r="V179" s="14">
        <f>T179*H173</f>
        <v>8259.75</v>
      </c>
      <c r="W179" s="7"/>
      <c r="X179" s="1"/>
      <c r="Y179" s="1">
        <f t="shared" si="22"/>
        <v>8259.75</v>
      </c>
    </row>
    <row r="180" spans="3:25" ht="31.5" x14ac:dyDescent="0.25">
      <c r="C180" s="2"/>
      <c r="D180" s="2"/>
      <c r="E180" s="34"/>
      <c r="F180" s="24" t="s">
        <v>30</v>
      </c>
      <c r="G180" s="4"/>
      <c r="H180" s="4">
        <v>861.5</v>
      </c>
      <c r="I180" s="4"/>
      <c r="J180" s="12"/>
      <c r="K180" s="12" t="s">
        <v>21</v>
      </c>
      <c r="L180" s="61">
        <f>125.81*1000</f>
        <v>125810</v>
      </c>
      <c r="M180" s="12">
        <f>L180*H180</f>
        <v>108385315</v>
      </c>
      <c r="N180" s="12"/>
      <c r="O180" s="13">
        <v>1.6E-2</v>
      </c>
      <c r="P180" s="14">
        <f t="shared" si="29"/>
        <v>1734165.04</v>
      </c>
      <c r="Q180" s="12"/>
      <c r="R180" s="13">
        <v>2.3300000000000001E-2</v>
      </c>
      <c r="S180" s="3">
        <f t="shared" si="30"/>
        <v>2525377.8395000002</v>
      </c>
      <c r="T180" s="12"/>
      <c r="U180" s="13">
        <v>1.4E-3</v>
      </c>
      <c r="V180" s="3">
        <f t="shared" si="31"/>
        <v>151739.44099999999</v>
      </c>
      <c r="W180" s="7" t="e">
        <f>#REF!+#REF!+#REF!+#REF!+#REF!+#REF!+#REF!+#REF!+#REF!+#REF!+#REF!+#REF!</f>
        <v>#REF!</v>
      </c>
      <c r="X180" s="1" t="e">
        <f>#REF!+#REF!+#REF!+#REF!+#REF!+#REF!+#REF!+#REF!+#REF!+#REF!+#REF!+#REF!-M180</f>
        <v>#REF!</v>
      </c>
      <c r="Y180" s="1">
        <f t="shared" si="22"/>
        <v>4411282.3205000004</v>
      </c>
    </row>
    <row r="181" spans="3:25" x14ac:dyDescent="0.25">
      <c r="C181" s="2"/>
      <c r="D181" s="2"/>
      <c r="E181" s="17"/>
      <c r="F181" s="66" t="s">
        <v>48</v>
      </c>
      <c r="G181" s="12"/>
      <c r="H181" s="12"/>
      <c r="I181" s="12"/>
      <c r="J181" s="12"/>
      <c r="K181" s="12" t="s">
        <v>49</v>
      </c>
      <c r="L181" s="58"/>
      <c r="M181" s="12"/>
      <c r="N181" s="12"/>
      <c r="O181" s="13"/>
      <c r="P181" s="14"/>
      <c r="Q181" s="12"/>
      <c r="R181" s="13"/>
      <c r="S181" s="14"/>
      <c r="T181" s="12"/>
      <c r="U181" s="13"/>
      <c r="V181" s="14"/>
      <c r="W181" s="7"/>
      <c r="X181" s="1"/>
      <c r="Y181" s="1">
        <f t="shared" si="22"/>
        <v>0</v>
      </c>
    </row>
    <row r="182" spans="3:25" x14ac:dyDescent="0.25">
      <c r="C182" s="2"/>
      <c r="D182" s="2"/>
      <c r="E182" s="17"/>
      <c r="F182" s="66" t="s">
        <v>48</v>
      </c>
      <c r="G182" s="12"/>
      <c r="H182" s="12"/>
      <c r="I182" s="12"/>
      <c r="J182" s="12"/>
      <c r="K182" s="12" t="s">
        <v>51</v>
      </c>
      <c r="L182" s="58"/>
      <c r="M182" s="12"/>
      <c r="N182" s="12">
        <v>2.25</v>
      </c>
      <c r="O182" s="13"/>
      <c r="P182" s="14">
        <f>N182*H180</f>
        <v>1938.375</v>
      </c>
      <c r="Q182" s="12"/>
      <c r="R182" s="13"/>
      <c r="S182" s="14"/>
      <c r="T182" s="12"/>
      <c r="U182" s="13"/>
      <c r="V182" s="14"/>
      <c r="W182" s="7"/>
      <c r="X182" s="1"/>
      <c r="Y182" s="1">
        <f t="shared" si="22"/>
        <v>1938.375</v>
      </c>
    </row>
    <row r="183" spans="3:25" x14ac:dyDescent="0.25">
      <c r="C183" s="2"/>
      <c r="D183" s="2"/>
      <c r="E183" s="17"/>
      <c r="F183" s="66" t="s">
        <v>48</v>
      </c>
      <c r="G183" s="12"/>
      <c r="H183" s="12"/>
      <c r="I183" s="12"/>
      <c r="J183" s="12"/>
      <c r="K183" s="12" t="s">
        <v>52</v>
      </c>
      <c r="L183" s="58"/>
      <c r="M183" s="12"/>
      <c r="N183" s="12"/>
      <c r="O183" s="13"/>
      <c r="P183" s="14"/>
      <c r="Q183" s="12">
        <v>3.24</v>
      </c>
      <c r="R183" s="13"/>
      <c r="S183" s="14">
        <f>Q183*H180</f>
        <v>2791.26</v>
      </c>
      <c r="T183" s="12"/>
      <c r="U183" s="13"/>
      <c r="V183" s="14"/>
      <c r="W183" s="7"/>
      <c r="X183" s="1"/>
      <c r="Y183" s="1">
        <f t="shared" si="22"/>
        <v>2791.26</v>
      </c>
    </row>
    <row r="184" spans="3:25" x14ac:dyDescent="0.25">
      <c r="C184" s="2"/>
      <c r="D184" s="2"/>
      <c r="E184" s="17"/>
      <c r="F184" s="66" t="s">
        <v>48</v>
      </c>
      <c r="G184" s="12"/>
      <c r="H184" s="12"/>
      <c r="I184" s="12"/>
      <c r="J184" s="12"/>
      <c r="K184" s="12" t="s">
        <v>53</v>
      </c>
      <c r="L184" s="58"/>
      <c r="M184" s="12"/>
      <c r="N184" s="12"/>
      <c r="O184" s="13"/>
      <c r="P184" s="14"/>
      <c r="Q184" s="12"/>
      <c r="R184" s="13"/>
      <c r="S184" s="14"/>
      <c r="T184" s="12"/>
      <c r="U184" s="13"/>
      <c r="V184" s="14"/>
      <c r="W184" s="7"/>
      <c r="X184" s="1"/>
      <c r="Y184" s="1">
        <f t="shared" si="22"/>
        <v>0</v>
      </c>
    </row>
    <row r="185" spans="3:25" x14ac:dyDescent="0.25">
      <c r="C185" s="2"/>
      <c r="D185" s="2"/>
      <c r="E185" s="17"/>
      <c r="F185" s="66" t="s">
        <v>48</v>
      </c>
      <c r="G185" s="12"/>
      <c r="H185" s="12"/>
      <c r="I185" s="12"/>
      <c r="J185" s="12"/>
      <c r="K185" s="12" t="s">
        <v>54</v>
      </c>
      <c r="L185" s="58"/>
      <c r="M185" s="12"/>
      <c r="N185" s="12"/>
      <c r="O185" s="13"/>
      <c r="P185" s="14"/>
      <c r="Q185" s="12"/>
      <c r="R185" s="13"/>
      <c r="S185" s="14"/>
      <c r="T185" s="12"/>
      <c r="U185" s="13"/>
      <c r="V185" s="14"/>
      <c r="W185" s="7"/>
      <c r="X185" s="1"/>
      <c r="Y185" s="1">
        <f t="shared" si="22"/>
        <v>0</v>
      </c>
    </row>
    <row r="186" spans="3:25" x14ac:dyDescent="0.25">
      <c r="C186" s="2"/>
      <c r="D186" s="2"/>
      <c r="E186" s="17"/>
      <c r="F186" s="66" t="s">
        <v>48</v>
      </c>
      <c r="G186" s="12"/>
      <c r="H186" s="12"/>
      <c r="I186" s="12"/>
      <c r="J186" s="12"/>
      <c r="K186" s="12" t="s">
        <v>55</v>
      </c>
      <c r="L186" s="58"/>
      <c r="M186" s="12"/>
      <c r="N186" s="12"/>
      <c r="O186" s="13"/>
      <c r="P186" s="14"/>
      <c r="Q186" s="12"/>
      <c r="R186" s="13"/>
      <c r="S186" s="14"/>
      <c r="T186" s="12">
        <v>0.17</v>
      </c>
      <c r="U186" s="13"/>
      <c r="V186" s="14">
        <f>T186*H180</f>
        <v>146.45500000000001</v>
      </c>
      <c r="W186" s="7"/>
      <c r="X186" s="1"/>
      <c r="Y186" s="1">
        <f t="shared" si="22"/>
        <v>146.45500000000001</v>
      </c>
    </row>
    <row r="187" spans="3:25" x14ac:dyDescent="0.25">
      <c r="C187" s="2"/>
      <c r="D187" s="2"/>
      <c r="E187" s="34"/>
      <c r="F187" s="25" t="s">
        <v>28</v>
      </c>
      <c r="G187" s="4"/>
      <c r="H187" s="4"/>
      <c r="I187" s="4">
        <f>160*3*6</f>
        <v>2880</v>
      </c>
      <c r="J187" s="4"/>
      <c r="K187" s="4" t="s">
        <v>25</v>
      </c>
      <c r="L187" s="58">
        <f>276.67*1000</f>
        <v>276670</v>
      </c>
      <c r="M187" s="4">
        <f>L187*I187</f>
        <v>796809600</v>
      </c>
      <c r="N187" s="4"/>
      <c r="O187" s="6">
        <v>1.5900000000000001E-2</v>
      </c>
      <c r="P187" s="3">
        <f t="shared" ref="P187:P194" si="32">O187*$M187</f>
        <v>12669272.640000001</v>
      </c>
      <c r="Q187" s="4"/>
      <c r="R187" s="6">
        <v>2.4500000000000001E-2</v>
      </c>
      <c r="S187" s="3">
        <f t="shared" ref="S187:S194" si="33">R187*$M187</f>
        <v>19521835.199999999</v>
      </c>
      <c r="T187" s="4"/>
      <c r="U187" s="6">
        <v>1.4E-3</v>
      </c>
      <c r="V187" s="3">
        <f t="shared" ref="V187:V194" si="34">U187*$M187</f>
        <v>1115533.44</v>
      </c>
      <c r="W187" s="7" t="e">
        <f>#REF!+#REF!+#REF!+#REF!+#REF!+#REF!+#REF!+#REF!+#REF!+#REF!+#REF!+#REF!</f>
        <v>#REF!</v>
      </c>
      <c r="X187" s="1" t="e">
        <f>#REF!+#REF!+#REF!+#REF!+#REF!+#REF!+#REF!+#REF!+#REF!+#REF!+#REF!+#REF!-M187</f>
        <v>#REF!</v>
      </c>
      <c r="Y187" s="1">
        <f t="shared" si="22"/>
        <v>33306641.280000001</v>
      </c>
    </row>
    <row r="188" spans="3:25" x14ac:dyDescent="0.25">
      <c r="C188" s="2"/>
      <c r="D188" s="2"/>
      <c r="E188" s="17"/>
      <c r="F188" s="66" t="s">
        <v>56</v>
      </c>
      <c r="G188" s="12"/>
      <c r="H188" s="12"/>
      <c r="I188" s="12"/>
      <c r="J188" s="12"/>
      <c r="K188" s="12" t="s">
        <v>57</v>
      </c>
      <c r="L188" s="58"/>
      <c r="M188" s="12"/>
      <c r="N188" s="12"/>
      <c r="O188" s="13"/>
      <c r="P188" s="14"/>
      <c r="Q188" s="12"/>
      <c r="R188" s="13"/>
      <c r="S188" s="14"/>
      <c r="T188" s="12"/>
      <c r="U188" s="13"/>
      <c r="V188" s="14"/>
      <c r="W188" s="7"/>
      <c r="X188" s="1"/>
      <c r="Y188" s="1">
        <f t="shared" si="22"/>
        <v>0</v>
      </c>
    </row>
    <row r="189" spans="3:25" x14ac:dyDescent="0.25">
      <c r="C189" s="2"/>
      <c r="D189" s="2"/>
      <c r="E189" s="17"/>
      <c r="F189" s="66" t="s">
        <v>56</v>
      </c>
      <c r="G189" s="12"/>
      <c r="H189" s="12"/>
      <c r="I189" s="12"/>
      <c r="J189" s="12"/>
      <c r="K189" s="12" t="s">
        <v>58</v>
      </c>
      <c r="L189" s="58"/>
      <c r="M189" s="12"/>
      <c r="N189" s="12">
        <v>4.58</v>
      </c>
      <c r="O189" s="13"/>
      <c r="P189" s="14">
        <f>N189*I187</f>
        <v>13190.4</v>
      </c>
      <c r="Q189" s="12"/>
      <c r="R189" s="13"/>
      <c r="S189" s="14"/>
      <c r="T189" s="12"/>
      <c r="U189" s="13"/>
      <c r="V189" s="14"/>
      <c r="W189" s="7"/>
      <c r="X189" s="1"/>
      <c r="Y189" s="1">
        <f t="shared" si="22"/>
        <v>13190.4</v>
      </c>
    </row>
    <row r="190" spans="3:25" x14ac:dyDescent="0.25">
      <c r="C190" s="2"/>
      <c r="D190" s="2"/>
      <c r="E190" s="17"/>
      <c r="F190" s="66" t="s">
        <v>56</v>
      </c>
      <c r="G190" s="12"/>
      <c r="H190" s="12"/>
      <c r="I190" s="12"/>
      <c r="J190" s="12"/>
      <c r="K190" s="12" t="s">
        <v>59</v>
      </c>
      <c r="L190" s="58"/>
      <c r="M190" s="12"/>
      <c r="N190" s="12"/>
      <c r="O190" s="13"/>
      <c r="P190" s="14"/>
      <c r="Q190" s="12">
        <v>6.59</v>
      </c>
      <c r="R190" s="13"/>
      <c r="S190" s="14">
        <f>Q190*I187</f>
        <v>18979.2</v>
      </c>
      <c r="T190" s="12"/>
      <c r="U190" s="13"/>
      <c r="V190" s="14"/>
      <c r="W190" s="7"/>
      <c r="X190" s="1"/>
      <c r="Y190" s="1">
        <f t="shared" si="22"/>
        <v>18979.2</v>
      </c>
    </row>
    <row r="191" spans="3:25" x14ac:dyDescent="0.25">
      <c r="C191" s="2"/>
      <c r="D191" s="2"/>
      <c r="E191" s="17"/>
      <c r="F191" s="66" t="s">
        <v>56</v>
      </c>
      <c r="G191" s="12"/>
      <c r="H191" s="12"/>
      <c r="I191" s="12"/>
      <c r="J191" s="12"/>
      <c r="K191" s="12" t="s">
        <v>60</v>
      </c>
      <c r="L191" s="58"/>
      <c r="M191" s="12"/>
      <c r="N191" s="12"/>
      <c r="O191" s="13"/>
      <c r="P191" s="14"/>
      <c r="Q191" s="12"/>
      <c r="R191" s="13"/>
      <c r="S191" s="14"/>
      <c r="T191" s="12"/>
      <c r="U191" s="13"/>
      <c r="V191" s="14"/>
      <c r="W191" s="7"/>
      <c r="X191" s="1"/>
      <c r="Y191" s="1">
        <f t="shared" si="22"/>
        <v>0</v>
      </c>
    </row>
    <row r="192" spans="3:25" x14ac:dyDescent="0.25">
      <c r="C192" s="2"/>
      <c r="D192" s="2"/>
      <c r="E192" s="17"/>
      <c r="F192" s="66" t="s">
        <v>56</v>
      </c>
      <c r="G192" s="12"/>
      <c r="H192" s="12"/>
      <c r="I192" s="12"/>
      <c r="J192" s="12"/>
      <c r="K192" s="12" t="s">
        <v>61</v>
      </c>
      <c r="L192" s="58"/>
      <c r="M192" s="12"/>
      <c r="N192" s="12"/>
      <c r="O192" s="13"/>
      <c r="P192" s="14"/>
      <c r="Q192" s="12"/>
      <c r="R192" s="13"/>
      <c r="S192" s="14"/>
      <c r="T192" s="12"/>
      <c r="U192" s="13"/>
      <c r="V192" s="14"/>
      <c r="W192" s="7"/>
      <c r="X192" s="1"/>
      <c r="Y192" s="1">
        <f t="shared" si="22"/>
        <v>0</v>
      </c>
    </row>
    <row r="193" spans="3:25" x14ac:dyDescent="0.25">
      <c r="C193" s="2"/>
      <c r="D193" s="2"/>
      <c r="E193" s="17"/>
      <c r="F193" s="66" t="s">
        <v>56</v>
      </c>
      <c r="G193" s="12"/>
      <c r="H193" s="12"/>
      <c r="I193" s="12"/>
      <c r="J193" s="12"/>
      <c r="K193" s="12" t="s">
        <v>62</v>
      </c>
      <c r="L193" s="58"/>
      <c r="M193" s="12"/>
      <c r="N193" s="12"/>
      <c r="O193" s="13"/>
      <c r="P193" s="14"/>
      <c r="Q193" s="12"/>
      <c r="R193" s="13"/>
      <c r="S193" s="14"/>
      <c r="T193" s="12">
        <v>0.39</v>
      </c>
      <c r="U193" s="13"/>
      <c r="V193" s="14">
        <f>T193*I187</f>
        <v>1123.2</v>
      </c>
      <c r="W193" s="7"/>
      <c r="X193" s="1"/>
      <c r="Y193" s="1">
        <f t="shared" si="22"/>
        <v>1123.2</v>
      </c>
    </row>
    <row r="194" spans="3:25" x14ac:dyDescent="0.25">
      <c r="C194" s="2"/>
      <c r="D194" s="2"/>
      <c r="E194" s="34"/>
      <c r="F194" s="42" t="s">
        <v>29</v>
      </c>
      <c r="G194" s="45"/>
      <c r="H194" s="45"/>
      <c r="I194" s="45"/>
      <c r="J194" s="45">
        <v>0</v>
      </c>
      <c r="K194" s="4" t="s">
        <v>37</v>
      </c>
      <c r="L194" s="58"/>
      <c r="M194" s="4"/>
      <c r="N194" s="9"/>
      <c r="O194" s="10">
        <v>1.8100000000000002E-2</v>
      </c>
      <c r="P194" s="3">
        <f t="shared" si="32"/>
        <v>0</v>
      </c>
      <c r="Q194" s="9"/>
      <c r="R194" s="10">
        <v>3.0000000000000001E-3</v>
      </c>
      <c r="S194" s="3">
        <f t="shared" si="33"/>
        <v>0</v>
      </c>
      <c r="T194" s="9"/>
      <c r="U194" s="10">
        <v>1.4E-3</v>
      </c>
      <c r="V194" s="3">
        <f t="shared" si="34"/>
        <v>0</v>
      </c>
      <c r="W194" s="7" t="e">
        <f>#REF!+#REF!+#REF!+#REF!+#REF!+#REF!+#REF!+#REF!+#REF!+#REF!+#REF!+#REF!</f>
        <v>#REF!</v>
      </c>
      <c r="X194" s="1" t="e">
        <f>#REF!+#REF!+#REF!+#REF!+#REF!+#REF!+#REF!+#REF!+#REF!+#REF!+#REF!+#REF!-M194</f>
        <v>#REF!</v>
      </c>
      <c r="Y194" s="1">
        <f t="shared" si="22"/>
        <v>0</v>
      </c>
    </row>
    <row r="195" spans="3:25" x14ac:dyDescent="0.25">
      <c r="C195" s="2"/>
      <c r="D195" s="2"/>
      <c r="E195" s="17"/>
      <c r="F195" s="66" t="s">
        <v>56</v>
      </c>
      <c r="G195" s="4"/>
      <c r="H195" s="4"/>
      <c r="I195" s="4"/>
      <c r="J195" s="4"/>
      <c r="K195" s="4" t="s">
        <v>63</v>
      </c>
      <c r="L195" s="58"/>
      <c r="M195" s="4"/>
      <c r="N195" s="4">
        <v>4.67</v>
      </c>
      <c r="O195" s="6"/>
      <c r="P195" s="3">
        <f>N195*J194</f>
        <v>0</v>
      </c>
      <c r="Q195" s="4"/>
      <c r="R195" s="6"/>
      <c r="S195" s="3"/>
      <c r="T195" s="4"/>
      <c r="U195" s="6"/>
      <c r="V195" s="3"/>
      <c r="W195" s="7"/>
      <c r="X195" s="1"/>
      <c r="Y195" s="1">
        <f t="shared" si="22"/>
        <v>0</v>
      </c>
    </row>
    <row r="196" spans="3:25" x14ac:dyDescent="0.25">
      <c r="C196" s="2"/>
      <c r="D196" s="2"/>
      <c r="E196" s="17"/>
      <c r="F196" s="66" t="s">
        <v>56</v>
      </c>
      <c r="G196" s="4"/>
      <c r="H196" s="4"/>
      <c r="I196" s="4"/>
      <c r="J196" s="4"/>
      <c r="K196" s="4" t="s">
        <v>64</v>
      </c>
      <c r="L196" s="58"/>
      <c r="M196" s="4"/>
      <c r="N196" s="4"/>
      <c r="O196" s="6"/>
      <c r="P196" s="3"/>
      <c r="Q196" s="4">
        <v>0.86</v>
      </c>
      <c r="R196" s="6"/>
      <c r="S196" s="3">
        <f>Q196*J194</f>
        <v>0</v>
      </c>
      <c r="T196" s="4"/>
      <c r="U196" s="6"/>
      <c r="V196" s="3"/>
      <c r="W196" s="7"/>
      <c r="X196" s="1"/>
      <c r="Y196" s="1">
        <f t="shared" si="22"/>
        <v>0</v>
      </c>
    </row>
    <row r="197" spans="3:25" x14ac:dyDescent="0.25">
      <c r="C197" s="2"/>
      <c r="D197" s="2"/>
      <c r="E197" s="17"/>
      <c r="F197" s="66" t="s">
        <v>56</v>
      </c>
      <c r="G197" s="12"/>
      <c r="H197" s="12"/>
      <c r="I197" s="12"/>
      <c r="J197" s="12"/>
      <c r="K197" s="12" t="s">
        <v>65</v>
      </c>
      <c r="L197" s="58"/>
      <c r="M197" s="12"/>
      <c r="N197" s="12"/>
      <c r="O197" s="13"/>
      <c r="P197" s="14"/>
      <c r="Q197" s="12"/>
      <c r="R197" s="13"/>
      <c r="S197" s="14"/>
      <c r="T197" s="12"/>
      <c r="U197" s="13"/>
      <c r="V197" s="14"/>
      <c r="W197" s="7"/>
      <c r="X197" s="1"/>
      <c r="Y197" s="1">
        <f t="shared" si="22"/>
        <v>0</v>
      </c>
    </row>
    <row r="198" spans="3:25" x14ac:dyDescent="0.25">
      <c r="C198" s="2"/>
      <c r="D198" s="2"/>
      <c r="E198" s="17"/>
      <c r="F198" s="66" t="s">
        <v>56</v>
      </c>
      <c r="G198" s="12"/>
      <c r="H198" s="12"/>
      <c r="I198" s="12"/>
      <c r="J198" s="12"/>
      <c r="K198" s="12" t="s">
        <v>66</v>
      </c>
      <c r="L198" s="58"/>
      <c r="M198" s="12"/>
      <c r="N198" s="12"/>
      <c r="O198" s="13"/>
      <c r="P198" s="14"/>
      <c r="Q198" s="12"/>
      <c r="R198" s="13"/>
      <c r="S198" s="14"/>
      <c r="T198" s="12"/>
      <c r="U198" s="13"/>
      <c r="V198" s="14"/>
      <c r="W198" s="7"/>
      <c r="X198" s="1"/>
      <c r="Y198" s="1">
        <f t="shared" ref="Y198:Y261" si="35">V198+S198+P198</f>
        <v>0</v>
      </c>
    </row>
    <row r="199" spans="3:25" x14ac:dyDescent="0.25">
      <c r="C199" s="2"/>
      <c r="D199" s="2"/>
      <c r="E199" s="17"/>
      <c r="F199" s="66" t="s">
        <v>56</v>
      </c>
      <c r="G199" s="12"/>
      <c r="H199" s="12"/>
      <c r="I199" s="12"/>
      <c r="J199" s="12"/>
      <c r="K199" s="12" t="s">
        <v>67</v>
      </c>
      <c r="L199" s="58"/>
      <c r="M199" s="12"/>
      <c r="N199" s="12"/>
      <c r="O199" s="13"/>
      <c r="P199" s="14"/>
      <c r="Q199" s="12"/>
      <c r="R199" s="13"/>
      <c r="S199" s="14"/>
      <c r="T199" s="12">
        <v>0.53</v>
      </c>
      <c r="U199" s="13"/>
      <c r="V199" s="14">
        <f>T199*J194</f>
        <v>0</v>
      </c>
      <c r="W199" s="7"/>
      <c r="X199" s="1"/>
      <c r="Y199" s="1">
        <f t="shared" si="35"/>
        <v>0</v>
      </c>
    </row>
    <row r="200" spans="3:25" ht="32.25" thickBot="1" x14ac:dyDescent="0.3">
      <c r="C200" s="15"/>
      <c r="D200" s="15"/>
      <c r="E200" s="35"/>
      <c r="F200" s="32" t="s">
        <v>11</v>
      </c>
      <c r="G200" s="27"/>
      <c r="H200" s="27"/>
      <c r="I200" s="27"/>
      <c r="J200" s="27"/>
      <c r="K200" s="27"/>
      <c r="L200" s="59"/>
      <c r="M200" s="33">
        <f>SUM(M173:M199)</f>
        <v>6840320875</v>
      </c>
      <c r="N200" s="33"/>
      <c r="O200" s="28"/>
      <c r="P200" s="68">
        <f>SUM(P173:P199)</f>
        <v>109489280.12500001</v>
      </c>
      <c r="Q200" s="33"/>
      <c r="R200" s="28"/>
      <c r="S200" s="68">
        <f>SUM(S173:S199)</f>
        <v>160513692.83749998</v>
      </c>
      <c r="T200" s="33"/>
      <c r="U200" s="28"/>
      <c r="V200" s="68">
        <f>SUM(V173:V199)</f>
        <v>9585978.629999999</v>
      </c>
      <c r="W200" s="7" t="e">
        <f>#REF!+#REF!+#REF!+#REF!+#REF!+#REF!+#REF!+#REF!+#REF!+#REF!+#REF!+#REF!</f>
        <v>#REF!</v>
      </c>
      <c r="X200" s="1" t="e">
        <f>#REF!+#REF!+#REF!+#REF!+#REF!+#REF!+#REF!+#REF!+#REF!+#REF!+#REF!+#REF!-M200</f>
        <v>#REF!</v>
      </c>
      <c r="Y200" s="1">
        <f t="shared" si="35"/>
        <v>279588951.59249997</v>
      </c>
    </row>
    <row r="201" spans="3:25" ht="63" x14ac:dyDescent="0.25">
      <c r="C201" s="5" t="s">
        <v>12</v>
      </c>
      <c r="D201" s="5" t="s">
        <v>13</v>
      </c>
      <c r="E201" s="34" t="s">
        <v>2</v>
      </c>
      <c r="F201" s="31" t="s">
        <v>15</v>
      </c>
      <c r="G201" s="21">
        <v>19443.84</v>
      </c>
      <c r="H201" s="21">
        <v>12395</v>
      </c>
      <c r="I201" s="21"/>
      <c r="J201" s="21"/>
      <c r="K201" s="21" t="s">
        <v>21</v>
      </c>
      <c r="L201" s="60">
        <f>179.64*1000</f>
        <v>179640</v>
      </c>
      <c r="M201" s="21">
        <f>L201*H201</f>
        <v>2226637800</v>
      </c>
      <c r="N201" s="21"/>
      <c r="O201" s="22">
        <v>1.6E-2</v>
      </c>
      <c r="P201" s="23">
        <f t="shared" ref="P201:P208" si="36">O201*$M201</f>
        <v>35626204.799999997</v>
      </c>
      <c r="Q201" s="21"/>
      <c r="R201" s="22">
        <v>2.3300000000000001E-2</v>
      </c>
      <c r="S201" s="3">
        <f t="shared" ref="S201:S208" si="37">R201*$M201</f>
        <v>51880660.740000002</v>
      </c>
      <c r="T201" s="21"/>
      <c r="U201" s="22">
        <v>1.4E-3</v>
      </c>
      <c r="V201" s="3">
        <f t="shared" ref="V201:V208" si="38">U201*$M201</f>
        <v>3117292.92</v>
      </c>
      <c r="W201" s="7" t="e">
        <f>#REF!+#REF!+#REF!+#REF!+#REF!+#REF!+#REF!+#REF!+#REF!+#REF!+#REF!+#REF!</f>
        <v>#REF!</v>
      </c>
      <c r="X201" s="1" t="e">
        <f>#REF!+#REF!+#REF!+#REF!+#REF!+#REF!+#REF!+#REF!+#REF!+#REF!+#REF!+#REF!-M201</f>
        <v>#REF!</v>
      </c>
      <c r="Y201" s="1">
        <f t="shared" si="35"/>
        <v>90624158.460000008</v>
      </c>
    </row>
    <row r="202" spans="3:25" x14ac:dyDescent="0.25">
      <c r="C202" s="2"/>
      <c r="D202" s="2"/>
      <c r="E202" s="17"/>
      <c r="F202" s="66" t="s">
        <v>48</v>
      </c>
      <c r="G202" s="12"/>
      <c r="H202" s="12"/>
      <c r="I202" s="12"/>
      <c r="J202" s="12"/>
      <c r="K202" s="12" t="s">
        <v>49</v>
      </c>
      <c r="L202" s="58"/>
      <c r="M202" s="12"/>
      <c r="N202" s="12"/>
      <c r="O202" s="13"/>
      <c r="P202" s="14"/>
      <c r="Q202" s="12"/>
      <c r="R202" s="13"/>
      <c r="S202" s="14"/>
      <c r="T202" s="12"/>
      <c r="U202" s="13"/>
      <c r="V202" s="14"/>
      <c r="W202" s="7"/>
      <c r="X202" s="1"/>
      <c r="Y202" s="1">
        <f t="shared" si="35"/>
        <v>0</v>
      </c>
    </row>
    <row r="203" spans="3:25" x14ac:dyDescent="0.25">
      <c r="C203" s="2"/>
      <c r="D203" s="2"/>
      <c r="E203" s="17"/>
      <c r="F203" s="66" t="s">
        <v>48</v>
      </c>
      <c r="G203" s="12"/>
      <c r="H203" s="12"/>
      <c r="I203" s="12"/>
      <c r="J203" s="12"/>
      <c r="K203" s="12" t="s">
        <v>51</v>
      </c>
      <c r="L203" s="58"/>
      <c r="M203" s="12"/>
      <c r="N203" s="12">
        <v>3.29</v>
      </c>
      <c r="O203" s="13"/>
      <c r="P203" s="14">
        <f>N203*H201</f>
        <v>40779.550000000003</v>
      </c>
      <c r="Q203" s="12"/>
      <c r="R203" s="13"/>
      <c r="S203" s="14"/>
      <c r="T203" s="12"/>
      <c r="U203" s="13"/>
      <c r="V203" s="14"/>
      <c r="W203" s="7"/>
      <c r="X203" s="1"/>
      <c r="Y203" s="1">
        <f t="shared" si="35"/>
        <v>40779.550000000003</v>
      </c>
    </row>
    <row r="204" spans="3:25" x14ac:dyDescent="0.25">
      <c r="C204" s="2"/>
      <c r="D204" s="2"/>
      <c r="E204" s="17"/>
      <c r="F204" s="66" t="s">
        <v>48</v>
      </c>
      <c r="G204" s="12"/>
      <c r="H204" s="12"/>
      <c r="I204" s="12"/>
      <c r="J204" s="12"/>
      <c r="K204" s="12" t="s">
        <v>52</v>
      </c>
      <c r="L204" s="58"/>
      <c r="M204" s="12"/>
      <c r="N204" s="12"/>
      <c r="O204" s="13"/>
      <c r="P204" s="14"/>
      <c r="Q204" s="12">
        <v>4.7300000000000004</v>
      </c>
      <c r="R204" s="13"/>
      <c r="S204" s="14">
        <f>Q204*H201</f>
        <v>58628.350000000006</v>
      </c>
      <c r="T204" s="12"/>
      <c r="U204" s="13"/>
      <c r="V204" s="14"/>
      <c r="W204" s="7"/>
      <c r="X204" s="1"/>
      <c r="Y204" s="1">
        <f t="shared" si="35"/>
        <v>58628.350000000006</v>
      </c>
    </row>
    <row r="205" spans="3:25" x14ac:dyDescent="0.25">
      <c r="C205" s="2"/>
      <c r="D205" s="2"/>
      <c r="E205" s="17"/>
      <c r="F205" s="66" t="s">
        <v>48</v>
      </c>
      <c r="G205" s="12"/>
      <c r="H205" s="12"/>
      <c r="I205" s="12"/>
      <c r="J205" s="12"/>
      <c r="K205" s="12" t="s">
        <v>53</v>
      </c>
      <c r="L205" s="58"/>
      <c r="M205" s="12"/>
      <c r="N205" s="12"/>
      <c r="O205" s="13"/>
      <c r="P205" s="14"/>
      <c r="Q205" s="12"/>
      <c r="R205" s="13"/>
      <c r="S205" s="14"/>
      <c r="T205" s="12"/>
      <c r="U205" s="13"/>
      <c r="V205" s="14"/>
      <c r="W205" s="7"/>
      <c r="X205" s="1"/>
      <c r="Y205" s="1">
        <f t="shared" si="35"/>
        <v>0</v>
      </c>
    </row>
    <row r="206" spans="3:25" x14ac:dyDescent="0.25">
      <c r="C206" s="2"/>
      <c r="D206" s="2"/>
      <c r="E206" s="17"/>
      <c r="F206" s="66" t="s">
        <v>48</v>
      </c>
      <c r="G206" s="12"/>
      <c r="H206" s="12"/>
      <c r="I206" s="12"/>
      <c r="J206" s="12"/>
      <c r="K206" s="12" t="s">
        <v>54</v>
      </c>
      <c r="L206" s="58"/>
      <c r="M206" s="12"/>
      <c r="N206" s="12"/>
      <c r="O206" s="13"/>
      <c r="P206" s="14"/>
      <c r="Q206" s="12"/>
      <c r="R206" s="13"/>
      <c r="S206" s="14"/>
      <c r="T206" s="12"/>
      <c r="U206" s="13"/>
      <c r="V206" s="14"/>
      <c r="W206" s="7"/>
      <c r="X206" s="1"/>
      <c r="Y206" s="1">
        <f t="shared" si="35"/>
        <v>0</v>
      </c>
    </row>
    <row r="207" spans="3:25" x14ac:dyDescent="0.25">
      <c r="C207" s="2"/>
      <c r="D207" s="2"/>
      <c r="E207" s="17"/>
      <c r="F207" s="66" t="s">
        <v>48</v>
      </c>
      <c r="G207" s="12"/>
      <c r="H207" s="12"/>
      <c r="I207" s="12"/>
      <c r="J207" s="12"/>
      <c r="K207" s="12" t="s">
        <v>55</v>
      </c>
      <c r="L207" s="58"/>
      <c r="M207" s="12"/>
      <c r="N207" s="12"/>
      <c r="O207" s="13"/>
      <c r="P207" s="14"/>
      <c r="Q207" s="12"/>
      <c r="R207" s="13"/>
      <c r="S207" s="14"/>
      <c r="T207" s="12">
        <v>0.25</v>
      </c>
      <c r="U207" s="13"/>
      <c r="V207" s="14">
        <f>T207*H201</f>
        <v>3098.75</v>
      </c>
      <c r="W207" s="7"/>
      <c r="X207" s="1"/>
      <c r="Y207" s="1">
        <f t="shared" si="35"/>
        <v>3098.75</v>
      </c>
    </row>
    <row r="208" spans="3:25" ht="31.5" x14ac:dyDescent="0.25">
      <c r="C208" s="5"/>
      <c r="D208" s="5"/>
      <c r="E208" s="34"/>
      <c r="F208" s="24" t="s">
        <v>30</v>
      </c>
      <c r="G208" s="4"/>
      <c r="H208" s="4">
        <v>374</v>
      </c>
      <c r="I208" s="4"/>
      <c r="J208" s="12"/>
      <c r="K208" s="12" t="s">
        <v>21</v>
      </c>
      <c r="L208" s="61">
        <f>125.81*1000</f>
        <v>125810</v>
      </c>
      <c r="M208" s="12">
        <f>L208*H208</f>
        <v>47052940</v>
      </c>
      <c r="N208" s="12"/>
      <c r="O208" s="13">
        <v>1.6E-2</v>
      </c>
      <c r="P208" s="14">
        <f t="shared" si="36"/>
        <v>752847.04</v>
      </c>
      <c r="Q208" s="12"/>
      <c r="R208" s="13">
        <v>2.3300000000000001E-2</v>
      </c>
      <c r="S208" s="3">
        <f t="shared" si="37"/>
        <v>1096333.5020000001</v>
      </c>
      <c r="T208" s="12"/>
      <c r="U208" s="13">
        <v>1.4E-3</v>
      </c>
      <c r="V208" s="3">
        <f t="shared" si="38"/>
        <v>65874.115999999995</v>
      </c>
      <c r="W208" s="7" t="e">
        <f>#REF!+#REF!+#REF!+#REF!+#REF!+#REF!+#REF!+#REF!+#REF!+#REF!+#REF!+#REF!</f>
        <v>#REF!</v>
      </c>
      <c r="X208" s="1" t="e">
        <f>#REF!+#REF!+#REF!+#REF!+#REF!+#REF!+#REF!+#REF!+#REF!+#REF!+#REF!+#REF!-M208</f>
        <v>#REF!</v>
      </c>
      <c r="Y208" s="1">
        <f t="shared" si="35"/>
        <v>1915054.6580000001</v>
      </c>
    </row>
    <row r="209" spans="3:25" x14ac:dyDescent="0.25">
      <c r="C209" s="2"/>
      <c r="D209" s="2"/>
      <c r="E209" s="17"/>
      <c r="F209" s="66" t="s">
        <v>48</v>
      </c>
      <c r="G209" s="12"/>
      <c r="H209" s="12"/>
      <c r="I209" s="12"/>
      <c r="J209" s="12"/>
      <c r="K209" s="12" t="s">
        <v>49</v>
      </c>
      <c r="L209" s="58"/>
      <c r="M209" s="12"/>
      <c r="N209" s="12"/>
      <c r="O209" s="13"/>
      <c r="P209" s="14"/>
      <c r="Q209" s="12"/>
      <c r="R209" s="13"/>
      <c r="S209" s="14"/>
      <c r="T209" s="12"/>
      <c r="U209" s="13"/>
      <c r="V209" s="14"/>
      <c r="W209" s="7"/>
      <c r="X209" s="1"/>
      <c r="Y209" s="1">
        <f t="shared" si="35"/>
        <v>0</v>
      </c>
    </row>
    <row r="210" spans="3:25" x14ac:dyDescent="0.25">
      <c r="C210" s="2"/>
      <c r="D210" s="2"/>
      <c r="E210" s="17"/>
      <c r="F210" s="66" t="s">
        <v>48</v>
      </c>
      <c r="G210" s="12"/>
      <c r="H210" s="12"/>
      <c r="I210" s="12"/>
      <c r="J210" s="12"/>
      <c r="K210" s="12" t="s">
        <v>51</v>
      </c>
      <c r="L210" s="58"/>
      <c r="M210" s="12"/>
      <c r="N210" s="12">
        <v>2.25</v>
      </c>
      <c r="O210" s="13"/>
      <c r="P210" s="14">
        <f>N210*H208</f>
        <v>841.5</v>
      </c>
      <c r="Q210" s="12"/>
      <c r="R210" s="13"/>
      <c r="S210" s="14"/>
      <c r="T210" s="12"/>
      <c r="U210" s="13"/>
      <c r="V210" s="14"/>
      <c r="W210" s="7"/>
      <c r="X210" s="1"/>
      <c r="Y210" s="1">
        <f t="shared" si="35"/>
        <v>841.5</v>
      </c>
    </row>
    <row r="211" spans="3:25" x14ac:dyDescent="0.25">
      <c r="C211" s="2"/>
      <c r="D211" s="2"/>
      <c r="E211" s="17"/>
      <c r="F211" s="66" t="s">
        <v>48</v>
      </c>
      <c r="G211" s="12"/>
      <c r="H211" s="12"/>
      <c r="I211" s="12"/>
      <c r="J211" s="12"/>
      <c r="K211" s="12" t="s">
        <v>52</v>
      </c>
      <c r="L211" s="58"/>
      <c r="M211" s="12"/>
      <c r="N211" s="12"/>
      <c r="O211" s="13"/>
      <c r="P211" s="14"/>
      <c r="Q211" s="12">
        <v>3.24</v>
      </c>
      <c r="R211" s="13"/>
      <c r="S211" s="14">
        <f>Q211*H208</f>
        <v>1211.76</v>
      </c>
      <c r="T211" s="12"/>
      <c r="U211" s="13"/>
      <c r="V211" s="14"/>
      <c r="W211" s="7"/>
      <c r="X211" s="1"/>
      <c r="Y211" s="1">
        <f t="shared" si="35"/>
        <v>1211.76</v>
      </c>
    </row>
    <row r="212" spans="3:25" x14ac:dyDescent="0.25">
      <c r="C212" s="2"/>
      <c r="D212" s="2"/>
      <c r="E212" s="17"/>
      <c r="F212" s="66" t="s">
        <v>48</v>
      </c>
      <c r="G212" s="12"/>
      <c r="H212" s="12"/>
      <c r="I212" s="12"/>
      <c r="J212" s="12"/>
      <c r="K212" s="12" t="s">
        <v>53</v>
      </c>
      <c r="L212" s="58"/>
      <c r="M212" s="12"/>
      <c r="N212" s="12"/>
      <c r="O212" s="13"/>
      <c r="P212" s="14"/>
      <c r="Q212" s="12"/>
      <c r="R212" s="13"/>
      <c r="S212" s="14"/>
      <c r="T212" s="12"/>
      <c r="U212" s="13"/>
      <c r="V212" s="14"/>
      <c r="W212" s="7"/>
      <c r="X212" s="1"/>
      <c r="Y212" s="1">
        <f t="shared" si="35"/>
        <v>0</v>
      </c>
    </row>
    <row r="213" spans="3:25" x14ac:dyDescent="0.25">
      <c r="C213" s="2"/>
      <c r="D213" s="2"/>
      <c r="E213" s="17"/>
      <c r="F213" s="66" t="s">
        <v>48</v>
      </c>
      <c r="G213" s="12"/>
      <c r="H213" s="12"/>
      <c r="I213" s="12"/>
      <c r="J213" s="12"/>
      <c r="K213" s="12" t="s">
        <v>54</v>
      </c>
      <c r="L213" s="58"/>
      <c r="M213" s="12"/>
      <c r="N213" s="12"/>
      <c r="O213" s="13"/>
      <c r="P213" s="14"/>
      <c r="Q213" s="12"/>
      <c r="R213" s="13"/>
      <c r="S213" s="14"/>
      <c r="T213" s="12"/>
      <c r="U213" s="13"/>
      <c r="V213" s="14"/>
      <c r="W213" s="7"/>
      <c r="X213" s="1"/>
      <c r="Y213" s="1">
        <f t="shared" si="35"/>
        <v>0</v>
      </c>
    </row>
    <row r="214" spans="3:25" x14ac:dyDescent="0.25">
      <c r="C214" s="2"/>
      <c r="D214" s="2"/>
      <c r="E214" s="17"/>
      <c r="F214" s="66" t="s">
        <v>48</v>
      </c>
      <c r="G214" s="12"/>
      <c r="H214" s="12"/>
      <c r="I214" s="12"/>
      <c r="J214" s="12"/>
      <c r="K214" s="12" t="s">
        <v>55</v>
      </c>
      <c r="L214" s="58"/>
      <c r="M214" s="12"/>
      <c r="N214" s="12"/>
      <c r="O214" s="13"/>
      <c r="P214" s="14"/>
      <c r="Q214" s="12"/>
      <c r="R214" s="13"/>
      <c r="S214" s="14"/>
      <c r="T214" s="12">
        <v>0.17</v>
      </c>
      <c r="U214" s="13"/>
      <c r="V214" s="14">
        <f>T214*H208</f>
        <v>63.580000000000005</v>
      </c>
      <c r="W214" s="7"/>
      <c r="X214" s="1"/>
      <c r="Y214" s="1">
        <f t="shared" si="35"/>
        <v>63.580000000000005</v>
      </c>
    </row>
    <row r="215" spans="3:25" x14ac:dyDescent="0.25">
      <c r="C215" s="5"/>
      <c r="D215" s="5"/>
      <c r="E215" s="34"/>
      <c r="F215" s="25" t="s">
        <v>28</v>
      </c>
      <c r="G215" s="4"/>
      <c r="H215" s="4"/>
      <c r="I215" s="4">
        <f>72*3*6</f>
        <v>1296</v>
      </c>
      <c r="J215" s="4"/>
      <c r="K215" s="4" t="s">
        <v>25</v>
      </c>
      <c r="L215" s="58">
        <f>276.67*1000</f>
        <v>276670</v>
      </c>
      <c r="M215" s="4">
        <f>L215*I215</f>
        <v>358564320</v>
      </c>
      <c r="N215" s="4"/>
      <c r="O215" s="6">
        <v>1.5900000000000001E-2</v>
      </c>
      <c r="P215" s="3">
        <f t="shared" ref="P215:P222" si="39">O215*$M215</f>
        <v>5701172.6880000001</v>
      </c>
      <c r="Q215" s="4"/>
      <c r="R215" s="6">
        <v>2.4500000000000001E-2</v>
      </c>
      <c r="S215" s="3">
        <f t="shared" ref="S215:S222" si="40">R215*$M215</f>
        <v>8784825.8399999999</v>
      </c>
      <c r="T215" s="4"/>
      <c r="U215" s="6">
        <v>1.4E-3</v>
      </c>
      <c r="V215" s="3">
        <f t="shared" ref="V215:V222" si="41">U215*$M215</f>
        <v>501990.04800000001</v>
      </c>
      <c r="W215" s="7" t="e">
        <f>#REF!+#REF!+#REF!+#REF!+#REF!+#REF!+#REF!+#REF!+#REF!+#REF!+#REF!+#REF!</f>
        <v>#REF!</v>
      </c>
      <c r="X215" s="1" t="e">
        <f>#REF!+#REF!+#REF!+#REF!+#REF!+#REF!+#REF!+#REF!+#REF!+#REF!+#REF!+#REF!-M215</f>
        <v>#REF!</v>
      </c>
      <c r="Y215" s="1">
        <f t="shared" si="35"/>
        <v>14987988.576000001</v>
      </c>
    </row>
    <row r="216" spans="3:25" x14ac:dyDescent="0.25">
      <c r="C216" s="2"/>
      <c r="D216" s="2"/>
      <c r="E216" s="17"/>
      <c r="F216" s="66" t="s">
        <v>56</v>
      </c>
      <c r="G216" s="12"/>
      <c r="H216" s="12"/>
      <c r="I216" s="12"/>
      <c r="J216" s="12"/>
      <c r="K216" s="12" t="s">
        <v>57</v>
      </c>
      <c r="L216" s="58"/>
      <c r="M216" s="12"/>
      <c r="N216" s="12"/>
      <c r="O216" s="13"/>
      <c r="P216" s="14"/>
      <c r="Q216" s="12"/>
      <c r="R216" s="13"/>
      <c r="S216" s="14"/>
      <c r="T216" s="12"/>
      <c r="U216" s="13"/>
      <c r="V216" s="14"/>
      <c r="W216" s="7"/>
      <c r="X216" s="1"/>
      <c r="Y216" s="1">
        <f t="shared" si="35"/>
        <v>0</v>
      </c>
    </row>
    <row r="217" spans="3:25" x14ac:dyDescent="0.25">
      <c r="C217" s="2"/>
      <c r="D217" s="2"/>
      <c r="E217" s="17"/>
      <c r="F217" s="66" t="s">
        <v>56</v>
      </c>
      <c r="G217" s="12"/>
      <c r="H217" s="12"/>
      <c r="I217" s="12"/>
      <c r="J217" s="12"/>
      <c r="K217" s="12" t="s">
        <v>58</v>
      </c>
      <c r="L217" s="58"/>
      <c r="M217" s="12"/>
      <c r="N217" s="12">
        <v>4.58</v>
      </c>
      <c r="O217" s="13"/>
      <c r="P217" s="14">
        <f>N217*I215</f>
        <v>5935.68</v>
      </c>
      <c r="Q217" s="12"/>
      <c r="R217" s="13"/>
      <c r="S217" s="14"/>
      <c r="T217" s="12"/>
      <c r="U217" s="13"/>
      <c r="V217" s="14"/>
      <c r="W217" s="7"/>
      <c r="X217" s="1"/>
      <c r="Y217" s="1">
        <f t="shared" si="35"/>
        <v>5935.68</v>
      </c>
    </row>
    <row r="218" spans="3:25" x14ac:dyDescent="0.25">
      <c r="C218" s="2"/>
      <c r="D218" s="2"/>
      <c r="E218" s="17"/>
      <c r="F218" s="66" t="s">
        <v>56</v>
      </c>
      <c r="G218" s="12"/>
      <c r="H218" s="12"/>
      <c r="I218" s="12"/>
      <c r="J218" s="12"/>
      <c r="K218" s="12" t="s">
        <v>59</v>
      </c>
      <c r="L218" s="58"/>
      <c r="M218" s="12"/>
      <c r="N218" s="12"/>
      <c r="O218" s="13"/>
      <c r="P218" s="14"/>
      <c r="Q218" s="12">
        <v>6.59</v>
      </c>
      <c r="R218" s="13"/>
      <c r="S218" s="14">
        <f>Q218*I215</f>
        <v>8540.64</v>
      </c>
      <c r="T218" s="12"/>
      <c r="U218" s="13"/>
      <c r="V218" s="14"/>
      <c r="W218" s="7"/>
      <c r="X218" s="1"/>
      <c r="Y218" s="1">
        <f t="shared" si="35"/>
        <v>8540.64</v>
      </c>
    </row>
    <row r="219" spans="3:25" x14ac:dyDescent="0.25">
      <c r="C219" s="2"/>
      <c r="D219" s="2"/>
      <c r="E219" s="17"/>
      <c r="F219" s="66" t="s">
        <v>56</v>
      </c>
      <c r="G219" s="12"/>
      <c r="H219" s="12"/>
      <c r="I219" s="12"/>
      <c r="J219" s="12"/>
      <c r="K219" s="12" t="s">
        <v>60</v>
      </c>
      <c r="L219" s="58"/>
      <c r="M219" s="12"/>
      <c r="N219" s="12"/>
      <c r="O219" s="13"/>
      <c r="P219" s="14"/>
      <c r="Q219" s="12"/>
      <c r="R219" s="13"/>
      <c r="S219" s="14"/>
      <c r="T219" s="12"/>
      <c r="U219" s="13"/>
      <c r="V219" s="14"/>
      <c r="W219" s="7"/>
      <c r="X219" s="1"/>
      <c r="Y219" s="1">
        <f t="shared" si="35"/>
        <v>0</v>
      </c>
    </row>
    <row r="220" spans="3:25" x14ac:dyDescent="0.25">
      <c r="C220" s="2"/>
      <c r="D220" s="2"/>
      <c r="E220" s="17"/>
      <c r="F220" s="66" t="s">
        <v>56</v>
      </c>
      <c r="G220" s="12"/>
      <c r="H220" s="12"/>
      <c r="I220" s="12"/>
      <c r="J220" s="12"/>
      <c r="K220" s="12" t="s">
        <v>61</v>
      </c>
      <c r="L220" s="58"/>
      <c r="M220" s="12"/>
      <c r="N220" s="12"/>
      <c r="O220" s="13"/>
      <c r="P220" s="14"/>
      <c r="Q220" s="12"/>
      <c r="R220" s="13"/>
      <c r="S220" s="14"/>
      <c r="T220" s="12"/>
      <c r="U220" s="13"/>
      <c r="V220" s="14"/>
      <c r="W220" s="7"/>
      <c r="X220" s="1"/>
      <c r="Y220" s="1">
        <f t="shared" si="35"/>
        <v>0</v>
      </c>
    </row>
    <row r="221" spans="3:25" x14ac:dyDescent="0.25">
      <c r="C221" s="2"/>
      <c r="D221" s="2"/>
      <c r="E221" s="17"/>
      <c r="F221" s="66" t="s">
        <v>56</v>
      </c>
      <c r="G221" s="12"/>
      <c r="H221" s="12"/>
      <c r="I221" s="12"/>
      <c r="J221" s="12"/>
      <c r="K221" s="12" t="s">
        <v>62</v>
      </c>
      <c r="L221" s="58"/>
      <c r="M221" s="12"/>
      <c r="N221" s="12"/>
      <c r="O221" s="13"/>
      <c r="P221" s="14"/>
      <c r="Q221" s="12"/>
      <c r="R221" s="13"/>
      <c r="S221" s="14"/>
      <c r="T221" s="12">
        <v>0.39</v>
      </c>
      <c r="U221" s="13"/>
      <c r="V221" s="14">
        <f>T221*I215</f>
        <v>505.44</v>
      </c>
      <c r="W221" s="7"/>
      <c r="X221" s="1"/>
      <c r="Y221" s="1">
        <f t="shared" si="35"/>
        <v>505.44</v>
      </c>
    </row>
    <row r="222" spans="3:25" x14ac:dyDescent="0.25">
      <c r="C222" s="5"/>
      <c r="D222" s="5"/>
      <c r="E222" s="34"/>
      <c r="F222" s="44" t="s">
        <v>29</v>
      </c>
      <c r="G222" s="4"/>
      <c r="H222" s="4"/>
      <c r="I222" s="4"/>
      <c r="J222" s="4">
        <v>9500</v>
      </c>
      <c r="K222" s="4" t="s">
        <v>37</v>
      </c>
      <c r="L222" s="58">
        <v>382230</v>
      </c>
      <c r="M222" s="4">
        <f>J222*L222/100</f>
        <v>36311850</v>
      </c>
      <c r="N222" s="9"/>
      <c r="O222" s="10">
        <v>1.8100000000000002E-2</v>
      </c>
      <c r="P222" s="3">
        <f t="shared" si="39"/>
        <v>657244.4850000001</v>
      </c>
      <c r="Q222" s="9"/>
      <c r="R222" s="10">
        <v>3.0000000000000001E-3</v>
      </c>
      <c r="S222" s="3">
        <f t="shared" si="40"/>
        <v>108935.55</v>
      </c>
      <c r="T222" s="9"/>
      <c r="U222" s="10">
        <v>1.4E-3</v>
      </c>
      <c r="V222" s="3">
        <f t="shared" si="41"/>
        <v>50836.59</v>
      </c>
      <c r="W222" s="7" t="e">
        <f>#REF!+#REF!+#REF!+#REF!+#REF!+#REF!+#REF!+#REF!+#REF!+#REF!+#REF!+#REF!</f>
        <v>#REF!</v>
      </c>
      <c r="X222" s="1" t="e">
        <f>#REF!+#REF!+#REF!+#REF!+#REF!+#REF!+#REF!+#REF!+#REF!+#REF!+#REF!+#REF!-M222</f>
        <v>#REF!</v>
      </c>
      <c r="Y222" s="1">
        <f t="shared" si="35"/>
        <v>817016.62500000012</v>
      </c>
    </row>
    <row r="223" spans="3:25" x14ac:dyDescent="0.25">
      <c r="C223" s="2"/>
      <c r="D223" s="2"/>
      <c r="E223" s="17"/>
      <c r="F223" s="66" t="s">
        <v>56</v>
      </c>
      <c r="G223" s="4"/>
      <c r="H223" s="4"/>
      <c r="I223" s="4"/>
      <c r="J223" s="4"/>
      <c r="K223" s="4" t="s">
        <v>63</v>
      </c>
      <c r="L223" s="58"/>
      <c r="M223" s="4"/>
      <c r="N223" s="4">
        <v>4.67</v>
      </c>
      <c r="O223" s="6"/>
      <c r="P223" s="3">
        <f>N223*J222</f>
        <v>44365</v>
      </c>
      <c r="Q223" s="4"/>
      <c r="R223" s="6"/>
      <c r="S223" s="3"/>
      <c r="T223" s="4"/>
      <c r="U223" s="6"/>
      <c r="V223" s="3"/>
      <c r="W223" s="7"/>
      <c r="X223" s="1"/>
      <c r="Y223" s="1">
        <f t="shared" si="35"/>
        <v>44365</v>
      </c>
    </row>
    <row r="224" spans="3:25" x14ac:dyDescent="0.25">
      <c r="C224" s="2"/>
      <c r="D224" s="2"/>
      <c r="E224" s="17"/>
      <c r="F224" s="66" t="s">
        <v>56</v>
      </c>
      <c r="G224" s="4"/>
      <c r="H224" s="4"/>
      <c r="I224" s="4"/>
      <c r="J224" s="4"/>
      <c r="K224" s="4" t="s">
        <v>64</v>
      </c>
      <c r="L224" s="58"/>
      <c r="M224" s="4"/>
      <c r="N224" s="4"/>
      <c r="O224" s="6"/>
      <c r="P224" s="3"/>
      <c r="Q224" s="4">
        <v>0.86</v>
      </c>
      <c r="R224" s="6"/>
      <c r="S224" s="3">
        <f>Q224*J222</f>
        <v>8170</v>
      </c>
      <c r="T224" s="4"/>
      <c r="U224" s="6"/>
      <c r="V224" s="3"/>
      <c r="W224" s="7"/>
      <c r="X224" s="1"/>
      <c r="Y224" s="1">
        <f t="shared" si="35"/>
        <v>8170</v>
      </c>
    </row>
    <row r="225" spans="3:25" x14ac:dyDescent="0.25">
      <c r="C225" s="2"/>
      <c r="D225" s="2"/>
      <c r="E225" s="17"/>
      <c r="F225" s="66" t="s">
        <v>56</v>
      </c>
      <c r="G225" s="12"/>
      <c r="H225" s="12"/>
      <c r="I225" s="12"/>
      <c r="J225" s="12"/>
      <c r="K225" s="12" t="s">
        <v>65</v>
      </c>
      <c r="L225" s="58"/>
      <c r="M225" s="12"/>
      <c r="N225" s="12"/>
      <c r="O225" s="13"/>
      <c r="P225" s="14"/>
      <c r="Q225" s="12"/>
      <c r="R225" s="13"/>
      <c r="S225" s="14"/>
      <c r="T225" s="12"/>
      <c r="U225" s="13"/>
      <c r="V225" s="14"/>
      <c r="W225" s="7"/>
      <c r="X225" s="1"/>
      <c r="Y225" s="1">
        <f t="shared" si="35"/>
        <v>0</v>
      </c>
    </row>
    <row r="226" spans="3:25" x14ac:dyDescent="0.25">
      <c r="C226" s="2"/>
      <c r="D226" s="2"/>
      <c r="E226" s="17"/>
      <c r="F226" s="66" t="s">
        <v>56</v>
      </c>
      <c r="G226" s="12"/>
      <c r="H226" s="12"/>
      <c r="I226" s="12"/>
      <c r="J226" s="12"/>
      <c r="K226" s="12" t="s">
        <v>66</v>
      </c>
      <c r="L226" s="58"/>
      <c r="M226" s="12"/>
      <c r="N226" s="12"/>
      <c r="O226" s="13"/>
      <c r="P226" s="14"/>
      <c r="Q226" s="12"/>
      <c r="R226" s="13"/>
      <c r="S226" s="14"/>
      <c r="T226" s="12"/>
      <c r="U226" s="13"/>
      <c r="V226" s="14"/>
      <c r="W226" s="7"/>
      <c r="X226" s="1"/>
      <c r="Y226" s="1">
        <f t="shared" si="35"/>
        <v>0</v>
      </c>
    </row>
    <row r="227" spans="3:25" x14ac:dyDescent="0.25">
      <c r="C227" s="2"/>
      <c r="D227" s="2"/>
      <c r="E227" s="17"/>
      <c r="F227" s="66" t="s">
        <v>56</v>
      </c>
      <c r="G227" s="12"/>
      <c r="H227" s="12"/>
      <c r="I227" s="12"/>
      <c r="J227" s="12"/>
      <c r="K227" s="12" t="s">
        <v>67</v>
      </c>
      <c r="L227" s="58"/>
      <c r="M227" s="12"/>
      <c r="N227" s="12"/>
      <c r="O227" s="13"/>
      <c r="P227" s="14"/>
      <c r="Q227" s="12"/>
      <c r="R227" s="13"/>
      <c r="S227" s="14"/>
      <c r="T227" s="12">
        <v>0.53</v>
      </c>
      <c r="U227" s="13"/>
      <c r="V227" s="14">
        <f>T227*J222</f>
        <v>5035</v>
      </c>
      <c r="W227" s="7"/>
      <c r="X227" s="1"/>
      <c r="Y227" s="1">
        <f t="shared" si="35"/>
        <v>5035</v>
      </c>
    </row>
    <row r="228" spans="3:25" ht="63.75" thickBot="1" x14ac:dyDescent="0.3">
      <c r="C228" s="16"/>
      <c r="D228" s="16"/>
      <c r="E228" s="35"/>
      <c r="F228" s="32" t="s">
        <v>15</v>
      </c>
      <c r="G228" s="27"/>
      <c r="H228" s="27"/>
      <c r="I228" s="27"/>
      <c r="J228" s="27"/>
      <c r="K228" s="27"/>
      <c r="L228" s="59"/>
      <c r="M228" s="27">
        <f>SUM(M201:M227)</f>
        <v>2668566910</v>
      </c>
      <c r="N228" s="27"/>
      <c r="O228" s="28"/>
      <c r="P228" s="27">
        <f>SUM(P201:P227)</f>
        <v>42829390.742999993</v>
      </c>
      <c r="Q228" s="27"/>
      <c r="R228" s="28"/>
      <c r="S228" s="27">
        <f>SUM(S201:S227)</f>
        <v>61947306.381999999</v>
      </c>
      <c r="T228" s="27"/>
      <c r="U228" s="28"/>
      <c r="V228" s="27">
        <f>SUM(V201:V227)</f>
        <v>3744696.4439999997</v>
      </c>
      <c r="W228" s="7" t="e">
        <f>#REF!+#REF!+#REF!+#REF!+#REF!+#REF!+#REF!+#REF!+#REF!+#REF!+#REF!+#REF!</f>
        <v>#REF!</v>
      </c>
      <c r="X228" s="1" t="e">
        <f>#REF!+#REF!+#REF!+#REF!+#REF!+#REF!+#REF!+#REF!+#REF!+#REF!+#REF!+#REF!-M228</f>
        <v>#REF!</v>
      </c>
      <c r="Y228" s="1">
        <f t="shared" si="35"/>
        <v>108521393.56899999</v>
      </c>
    </row>
    <row r="229" spans="3:25" ht="63" x14ac:dyDescent="0.25">
      <c r="C229" s="5" t="s">
        <v>12</v>
      </c>
      <c r="D229" s="5" t="s">
        <v>13</v>
      </c>
      <c r="E229" s="34" t="s">
        <v>9</v>
      </c>
      <c r="F229" s="31" t="s">
        <v>16</v>
      </c>
      <c r="G229" s="21">
        <v>19236.8</v>
      </c>
      <c r="H229" s="21">
        <v>12263</v>
      </c>
      <c r="I229" s="21"/>
      <c r="J229" s="21"/>
      <c r="K229" s="21" t="s">
        <v>21</v>
      </c>
      <c r="L229" s="60">
        <f>179.64*1000</f>
        <v>179640</v>
      </c>
      <c r="M229" s="21">
        <f>L229*H229</f>
        <v>2202925320</v>
      </c>
      <c r="N229" s="21"/>
      <c r="O229" s="22">
        <v>1.6E-2</v>
      </c>
      <c r="P229" s="23">
        <f t="shared" ref="P229:P236" si="42">O229*$M229</f>
        <v>35246805.119999997</v>
      </c>
      <c r="Q229" s="21"/>
      <c r="R229" s="22">
        <v>2.3300000000000001E-2</v>
      </c>
      <c r="S229" s="3">
        <f t="shared" ref="S229:S236" si="43">R229*$M229</f>
        <v>51328159.956</v>
      </c>
      <c r="T229" s="21"/>
      <c r="U229" s="22">
        <v>1.4E-3</v>
      </c>
      <c r="V229" s="3">
        <f t="shared" ref="V229:V236" si="44">U229*$M229</f>
        <v>3084095.4479999999</v>
      </c>
      <c r="W229" s="7" t="e">
        <f>#REF!+#REF!+#REF!+#REF!+#REF!+#REF!+#REF!+#REF!+#REF!+#REF!+#REF!+#REF!</f>
        <v>#REF!</v>
      </c>
      <c r="X229" s="1" t="e">
        <f>#REF!+#REF!+#REF!+#REF!+#REF!+#REF!+#REF!+#REF!+#REF!+#REF!+#REF!+#REF!-M229</f>
        <v>#REF!</v>
      </c>
      <c r="Y229" s="1">
        <f t="shared" si="35"/>
        <v>89659060.523999989</v>
      </c>
    </row>
    <row r="230" spans="3:25" x14ac:dyDescent="0.25">
      <c r="C230" s="2"/>
      <c r="D230" s="2"/>
      <c r="E230" s="17"/>
      <c r="F230" s="66" t="s">
        <v>48</v>
      </c>
      <c r="G230" s="12"/>
      <c r="H230" s="12"/>
      <c r="I230" s="12"/>
      <c r="J230" s="12"/>
      <c r="K230" s="12" t="s">
        <v>49</v>
      </c>
      <c r="L230" s="58"/>
      <c r="M230" s="12"/>
      <c r="N230" s="12"/>
      <c r="O230" s="13"/>
      <c r="P230" s="14"/>
      <c r="Q230" s="12"/>
      <c r="R230" s="13"/>
      <c r="S230" s="14"/>
      <c r="T230" s="12"/>
      <c r="U230" s="13"/>
      <c r="V230" s="14"/>
      <c r="W230" s="7"/>
      <c r="X230" s="1"/>
      <c r="Y230" s="1">
        <f t="shared" si="35"/>
        <v>0</v>
      </c>
    </row>
    <row r="231" spans="3:25" x14ac:dyDescent="0.25">
      <c r="C231" s="2"/>
      <c r="D231" s="2"/>
      <c r="E231" s="17"/>
      <c r="F231" s="66" t="s">
        <v>48</v>
      </c>
      <c r="G231" s="12"/>
      <c r="H231" s="12"/>
      <c r="I231" s="12"/>
      <c r="J231" s="12"/>
      <c r="K231" s="12" t="s">
        <v>51</v>
      </c>
      <c r="L231" s="58"/>
      <c r="M231" s="12"/>
      <c r="N231" s="12">
        <v>3.29</v>
      </c>
      <c r="O231" s="13"/>
      <c r="P231" s="14">
        <f>N231*H229</f>
        <v>40345.270000000004</v>
      </c>
      <c r="Q231" s="12"/>
      <c r="R231" s="13"/>
      <c r="S231" s="14"/>
      <c r="T231" s="12"/>
      <c r="U231" s="13"/>
      <c r="V231" s="14"/>
      <c r="W231" s="7"/>
      <c r="X231" s="1"/>
      <c r="Y231" s="1">
        <f t="shared" si="35"/>
        <v>40345.270000000004</v>
      </c>
    </row>
    <row r="232" spans="3:25" x14ac:dyDescent="0.25">
      <c r="C232" s="2"/>
      <c r="D232" s="2"/>
      <c r="E232" s="17"/>
      <c r="F232" s="66" t="s">
        <v>48</v>
      </c>
      <c r="G232" s="12"/>
      <c r="H232" s="12"/>
      <c r="I232" s="12"/>
      <c r="J232" s="12"/>
      <c r="K232" s="12" t="s">
        <v>52</v>
      </c>
      <c r="L232" s="58"/>
      <c r="M232" s="12"/>
      <c r="N232" s="12"/>
      <c r="O232" s="13"/>
      <c r="P232" s="14"/>
      <c r="Q232" s="12">
        <v>4.7300000000000004</v>
      </c>
      <c r="R232" s="13"/>
      <c r="S232" s="14">
        <f>Q232*H229</f>
        <v>58003.990000000005</v>
      </c>
      <c r="T232" s="12"/>
      <c r="U232" s="13"/>
      <c r="V232" s="14"/>
      <c r="W232" s="7"/>
      <c r="X232" s="1"/>
      <c r="Y232" s="1">
        <f t="shared" si="35"/>
        <v>58003.990000000005</v>
      </c>
    </row>
    <row r="233" spans="3:25" x14ac:dyDescent="0.25">
      <c r="C233" s="2"/>
      <c r="D233" s="2"/>
      <c r="E233" s="17"/>
      <c r="F233" s="66" t="s">
        <v>48</v>
      </c>
      <c r="G233" s="12"/>
      <c r="H233" s="12"/>
      <c r="I233" s="12"/>
      <c r="J233" s="12"/>
      <c r="K233" s="12" t="s">
        <v>53</v>
      </c>
      <c r="L233" s="58"/>
      <c r="M233" s="12"/>
      <c r="N233" s="12"/>
      <c r="O233" s="13"/>
      <c r="P233" s="14"/>
      <c r="Q233" s="12"/>
      <c r="R233" s="13"/>
      <c r="S233" s="14"/>
      <c r="T233" s="12"/>
      <c r="U233" s="13"/>
      <c r="V233" s="14"/>
      <c r="W233" s="7"/>
      <c r="X233" s="1"/>
      <c r="Y233" s="1">
        <f t="shared" si="35"/>
        <v>0</v>
      </c>
    </row>
    <row r="234" spans="3:25" x14ac:dyDescent="0.25">
      <c r="C234" s="2"/>
      <c r="D234" s="2"/>
      <c r="E234" s="17"/>
      <c r="F234" s="66" t="s">
        <v>48</v>
      </c>
      <c r="G234" s="12"/>
      <c r="H234" s="12"/>
      <c r="I234" s="12"/>
      <c r="J234" s="12"/>
      <c r="K234" s="12" t="s">
        <v>54</v>
      </c>
      <c r="L234" s="58"/>
      <c r="M234" s="12"/>
      <c r="N234" s="12"/>
      <c r="O234" s="13"/>
      <c r="P234" s="14"/>
      <c r="Q234" s="12"/>
      <c r="R234" s="13"/>
      <c r="S234" s="14"/>
      <c r="T234" s="12"/>
      <c r="U234" s="13"/>
      <c r="V234" s="14"/>
      <c r="W234" s="7"/>
      <c r="X234" s="1"/>
      <c r="Y234" s="1">
        <f t="shared" si="35"/>
        <v>0</v>
      </c>
    </row>
    <row r="235" spans="3:25" x14ac:dyDescent="0.25">
      <c r="C235" s="2"/>
      <c r="D235" s="2"/>
      <c r="E235" s="17"/>
      <c r="F235" s="66" t="s">
        <v>48</v>
      </c>
      <c r="G235" s="12"/>
      <c r="H235" s="12"/>
      <c r="I235" s="12"/>
      <c r="J235" s="12"/>
      <c r="K235" s="12" t="s">
        <v>55</v>
      </c>
      <c r="L235" s="58"/>
      <c r="M235" s="12"/>
      <c r="N235" s="12"/>
      <c r="O235" s="13"/>
      <c r="P235" s="14"/>
      <c r="Q235" s="12"/>
      <c r="R235" s="13"/>
      <c r="S235" s="14"/>
      <c r="T235" s="12">
        <v>0.25</v>
      </c>
      <c r="U235" s="13"/>
      <c r="V235" s="14">
        <f>T235*H229</f>
        <v>3065.75</v>
      </c>
      <c r="W235" s="7"/>
      <c r="X235" s="1"/>
      <c r="Y235" s="1">
        <f t="shared" si="35"/>
        <v>3065.75</v>
      </c>
    </row>
    <row r="236" spans="3:25" ht="31.5" x14ac:dyDescent="0.25">
      <c r="C236" s="5"/>
      <c r="D236" s="5"/>
      <c r="E236" s="34"/>
      <c r="F236" s="24" t="s">
        <v>30</v>
      </c>
      <c r="G236" s="4"/>
      <c r="H236" s="4">
        <v>370</v>
      </c>
      <c r="I236" s="4"/>
      <c r="J236" s="12"/>
      <c r="K236" s="12" t="s">
        <v>21</v>
      </c>
      <c r="L236" s="61">
        <f>125.81*1000</f>
        <v>125810</v>
      </c>
      <c r="M236" s="12">
        <f>L236*H236</f>
        <v>46549700</v>
      </c>
      <c r="N236" s="12"/>
      <c r="O236" s="13">
        <v>1.6E-2</v>
      </c>
      <c r="P236" s="14">
        <f t="shared" si="42"/>
        <v>744795.20000000007</v>
      </c>
      <c r="Q236" s="12"/>
      <c r="R236" s="13">
        <v>2.3300000000000001E-2</v>
      </c>
      <c r="S236" s="3">
        <f t="shared" si="43"/>
        <v>1084608.01</v>
      </c>
      <c r="T236" s="12"/>
      <c r="U236" s="13">
        <v>1.4E-3</v>
      </c>
      <c r="V236" s="3">
        <f t="shared" si="44"/>
        <v>65169.58</v>
      </c>
      <c r="W236" s="7" t="e">
        <f>#REF!+#REF!+#REF!+#REF!+#REF!+#REF!+#REF!+#REF!+#REF!+#REF!+#REF!+#REF!</f>
        <v>#REF!</v>
      </c>
      <c r="X236" s="1" t="e">
        <f>#REF!+#REF!+#REF!+#REF!+#REF!+#REF!+#REF!+#REF!+#REF!+#REF!+#REF!+#REF!-M236</f>
        <v>#REF!</v>
      </c>
      <c r="Y236" s="1">
        <f t="shared" si="35"/>
        <v>1894572.79</v>
      </c>
    </row>
    <row r="237" spans="3:25" x14ac:dyDescent="0.25">
      <c r="C237" s="2"/>
      <c r="D237" s="2"/>
      <c r="E237" s="17"/>
      <c r="F237" s="66" t="s">
        <v>48</v>
      </c>
      <c r="G237" s="12"/>
      <c r="H237" s="12"/>
      <c r="I237" s="12"/>
      <c r="J237" s="12"/>
      <c r="K237" s="12" t="s">
        <v>49</v>
      </c>
      <c r="L237" s="58"/>
      <c r="M237" s="12"/>
      <c r="N237" s="12"/>
      <c r="O237" s="13"/>
      <c r="P237" s="14"/>
      <c r="Q237" s="12"/>
      <c r="R237" s="13"/>
      <c r="S237" s="14"/>
      <c r="T237" s="12"/>
      <c r="U237" s="13"/>
      <c r="V237" s="14"/>
      <c r="W237" s="7"/>
      <c r="X237" s="1"/>
      <c r="Y237" s="1">
        <f t="shared" si="35"/>
        <v>0</v>
      </c>
    </row>
    <row r="238" spans="3:25" x14ac:dyDescent="0.25">
      <c r="C238" s="2"/>
      <c r="D238" s="2"/>
      <c r="E238" s="17"/>
      <c r="F238" s="66" t="s">
        <v>48</v>
      </c>
      <c r="G238" s="12"/>
      <c r="H238" s="12"/>
      <c r="I238" s="12"/>
      <c r="J238" s="12"/>
      <c r="K238" s="12" t="s">
        <v>51</v>
      </c>
      <c r="L238" s="58"/>
      <c r="M238" s="12"/>
      <c r="N238" s="12">
        <v>2.25</v>
      </c>
      <c r="O238" s="13"/>
      <c r="P238" s="14">
        <f>N238*H236</f>
        <v>832.5</v>
      </c>
      <c r="Q238" s="12"/>
      <c r="R238" s="13"/>
      <c r="S238" s="14"/>
      <c r="T238" s="12"/>
      <c r="U238" s="13"/>
      <c r="V238" s="14"/>
      <c r="W238" s="7"/>
      <c r="X238" s="1"/>
      <c r="Y238" s="1">
        <f t="shared" si="35"/>
        <v>832.5</v>
      </c>
    </row>
    <row r="239" spans="3:25" x14ac:dyDescent="0.25">
      <c r="C239" s="2"/>
      <c r="D239" s="2"/>
      <c r="E239" s="17"/>
      <c r="F239" s="66" t="s">
        <v>48</v>
      </c>
      <c r="G239" s="12"/>
      <c r="H239" s="12"/>
      <c r="I239" s="12"/>
      <c r="J239" s="12"/>
      <c r="K239" s="12" t="s">
        <v>52</v>
      </c>
      <c r="L239" s="58"/>
      <c r="M239" s="12"/>
      <c r="N239" s="12"/>
      <c r="O239" s="13"/>
      <c r="P239" s="14"/>
      <c r="Q239" s="12">
        <v>3.24</v>
      </c>
      <c r="R239" s="13"/>
      <c r="S239" s="14">
        <f>Q239*H236</f>
        <v>1198.8000000000002</v>
      </c>
      <c r="T239" s="12"/>
      <c r="U239" s="13"/>
      <c r="V239" s="14"/>
      <c r="W239" s="7"/>
      <c r="X239" s="1"/>
      <c r="Y239" s="1">
        <f t="shared" si="35"/>
        <v>1198.8000000000002</v>
      </c>
    </row>
    <row r="240" spans="3:25" x14ac:dyDescent="0.25">
      <c r="C240" s="2"/>
      <c r="D240" s="2"/>
      <c r="E240" s="17"/>
      <c r="F240" s="66" t="s">
        <v>48</v>
      </c>
      <c r="G240" s="12"/>
      <c r="H240" s="12"/>
      <c r="I240" s="12"/>
      <c r="J240" s="12"/>
      <c r="K240" s="12" t="s">
        <v>53</v>
      </c>
      <c r="L240" s="58"/>
      <c r="M240" s="12"/>
      <c r="N240" s="12"/>
      <c r="O240" s="13"/>
      <c r="P240" s="14"/>
      <c r="Q240" s="12"/>
      <c r="R240" s="13"/>
      <c r="S240" s="14"/>
      <c r="T240" s="12"/>
      <c r="U240" s="13"/>
      <c r="V240" s="14"/>
      <c r="W240" s="7"/>
      <c r="X240" s="1"/>
      <c r="Y240" s="1">
        <f t="shared" si="35"/>
        <v>0</v>
      </c>
    </row>
    <row r="241" spans="3:25" x14ac:dyDescent="0.25">
      <c r="C241" s="2"/>
      <c r="D241" s="2"/>
      <c r="E241" s="17"/>
      <c r="F241" s="66" t="s">
        <v>48</v>
      </c>
      <c r="G241" s="12"/>
      <c r="H241" s="12"/>
      <c r="I241" s="12"/>
      <c r="J241" s="12"/>
      <c r="K241" s="12" t="s">
        <v>54</v>
      </c>
      <c r="L241" s="58"/>
      <c r="M241" s="12"/>
      <c r="N241" s="12"/>
      <c r="O241" s="13"/>
      <c r="P241" s="14"/>
      <c r="Q241" s="12"/>
      <c r="R241" s="13"/>
      <c r="S241" s="14"/>
      <c r="T241" s="12"/>
      <c r="U241" s="13"/>
      <c r="V241" s="14"/>
      <c r="W241" s="7"/>
      <c r="X241" s="1"/>
      <c r="Y241" s="1">
        <f t="shared" si="35"/>
        <v>0</v>
      </c>
    </row>
    <row r="242" spans="3:25" x14ac:dyDescent="0.25">
      <c r="C242" s="2"/>
      <c r="D242" s="2"/>
      <c r="E242" s="17"/>
      <c r="F242" s="66" t="s">
        <v>48</v>
      </c>
      <c r="G242" s="12"/>
      <c r="H242" s="12"/>
      <c r="I242" s="12"/>
      <c r="J242" s="12"/>
      <c r="K242" s="12" t="s">
        <v>55</v>
      </c>
      <c r="L242" s="58"/>
      <c r="M242" s="12"/>
      <c r="N242" s="12"/>
      <c r="O242" s="13"/>
      <c r="P242" s="14"/>
      <c r="Q242" s="12"/>
      <c r="R242" s="13"/>
      <c r="S242" s="14"/>
      <c r="T242" s="12">
        <v>0.17</v>
      </c>
      <c r="U242" s="13"/>
      <c r="V242" s="14">
        <f>T242*H236</f>
        <v>62.900000000000006</v>
      </c>
      <c r="W242" s="7"/>
      <c r="X242" s="1"/>
      <c r="Y242" s="1">
        <f t="shared" si="35"/>
        <v>62.900000000000006</v>
      </c>
    </row>
    <row r="243" spans="3:25" x14ac:dyDescent="0.25">
      <c r="C243" s="5"/>
      <c r="D243" s="5"/>
      <c r="E243" s="34"/>
      <c r="F243" s="25" t="s">
        <v>28</v>
      </c>
      <c r="G243" s="4"/>
      <c r="H243" s="4"/>
      <c r="I243" s="4">
        <f>82*3*6</f>
        <v>1476</v>
      </c>
      <c r="J243" s="4"/>
      <c r="K243" s="4" t="s">
        <v>25</v>
      </c>
      <c r="L243" s="58">
        <f>276.67*1000</f>
        <v>276670</v>
      </c>
      <c r="M243" s="4">
        <f>L243*I243</f>
        <v>408364920</v>
      </c>
      <c r="N243" s="4"/>
      <c r="O243" s="6">
        <v>1.5900000000000001E-2</v>
      </c>
      <c r="P243" s="3">
        <f t="shared" ref="P243:P250" si="45">O243*$M243</f>
        <v>6493002.2280000001</v>
      </c>
      <c r="Q243" s="4"/>
      <c r="R243" s="6">
        <v>2.4500000000000001E-2</v>
      </c>
      <c r="S243" s="3">
        <f t="shared" ref="S243:S250" si="46">R243*$M243</f>
        <v>10004940.540000001</v>
      </c>
      <c r="T243" s="4"/>
      <c r="U243" s="6">
        <v>1.4E-3</v>
      </c>
      <c r="V243" s="3">
        <f t="shared" ref="V243:V250" si="47">U243*$M243</f>
        <v>571710.88800000004</v>
      </c>
      <c r="W243" s="7" t="e">
        <f>#REF!+#REF!+#REF!+#REF!+#REF!+#REF!+#REF!+#REF!+#REF!+#REF!+#REF!+#REF!</f>
        <v>#REF!</v>
      </c>
      <c r="X243" s="1" t="e">
        <f>#REF!+#REF!+#REF!+#REF!+#REF!+#REF!+#REF!+#REF!+#REF!+#REF!+#REF!+#REF!-M243</f>
        <v>#REF!</v>
      </c>
      <c r="Y243" s="1">
        <f t="shared" si="35"/>
        <v>17069653.656000003</v>
      </c>
    </row>
    <row r="244" spans="3:25" x14ac:dyDescent="0.25">
      <c r="C244" s="2"/>
      <c r="D244" s="2"/>
      <c r="E244" s="17"/>
      <c r="F244" s="66" t="s">
        <v>56</v>
      </c>
      <c r="G244" s="12"/>
      <c r="H244" s="12"/>
      <c r="I244" s="12"/>
      <c r="J244" s="12"/>
      <c r="K244" s="12" t="s">
        <v>57</v>
      </c>
      <c r="L244" s="58"/>
      <c r="M244" s="12"/>
      <c r="N244" s="12"/>
      <c r="O244" s="13"/>
      <c r="P244" s="14"/>
      <c r="Q244" s="12"/>
      <c r="R244" s="13"/>
      <c r="S244" s="14"/>
      <c r="T244" s="12"/>
      <c r="U244" s="13"/>
      <c r="V244" s="14"/>
      <c r="W244" s="7"/>
      <c r="X244" s="1"/>
      <c r="Y244" s="1">
        <f t="shared" si="35"/>
        <v>0</v>
      </c>
    </row>
    <row r="245" spans="3:25" x14ac:dyDescent="0.25">
      <c r="C245" s="2"/>
      <c r="D245" s="2"/>
      <c r="E245" s="17"/>
      <c r="F245" s="66" t="s">
        <v>56</v>
      </c>
      <c r="G245" s="12"/>
      <c r="H245" s="12"/>
      <c r="I245" s="12"/>
      <c r="J245" s="12"/>
      <c r="K245" s="12" t="s">
        <v>58</v>
      </c>
      <c r="L245" s="58"/>
      <c r="M245" s="12"/>
      <c r="N245" s="12">
        <v>4.58</v>
      </c>
      <c r="O245" s="13"/>
      <c r="P245" s="14">
        <f>N245*I243</f>
        <v>6760.08</v>
      </c>
      <c r="Q245" s="12"/>
      <c r="R245" s="13"/>
      <c r="S245" s="14"/>
      <c r="T245" s="12"/>
      <c r="U245" s="13"/>
      <c r="V245" s="14"/>
      <c r="W245" s="7"/>
      <c r="X245" s="1"/>
      <c r="Y245" s="1">
        <f t="shared" si="35"/>
        <v>6760.08</v>
      </c>
    </row>
    <row r="246" spans="3:25" x14ac:dyDescent="0.25">
      <c r="C246" s="2"/>
      <c r="D246" s="2"/>
      <c r="E246" s="17"/>
      <c r="F246" s="66" t="s">
        <v>56</v>
      </c>
      <c r="G246" s="12"/>
      <c r="H246" s="12"/>
      <c r="I246" s="12"/>
      <c r="J246" s="12"/>
      <c r="K246" s="12" t="s">
        <v>59</v>
      </c>
      <c r="L246" s="58"/>
      <c r="M246" s="12"/>
      <c r="N246" s="12"/>
      <c r="O246" s="13"/>
      <c r="P246" s="14"/>
      <c r="Q246" s="12">
        <v>6.59</v>
      </c>
      <c r="R246" s="13"/>
      <c r="S246" s="14">
        <f>Q246*I243</f>
        <v>9726.84</v>
      </c>
      <c r="T246" s="12"/>
      <c r="U246" s="13"/>
      <c r="V246" s="14"/>
      <c r="W246" s="7"/>
      <c r="X246" s="1"/>
      <c r="Y246" s="1">
        <f t="shared" si="35"/>
        <v>9726.84</v>
      </c>
    </row>
    <row r="247" spans="3:25" x14ac:dyDescent="0.25">
      <c r="C247" s="2"/>
      <c r="D247" s="2"/>
      <c r="E247" s="17"/>
      <c r="F247" s="66" t="s">
        <v>56</v>
      </c>
      <c r="G247" s="12"/>
      <c r="H247" s="12"/>
      <c r="I247" s="12"/>
      <c r="J247" s="12"/>
      <c r="K247" s="12" t="s">
        <v>60</v>
      </c>
      <c r="L247" s="58"/>
      <c r="M247" s="12"/>
      <c r="N247" s="12"/>
      <c r="O247" s="13"/>
      <c r="P247" s="14"/>
      <c r="Q247" s="12"/>
      <c r="R247" s="13"/>
      <c r="S247" s="14"/>
      <c r="T247" s="12"/>
      <c r="U247" s="13"/>
      <c r="V247" s="14"/>
      <c r="W247" s="7"/>
      <c r="X247" s="1"/>
      <c r="Y247" s="1">
        <f t="shared" si="35"/>
        <v>0</v>
      </c>
    </row>
    <row r="248" spans="3:25" x14ac:dyDescent="0.25">
      <c r="C248" s="2"/>
      <c r="D248" s="2"/>
      <c r="E248" s="17"/>
      <c r="F248" s="66" t="s">
        <v>56</v>
      </c>
      <c r="G248" s="12"/>
      <c r="H248" s="12"/>
      <c r="I248" s="12"/>
      <c r="J248" s="12"/>
      <c r="K248" s="12" t="s">
        <v>61</v>
      </c>
      <c r="L248" s="58"/>
      <c r="M248" s="12"/>
      <c r="N248" s="12"/>
      <c r="O248" s="13"/>
      <c r="P248" s="14"/>
      <c r="Q248" s="12"/>
      <c r="R248" s="13"/>
      <c r="S248" s="14"/>
      <c r="T248" s="12"/>
      <c r="U248" s="13"/>
      <c r="V248" s="14"/>
      <c r="W248" s="7"/>
      <c r="X248" s="1"/>
      <c r="Y248" s="1">
        <f t="shared" si="35"/>
        <v>0</v>
      </c>
    </row>
    <row r="249" spans="3:25" x14ac:dyDescent="0.25">
      <c r="C249" s="2"/>
      <c r="D249" s="2"/>
      <c r="E249" s="17"/>
      <c r="F249" s="66" t="s">
        <v>56</v>
      </c>
      <c r="G249" s="12"/>
      <c r="H249" s="12"/>
      <c r="I249" s="12"/>
      <c r="J249" s="12"/>
      <c r="K249" s="12" t="s">
        <v>62</v>
      </c>
      <c r="L249" s="58"/>
      <c r="M249" s="12"/>
      <c r="N249" s="12"/>
      <c r="O249" s="13"/>
      <c r="P249" s="14"/>
      <c r="Q249" s="12"/>
      <c r="R249" s="13"/>
      <c r="S249" s="14"/>
      <c r="T249" s="12">
        <v>0.39</v>
      </c>
      <c r="U249" s="13"/>
      <c r="V249" s="14">
        <f>T249*I243</f>
        <v>575.64</v>
      </c>
      <c r="W249" s="7"/>
      <c r="X249" s="1"/>
      <c r="Y249" s="1">
        <f t="shared" si="35"/>
        <v>575.64</v>
      </c>
    </row>
    <row r="250" spans="3:25" x14ac:dyDescent="0.25">
      <c r="C250" s="5"/>
      <c r="D250" s="5"/>
      <c r="E250" s="34"/>
      <c r="F250" s="42" t="s">
        <v>29</v>
      </c>
      <c r="G250" s="4"/>
      <c r="H250" s="4"/>
      <c r="I250" s="4"/>
      <c r="J250" s="45">
        <f>9500*0</f>
        <v>0</v>
      </c>
      <c r="K250" s="4" t="s">
        <v>37</v>
      </c>
      <c r="L250" s="58">
        <v>382230</v>
      </c>
      <c r="M250" s="4">
        <f>J250*L250/100</f>
        <v>0</v>
      </c>
      <c r="N250" s="9"/>
      <c r="O250" s="10">
        <v>1.8100000000000002E-2</v>
      </c>
      <c r="P250" s="3">
        <f t="shared" si="45"/>
        <v>0</v>
      </c>
      <c r="Q250" s="9"/>
      <c r="R250" s="10">
        <v>3.0000000000000001E-3</v>
      </c>
      <c r="S250" s="3">
        <f t="shared" si="46"/>
        <v>0</v>
      </c>
      <c r="T250" s="9"/>
      <c r="U250" s="10">
        <v>1.4E-3</v>
      </c>
      <c r="V250" s="3">
        <f t="shared" si="47"/>
        <v>0</v>
      </c>
      <c r="W250" s="7" t="e">
        <f>#REF!+#REF!+#REF!+#REF!+#REF!+#REF!+#REF!+#REF!+#REF!+#REF!+#REF!+#REF!</f>
        <v>#REF!</v>
      </c>
      <c r="X250" s="1" t="e">
        <f>#REF!+#REF!+#REF!+#REF!+#REF!+#REF!+#REF!+#REF!+#REF!+#REF!+#REF!+#REF!-M250</f>
        <v>#REF!</v>
      </c>
      <c r="Y250" s="1">
        <f t="shared" si="35"/>
        <v>0</v>
      </c>
    </row>
    <row r="251" spans="3:25" x14ac:dyDescent="0.25">
      <c r="C251" s="2"/>
      <c r="D251" s="2"/>
      <c r="E251" s="17"/>
      <c r="F251" s="66" t="s">
        <v>56</v>
      </c>
      <c r="G251" s="4"/>
      <c r="H251" s="4"/>
      <c r="I251" s="4"/>
      <c r="J251" s="4"/>
      <c r="K251" s="4" t="s">
        <v>63</v>
      </c>
      <c r="L251" s="58"/>
      <c r="M251" s="4"/>
      <c r="N251" s="4">
        <v>4.67</v>
      </c>
      <c r="O251" s="6"/>
      <c r="P251" s="3">
        <f>N251*J250</f>
        <v>0</v>
      </c>
      <c r="Q251" s="4"/>
      <c r="R251" s="6"/>
      <c r="S251" s="3"/>
      <c r="T251" s="4"/>
      <c r="U251" s="6"/>
      <c r="V251" s="3"/>
      <c r="W251" s="7"/>
      <c r="X251" s="1"/>
      <c r="Y251" s="1">
        <f t="shared" si="35"/>
        <v>0</v>
      </c>
    </row>
    <row r="252" spans="3:25" x14ac:dyDescent="0.25">
      <c r="C252" s="2"/>
      <c r="D252" s="2"/>
      <c r="E252" s="17"/>
      <c r="F252" s="66" t="s">
        <v>56</v>
      </c>
      <c r="G252" s="4"/>
      <c r="H252" s="4"/>
      <c r="I252" s="4"/>
      <c r="J252" s="4"/>
      <c r="K252" s="4" t="s">
        <v>64</v>
      </c>
      <c r="L252" s="58"/>
      <c r="M252" s="4"/>
      <c r="N252" s="4"/>
      <c r="O252" s="6"/>
      <c r="P252" s="3"/>
      <c r="Q252" s="4">
        <v>0.86</v>
      </c>
      <c r="R252" s="6"/>
      <c r="S252" s="3">
        <f>Q252*J250</f>
        <v>0</v>
      </c>
      <c r="T252" s="4"/>
      <c r="U252" s="6"/>
      <c r="V252" s="3"/>
      <c r="W252" s="7"/>
      <c r="X252" s="1"/>
      <c r="Y252" s="1">
        <f t="shared" si="35"/>
        <v>0</v>
      </c>
    </row>
    <row r="253" spans="3:25" x14ac:dyDescent="0.25">
      <c r="C253" s="2"/>
      <c r="D253" s="2"/>
      <c r="E253" s="17"/>
      <c r="F253" s="66" t="s">
        <v>56</v>
      </c>
      <c r="G253" s="12"/>
      <c r="H253" s="12"/>
      <c r="I253" s="12"/>
      <c r="J253" s="12"/>
      <c r="K253" s="12" t="s">
        <v>65</v>
      </c>
      <c r="L253" s="58"/>
      <c r="M253" s="12"/>
      <c r="N253" s="12"/>
      <c r="O253" s="13"/>
      <c r="P253" s="14"/>
      <c r="Q253" s="12"/>
      <c r="R253" s="13"/>
      <c r="S253" s="14"/>
      <c r="T253" s="12"/>
      <c r="U253" s="13"/>
      <c r="V253" s="14"/>
      <c r="W253" s="7"/>
      <c r="X253" s="1"/>
      <c r="Y253" s="1">
        <f t="shared" si="35"/>
        <v>0</v>
      </c>
    </row>
    <row r="254" spans="3:25" x14ac:dyDescent="0.25">
      <c r="C254" s="2"/>
      <c r="D254" s="2"/>
      <c r="E254" s="17"/>
      <c r="F254" s="66" t="s">
        <v>56</v>
      </c>
      <c r="G254" s="12"/>
      <c r="H254" s="12"/>
      <c r="I254" s="12"/>
      <c r="J254" s="12"/>
      <c r="K254" s="12" t="s">
        <v>66</v>
      </c>
      <c r="L254" s="58"/>
      <c r="M254" s="12"/>
      <c r="N254" s="12"/>
      <c r="O254" s="13"/>
      <c r="P254" s="14"/>
      <c r="Q254" s="12"/>
      <c r="R254" s="13"/>
      <c r="S254" s="14"/>
      <c r="T254" s="12"/>
      <c r="U254" s="13"/>
      <c r="V254" s="14"/>
      <c r="W254" s="7"/>
      <c r="X254" s="1"/>
      <c r="Y254" s="1">
        <f t="shared" si="35"/>
        <v>0</v>
      </c>
    </row>
    <row r="255" spans="3:25" x14ac:dyDescent="0.25">
      <c r="C255" s="2"/>
      <c r="D255" s="2"/>
      <c r="E255" s="17"/>
      <c r="F255" s="66" t="s">
        <v>56</v>
      </c>
      <c r="G255" s="12"/>
      <c r="H255" s="12"/>
      <c r="I255" s="12"/>
      <c r="J255" s="12"/>
      <c r="K255" s="12" t="s">
        <v>67</v>
      </c>
      <c r="L255" s="58"/>
      <c r="M255" s="12"/>
      <c r="N255" s="12"/>
      <c r="O255" s="13"/>
      <c r="P255" s="14"/>
      <c r="Q255" s="12"/>
      <c r="R255" s="13"/>
      <c r="S255" s="14"/>
      <c r="T255" s="12">
        <v>0.53</v>
      </c>
      <c r="U255" s="13"/>
      <c r="V255" s="14">
        <f>T255*J250</f>
        <v>0</v>
      </c>
      <c r="W255" s="7"/>
      <c r="X255" s="1"/>
      <c r="Y255" s="1">
        <f t="shared" si="35"/>
        <v>0</v>
      </c>
    </row>
    <row r="256" spans="3:25" ht="63.75" thickBot="1" x14ac:dyDescent="0.3">
      <c r="C256" s="16"/>
      <c r="D256" s="16"/>
      <c r="E256" s="35"/>
      <c r="F256" s="32" t="s">
        <v>16</v>
      </c>
      <c r="G256" s="27"/>
      <c r="H256" s="27"/>
      <c r="I256" s="27"/>
      <c r="J256" s="27"/>
      <c r="K256" s="27"/>
      <c r="L256" s="59"/>
      <c r="M256" s="27">
        <f>SUM(M229:M255)</f>
        <v>2657839940</v>
      </c>
      <c r="N256" s="27"/>
      <c r="O256" s="28"/>
      <c r="P256" s="27">
        <f>SUM(P229:P255)</f>
        <v>42532540.398000002</v>
      </c>
      <c r="Q256" s="27"/>
      <c r="R256" s="28"/>
      <c r="S256" s="27">
        <f>SUM(S229:S255)</f>
        <v>62486638.136</v>
      </c>
      <c r="T256" s="27"/>
      <c r="U256" s="28"/>
      <c r="V256" s="27">
        <f>SUM(V229:V255)</f>
        <v>3724680.2059999998</v>
      </c>
      <c r="W256" s="7" t="e">
        <f>#REF!+#REF!+#REF!+#REF!+#REF!+#REF!+#REF!+#REF!+#REF!+#REF!+#REF!+#REF!</f>
        <v>#REF!</v>
      </c>
      <c r="X256" s="1" t="e">
        <f>#REF!+#REF!+#REF!+#REF!+#REF!+#REF!+#REF!+#REF!+#REF!+#REF!+#REF!+#REF!-M256</f>
        <v>#REF!</v>
      </c>
      <c r="Y256" s="1">
        <f t="shared" si="35"/>
        <v>108743858.74000001</v>
      </c>
    </row>
    <row r="257" spans="3:25" ht="63" x14ac:dyDescent="0.25">
      <c r="C257" s="5" t="s">
        <v>14</v>
      </c>
      <c r="D257" s="5" t="s">
        <v>13</v>
      </c>
      <c r="E257" s="34" t="s">
        <v>2</v>
      </c>
      <c r="F257" s="31" t="s">
        <v>17</v>
      </c>
      <c r="G257" s="21">
        <v>19421.36</v>
      </c>
      <c r="H257" s="21">
        <v>12070</v>
      </c>
      <c r="I257" s="21"/>
      <c r="J257" s="21"/>
      <c r="K257" s="21" t="s">
        <v>21</v>
      </c>
      <c r="L257" s="60">
        <f>179.64*1000</f>
        <v>179640</v>
      </c>
      <c r="M257" s="21">
        <f>L257*H257</f>
        <v>2168254800</v>
      </c>
      <c r="N257" s="21"/>
      <c r="O257" s="22">
        <v>1.6E-2</v>
      </c>
      <c r="P257" s="23">
        <f t="shared" ref="P257:P264" si="48">O257*$M257</f>
        <v>34692076.799999997</v>
      </c>
      <c r="Q257" s="21"/>
      <c r="R257" s="22">
        <v>2.3300000000000001E-2</v>
      </c>
      <c r="S257" s="3">
        <f t="shared" ref="S257:S264" si="49">R257*$M257</f>
        <v>50520336.840000004</v>
      </c>
      <c r="T257" s="21"/>
      <c r="U257" s="22">
        <v>1.4E-3</v>
      </c>
      <c r="V257" s="3">
        <f t="shared" ref="V257:V264" si="50">U257*$M257</f>
        <v>3035556.7199999997</v>
      </c>
      <c r="W257" s="7" t="e">
        <f>#REF!+#REF!+#REF!+#REF!+#REF!+#REF!+#REF!+#REF!+#REF!+#REF!+#REF!+#REF!</f>
        <v>#REF!</v>
      </c>
      <c r="X257" s="1" t="e">
        <f>#REF!+#REF!+#REF!+#REF!+#REF!+#REF!+#REF!+#REF!+#REF!+#REF!+#REF!+#REF!-M257</f>
        <v>#REF!</v>
      </c>
      <c r="Y257" s="1">
        <f t="shared" si="35"/>
        <v>88247970.359999999</v>
      </c>
    </row>
    <row r="258" spans="3:25" x14ac:dyDescent="0.25">
      <c r="C258" s="2"/>
      <c r="D258" s="2"/>
      <c r="E258" s="17"/>
      <c r="F258" s="66" t="s">
        <v>48</v>
      </c>
      <c r="G258" s="12"/>
      <c r="H258" s="12"/>
      <c r="I258" s="12"/>
      <c r="J258" s="12"/>
      <c r="K258" s="12" t="s">
        <v>49</v>
      </c>
      <c r="L258" s="58"/>
      <c r="M258" s="12"/>
      <c r="N258" s="12"/>
      <c r="O258" s="13"/>
      <c r="P258" s="14"/>
      <c r="Q258" s="12"/>
      <c r="R258" s="13"/>
      <c r="S258" s="14"/>
      <c r="T258" s="12"/>
      <c r="U258" s="13"/>
      <c r="V258" s="14"/>
      <c r="W258" s="7"/>
      <c r="X258" s="1"/>
      <c r="Y258" s="1">
        <f t="shared" si="35"/>
        <v>0</v>
      </c>
    </row>
    <row r="259" spans="3:25" x14ac:dyDescent="0.25">
      <c r="C259" s="2"/>
      <c r="D259" s="2"/>
      <c r="E259" s="17"/>
      <c r="F259" s="66" t="s">
        <v>48</v>
      </c>
      <c r="G259" s="12"/>
      <c r="H259" s="12"/>
      <c r="I259" s="12"/>
      <c r="J259" s="12"/>
      <c r="K259" s="12" t="s">
        <v>51</v>
      </c>
      <c r="L259" s="58"/>
      <c r="M259" s="12"/>
      <c r="N259" s="12">
        <v>3.29</v>
      </c>
      <c r="O259" s="13"/>
      <c r="P259" s="14">
        <f>N259*H257</f>
        <v>39710.300000000003</v>
      </c>
      <c r="Q259" s="12"/>
      <c r="R259" s="13"/>
      <c r="S259" s="14"/>
      <c r="T259" s="12"/>
      <c r="U259" s="13"/>
      <c r="V259" s="14"/>
      <c r="W259" s="7"/>
      <c r="X259" s="1"/>
      <c r="Y259" s="1">
        <f t="shared" si="35"/>
        <v>39710.300000000003</v>
      </c>
    </row>
    <row r="260" spans="3:25" x14ac:dyDescent="0.25">
      <c r="C260" s="2"/>
      <c r="D260" s="2"/>
      <c r="E260" s="17"/>
      <c r="F260" s="66" t="s">
        <v>48</v>
      </c>
      <c r="G260" s="12"/>
      <c r="H260" s="12"/>
      <c r="I260" s="12"/>
      <c r="J260" s="12"/>
      <c r="K260" s="12" t="s">
        <v>52</v>
      </c>
      <c r="L260" s="58"/>
      <c r="M260" s="12"/>
      <c r="N260" s="12"/>
      <c r="O260" s="13"/>
      <c r="P260" s="14"/>
      <c r="Q260" s="12">
        <v>4.7300000000000004</v>
      </c>
      <c r="R260" s="13"/>
      <c r="S260" s="14">
        <f>Q260*H257</f>
        <v>57091.100000000006</v>
      </c>
      <c r="T260" s="12"/>
      <c r="U260" s="13"/>
      <c r="V260" s="14"/>
      <c r="W260" s="7"/>
      <c r="X260" s="1"/>
      <c r="Y260" s="1">
        <f t="shared" si="35"/>
        <v>57091.100000000006</v>
      </c>
    </row>
    <row r="261" spans="3:25" x14ac:dyDescent="0.25">
      <c r="C261" s="2"/>
      <c r="D261" s="2"/>
      <c r="E261" s="17"/>
      <c r="F261" s="66" t="s">
        <v>48</v>
      </c>
      <c r="G261" s="12"/>
      <c r="H261" s="12"/>
      <c r="I261" s="12"/>
      <c r="J261" s="12"/>
      <c r="K261" s="12" t="s">
        <v>53</v>
      </c>
      <c r="L261" s="58"/>
      <c r="M261" s="12"/>
      <c r="N261" s="12"/>
      <c r="O261" s="13"/>
      <c r="P261" s="14"/>
      <c r="Q261" s="12"/>
      <c r="R261" s="13"/>
      <c r="S261" s="14"/>
      <c r="T261" s="12"/>
      <c r="U261" s="13"/>
      <c r="V261" s="14"/>
      <c r="W261" s="7"/>
      <c r="X261" s="1"/>
      <c r="Y261" s="1">
        <f t="shared" si="35"/>
        <v>0</v>
      </c>
    </row>
    <row r="262" spans="3:25" x14ac:dyDescent="0.25">
      <c r="C262" s="2"/>
      <c r="D262" s="2"/>
      <c r="E262" s="17"/>
      <c r="F262" s="66" t="s">
        <v>48</v>
      </c>
      <c r="G262" s="12"/>
      <c r="H262" s="12"/>
      <c r="I262" s="12"/>
      <c r="J262" s="12"/>
      <c r="K262" s="12" t="s">
        <v>54</v>
      </c>
      <c r="L262" s="58"/>
      <c r="M262" s="12"/>
      <c r="N262" s="12"/>
      <c r="O262" s="13"/>
      <c r="P262" s="14"/>
      <c r="Q262" s="12"/>
      <c r="R262" s="13"/>
      <c r="S262" s="14"/>
      <c r="T262" s="12"/>
      <c r="U262" s="13"/>
      <c r="V262" s="14"/>
      <c r="W262" s="7"/>
      <c r="X262" s="1"/>
      <c r="Y262" s="1">
        <f t="shared" ref="Y262:Y325" si="51">V262+S262+P262</f>
        <v>0</v>
      </c>
    </row>
    <row r="263" spans="3:25" x14ac:dyDescent="0.25">
      <c r="C263" s="2"/>
      <c r="D263" s="2"/>
      <c r="E263" s="17"/>
      <c r="F263" s="66" t="s">
        <v>48</v>
      </c>
      <c r="G263" s="12"/>
      <c r="H263" s="12"/>
      <c r="I263" s="12"/>
      <c r="J263" s="12"/>
      <c r="K263" s="12" t="s">
        <v>55</v>
      </c>
      <c r="L263" s="58"/>
      <c r="M263" s="12"/>
      <c r="N263" s="12"/>
      <c r="O263" s="13"/>
      <c r="P263" s="14"/>
      <c r="Q263" s="12"/>
      <c r="R263" s="13"/>
      <c r="S263" s="14"/>
      <c r="T263" s="12">
        <v>0.25</v>
      </c>
      <c r="U263" s="13"/>
      <c r="V263" s="14">
        <f>T263*H257</f>
        <v>3017.5</v>
      </c>
      <c r="W263" s="7"/>
      <c r="X263" s="1"/>
      <c r="Y263" s="1">
        <f t="shared" si="51"/>
        <v>3017.5</v>
      </c>
    </row>
    <row r="264" spans="3:25" ht="31.5" x14ac:dyDescent="0.25">
      <c r="C264" s="5"/>
      <c r="D264" s="5"/>
      <c r="E264" s="34"/>
      <c r="F264" s="24" t="s">
        <v>30</v>
      </c>
      <c r="G264" s="4"/>
      <c r="H264" s="4">
        <v>380</v>
      </c>
      <c r="I264" s="4"/>
      <c r="J264" s="12"/>
      <c r="K264" s="12" t="s">
        <v>21</v>
      </c>
      <c r="L264" s="61">
        <f>125.81*1000</f>
        <v>125810</v>
      </c>
      <c r="M264" s="12">
        <f>L264*H264</f>
        <v>47807800</v>
      </c>
      <c r="N264" s="12"/>
      <c r="O264" s="13">
        <v>1.6E-2</v>
      </c>
      <c r="P264" s="14">
        <f t="shared" si="48"/>
        <v>764924.8</v>
      </c>
      <c r="Q264" s="12"/>
      <c r="R264" s="13">
        <v>2.3300000000000001E-2</v>
      </c>
      <c r="S264" s="3">
        <f t="shared" si="49"/>
        <v>1113921.74</v>
      </c>
      <c r="T264" s="12"/>
      <c r="U264" s="13">
        <v>1.4E-3</v>
      </c>
      <c r="V264" s="3">
        <f t="shared" si="50"/>
        <v>66930.92</v>
      </c>
      <c r="W264" s="7" t="e">
        <f>#REF!+#REF!+#REF!+#REF!+#REF!+#REF!+#REF!+#REF!+#REF!+#REF!+#REF!+#REF!</f>
        <v>#REF!</v>
      </c>
      <c r="X264" s="1" t="e">
        <f>#REF!+#REF!+#REF!+#REF!+#REF!+#REF!+#REF!+#REF!+#REF!+#REF!+#REF!+#REF!-M264</f>
        <v>#REF!</v>
      </c>
      <c r="Y264" s="1">
        <f t="shared" si="51"/>
        <v>1945777.46</v>
      </c>
    </row>
    <row r="265" spans="3:25" x14ac:dyDescent="0.25">
      <c r="C265" s="2"/>
      <c r="D265" s="2"/>
      <c r="E265" s="17"/>
      <c r="F265" s="66" t="s">
        <v>48</v>
      </c>
      <c r="G265" s="12"/>
      <c r="H265" s="12"/>
      <c r="I265" s="12"/>
      <c r="J265" s="12"/>
      <c r="K265" s="12" t="s">
        <v>49</v>
      </c>
      <c r="L265" s="58"/>
      <c r="M265" s="12"/>
      <c r="N265" s="12"/>
      <c r="O265" s="13"/>
      <c r="P265" s="14"/>
      <c r="Q265" s="12"/>
      <c r="R265" s="13"/>
      <c r="S265" s="14"/>
      <c r="T265" s="12"/>
      <c r="U265" s="13"/>
      <c r="V265" s="14"/>
      <c r="W265" s="7"/>
      <c r="X265" s="1"/>
      <c r="Y265" s="1">
        <f t="shared" si="51"/>
        <v>0</v>
      </c>
    </row>
    <row r="266" spans="3:25" x14ac:dyDescent="0.25">
      <c r="C266" s="2"/>
      <c r="D266" s="2"/>
      <c r="E266" s="17"/>
      <c r="F266" s="66" t="s">
        <v>48</v>
      </c>
      <c r="G266" s="12"/>
      <c r="H266" s="12"/>
      <c r="I266" s="12"/>
      <c r="J266" s="12"/>
      <c r="K266" s="12" t="s">
        <v>51</v>
      </c>
      <c r="L266" s="58"/>
      <c r="M266" s="12"/>
      <c r="N266" s="12">
        <v>2.25</v>
      </c>
      <c r="O266" s="13"/>
      <c r="P266" s="14">
        <f>N266*H264</f>
        <v>855</v>
      </c>
      <c r="Q266" s="12"/>
      <c r="R266" s="13"/>
      <c r="S266" s="14"/>
      <c r="T266" s="12"/>
      <c r="U266" s="13"/>
      <c r="V266" s="14"/>
      <c r="W266" s="7"/>
      <c r="X266" s="1"/>
      <c r="Y266" s="1">
        <f t="shared" si="51"/>
        <v>855</v>
      </c>
    </row>
    <row r="267" spans="3:25" x14ac:dyDescent="0.25">
      <c r="C267" s="2"/>
      <c r="D267" s="2"/>
      <c r="E267" s="17"/>
      <c r="F267" s="66" t="s">
        <v>48</v>
      </c>
      <c r="G267" s="12"/>
      <c r="H267" s="12"/>
      <c r="I267" s="12"/>
      <c r="J267" s="12"/>
      <c r="K267" s="12" t="s">
        <v>52</v>
      </c>
      <c r="L267" s="58"/>
      <c r="M267" s="12"/>
      <c r="N267" s="12"/>
      <c r="O267" s="13"/>
      <c r="P267" s="14"/>
      <c r="Q267" s="12">
        <v>3.24</v>
      </c>
      <c r="R267" s="13"/>
      <c r="S267" s="14">
        <f>Q267*H264</f>
        <v>1231.2</v>
      </c>
      <c r="T267" s="12"/>
      <c r="U267" s="13"/>
      <c r="V267" s="14"/>
      <c r="W267" s="7"/>
      <c r="X267" s="1"/>
      <c r="Y267" s="1">
        <f t="shared" si="51"/>
        <v>1231.2</v>
      </c>
    </row>
    <row r="268" spans="3:25" x14ac:dyDescent="0.25">
      <c r="C268" s="2"/>
      <c r="D268" s="2"/>
      <c r="E268" s="17"/>
      <c r="F268" s="66" t="s">
        <v>48</v>
      </c>
      <c r="G268" s="12"/>
      <c r="H268" s="12"/>
      <c r="I268" s="12"/>
      <c r="J268" s="12"/>
      <c r="K268" s="12" t="s">
        <v>53</v>
      </c>
      <c r="L268" s="58"/>
      <c r="M268" s="12"/>
      <c r="N268" s="12"/>
      <c r="O268" s="13"/>
      <c r="P268" s="14"/>
      <c r="Q268" s="12"/>
      <c r="R268" s="13"/>
      <c r="S268" s="14"/>
      <c r="T268" s="12"/>
      <c r="U268" s="13"/>
      <c r="V268" s="14"/>
      <c r="W268" s="7"/>
      <c r="X268" s="1"/>
      <c r="Y268" s="1">
        <f t="shared" si="51"/>
        <v>0</v>
      </c>
    </row>
    <row r="269" spans="3:25" x14ac:dyDescent="0.25">
      <c r="C269" s="2"/>
      <c r="D269" s="2"/>
      <c r="E269" s="17"/>
      <c r="F269" s="66" t="s">
        <v>48</v>
      </c>
      <c r="G269" s="12"/>
      <c r="H269" s="12"/>
      <c r="I269" s="12"/>
      <c r="J269" s="12"/>
      <c r="K269" s="12" t="s">
        <v>54</v>
      </c>
      <c r="L269" s="58"/>
      <c r="M269" s="12"/>
      <c r="N269" s="12"/>
      <c r="O269" s="13"/>
      <c r="P269" s="14"/>
      <c r="Q269" s="12"/>
      <c r="R269" s="13"/>
      <c r="S269" s="14"/>
      <c r="T269" s="12"/>
      <c r="U269" s="13"/>
      <c r="V269" s="14"/>
      <c r="W269" s="7"/>
      <c r="X269" s="1"/>
      <c r="Y269" s="1">
        <f t="shared" si="51"/>
        <v>0</v>
      </c>
    </row>
    <row r="270" spans="3:25" x14ac:dyDescent="0.25">
      <c r="C270" s="2"/>
      <c r="D270" s="2"/>
      <c r="E270" s="17"/>
      <c r="F270" s="66" t="s">
        <v>48</v>
      </c>
      <c r="G270" s="12"/>
      <c r="H270" s="12"/>
      <c r="I270" s="12"/>
      <c r="J270" s="12"/>
      <c r="K270" s="12" t="s">
        <v>55</v>
      </c>
      <c r="L270" s="58"/>
      <c r="M270" s="12"/>
      <c r="N270" s="12"/>
      <c r="O270" s="13"/>
      <c r="P270" s="14"/>
      <c r="Q270" s="12"/>
      <c r="R270" s="13"/>
      <c r="S270" s="14"/>
      <c r="T270" s="12">
        <v>0.17</v>
      </c>
      <c r="U270" s="13"/>
      <c r="V270" s="14">
        <f>T270*H264</f>
        <v>64.600000000000009</v>
      </c>
      <c r="W270" s="7"/>
      <c r="X270" s="1"/>
      <c r="Y270" s="1">
        <f t="shared" si="51"/>
        <v>64.600000000000009</v>
      </c>
    </row>
    <row r="271" spans="3:25" x14ac:dyDescent="0.25">
      <c r="C271" s="2"/>
      <c r="D271" s="2"/>
      <c r="E271" s="17"/>
      <c r="F271" s="25" t="s">
        <v>28</v>
      </c>
      <c r="G271" s="2"/>
      <c r="H271" s="2"/>
      <c r="I271" s="4">
        <v>0</v>
      </c>
      <c r="J271" s="4"/>
      <c r="K271" s="4" t="s">
        <v>25</v>
      </c>
      <c r="L271" s="58">
        <f>276.67*1000</f>
        <v>276670</v>
      </c>
      <c r="M271" s="4">
        <f>L271*I271</f>
        <v>0</v>
      </c>
      <c r="N271" s="4"/>
      <c r="O271" s="6">
        <v>1.5900000000000001E-2</v>
      </c>
      <c r="P271" s="3">
        <f t="shared" ref="P271:P278" si="52">O271*$M271</f>
        <v>0</v>
      </c>
      <c r="Q271" s="4"/>
      <c r="R271" s="6">
        <v>2.4500000000000001E-2</v>
      </c>
      <c r="S271" s="3">
        <f t="shared" ref="S271:S278" si="53">R271*$M271</f>
        <v>0</v>
      </c>
      <c r="T271" s="4"/>
      <c r="U271" s="6">
        <v>1.4E-3</v>
      </c>
      <c r="V271" s="3">
        <f t="shared" ref="V271:V278" si="54">U271*$M271</f>
        <v>0</v>
      </c>
      <c r="W271" s="7" t="e">
        <f>#REF!+#REF!+#REF!+#REF!+#REF!+#REF!+#REF!+#REF!+#REF!+#REF!+#REF!+#REF!</f>
        <v>#REF!</v>
      </c>
      <c r="X271" s="1" t="e">
        <f>#REF!+#REF!+#REF!+#REF!+#REF!+#REF!+#REF!+#REF!+#REF!+#REF!+#REF!+#REF!-M271</f>
        <v>#REF!</v>
      </c>
      <c r="Y271" s="1">
        <f t="shared" si="51"/>
        <v>0</v>
      </c>
    </row>
    <row r="272" spans="3:25" x14ac:dyDescent="0.25">
      <c r="C272" s="2"/>
      <c r="D272" s="2"/>
      <c r="E272" s="17"/>
      <c r="F272" s="66" t="s">
        <v>56</v>
      </c>
      <c r="G272" s="12"/>
      <c r="H272" s="12"/>
      <c r="I272" s="12"/>
      <c r="J272" s="12"/>
      <c r="K272" s="12" t="s">
        <v>57</v>
      </c>
      <c r="L272" s="58"/>
      <c r="M272" s="12"/>
      <c r="N272" s="12"/>
      <c r="O272" s="13"/>
      <c r="P272" s="14"/>
      <c r="Q272" s="12"/>
      <c r="R272" s="13"/>
      <c r="S272" s="14"/>
      <c r="T272" s="12"/>
      <c r="U272" s="13"/>
      <c r="V272" s="14"/>
      <c r="W272" s="7"/>
      <c r="X272" s="1"/>
      <c r="Y272" s="1">
        <f t="shared" si="51"/>
        <v>0</v>
      </c>
    </row>
    <row r="273" spans="3:25" x14ac:dyDescent="0.25">
      <c r="C273" s="2"/>
      <c r="D273" s="2"/>
      <c r="E273" s="17"/>
      <c r="F273" s="66" t="s">
        <v>56</v>
      </c>
      <c r="G273" s="12"/>
      <c r="H273" s="12"/>
      <c r="I273" s="12"/>
      <c r="J273" s="12"/>
      <c r="K273" s="12" t="s">
        <v>58</v>
      </c>
      <c r="L273" s="58"/>
      <c r="M273" s="12"/>
      <c r="N273" s="12">
        <v>4.58</v>
      </c>
      <c r="O273" s="13"/>
      <c r="P273" s="14">
        <f>N273*I271</f>
        <v>0</v>
      </c>
      <c r="Q273" s="12"/>
      <c r="R273" s="13"/>
      <c r="S273" s="14"/>
      <c r="T273" s="12"/>
      <c r="U273" s="13"/>
      <c r="V273" s="14"/>
      <c r="W273" s="7"/>
      <c r="X273" s="1"/>
      <c r="Y273" s="1">
        <f t="shared" si="51"/>
        <v>0</v>
      </c>
    </row>
    <row r="274" spans="3:25" x14ac:dyDescent="0.25">
      <c r="C274" s="2"/>
      <c r="D274" s="2"/>
      <c r="E274" s="17"/>
      <c r="F274" s="66" t="s">
        <v>56</v>
      </c>
      <c r="G274" s="12"/>
      <c r="H274" s="12"/>
      <c r="I274" s="12"/>
      <c r="J274" s="12"/>
      <c r="K274" s="12" t="s">
        <v>59</v>
      </c>
      <c r="L274" s="58"/>
      <c r="M274" s="12"/>
      <c r="N274" s="12"/>
      <c r="O274" s="13"/>
      <c r="P274" s="14"/>
      <c r="Q274" s="12">
        <v>6.59</v>
      </c>
      <c r="R274" s="13"/>
      <c r="S274" s="14">
        <f>Q274*I271</f>
        <v>0</v>
      </c>
      <c r="T274" s="12"/>
      <c r="U274" s="13"/>
      <c r="V274" s="14"/>
      <c r="W274" s="7"/>
      <c r="X274" s="1"/>
      <c r="Y274" s="1">
        <f t="shared" si="51"/>
        <v>0</v>
      </c>
    </row>
    <row r="275" spans="3:25" x14ac:dyDescent="0.25">
      <c r="C275" s="2"/>
      <c r="D275" s="2"/>
      <c r="E275" s="17"/>
      <c r="F275" s="66" t="s">
        <v>56</v>
      </c>
      <c r="G275" s="12"/>
      <c r="H275" s="12"/>
      <c r="I275" s="12"/>
      <c r="J275" s="12"/>
      <c r="K275" s="12" t="s">
        <v>60</v>
      </c>
      <c r="L275" s="58"/>
      <c r="M275" s="12"/>
      <c r="N275" s="12"/>
      <c r="O275" s="13"/>
      <c r="P275" s="14"/>
      <c r="Q275" s="12"/>
      <c r="R275" s="13"/>
      <c r="S275" s="14"/>
      <c r="T275" s="12"/>
      <c r="U275" s="13"/>
      <c r="V275" s="14"/>
      <c r="W275" s="7"/>
      <c r="X275" s="1"/>
      <c r="Y275" s="1">
        <f t="shared" si="51"/>
        <v>0</v>
      </c>
    </row>
    <row r="276" spans="3:25" x14ac:dyDescent="0.25">
      <c r="C276" s="2"/>
      <c r="D276" s="2"/>
      <c r="E276" s="17"/>
      <c r="F276" s="66" t="s">
        <v>56</v>
      </c>
      <c r="G276" s="12"/>
      <c r="H276" s="12"/>
      <c r="I276" s="12"/>
      <c r="J276" s="12"/>
      <c r="K276" s="12" t="s">
        <v>61</v>
      </c>
      <c r="L276" s="58"/>
      <c r="M276" s="12"/>
      <c r="N276" s="12"/>
      <c r="O276" s="13"/>
      <c r="P276" s="14"/>
      <c r="Q276" s="12"/>
      <c r="R276" s="13"/>
      <c r="S276" s="14"/>
      <c r="T276" s="12"/>
      <c r="U276" s="13"/>
      <c r="V276" s="14"/>
      <c r="W276" s="7"/>
      <c r="X276" s="1"/>
      <c r="Y276" s="1">
        <f t="shared" si="51"/>
        <v>0</v>
      </c>
    </row>
    <row r="277" spans="3:25" x14ac:dyDescent="0.25">
      <c r="C277" s="2"/>
      <c r="D277" s="2"/>
      <c r="E277" s="17"/>
      <c r="F277" s="66" t="s">
        <v>56</v>
      </c>
      <c r="G277" s="12"/>
      <c r="H277" s="12"/>
      <c r="I277" s="12"/>
      <c r="J277" s="12"/>
      <c r="K277" s="12" t="s">
        <v>62</v>
      </c>
      <c r="L277" s="58"/>
      <c r="M277" s="12"/>
      <c r="N277" s="12"/>
      <c r="O277" s="13"/>
      <c r="P277" s="14"/>
      <c r="Q277" s="12"/>
      <c r="R277" s="13"/>
      <c r="S277" s="14"/>
      <c r="T277" s="12">
        <v>0.39</v>
      </c>
      <c r="U277" s="13"/>
      <c r="V277" s="14">
        <f>T277*I271</f>
        <v>0</v>
      </c>
      <c r="W277" s="7"/>
      <c r="X277" s="1"/>
      <c r="Y277" s="1">
        <f t="shared" si="51"/>
        <v>0</v>
      </c>
    </row>
    <row r="278" spans="3:25" x14ac:dyDescent="0.25">
      <c r="C278" s="2"/>
      <c r="D278" s="2"/>
      <c r="E278" s="17"/>
      <c r="F278" s="42" t="s">
        <v>29</v>
      </c>
      <c r="G278" s="49"/>
      <c r="H278" s="49"/>
      <c r="I278" s="49"/>
      <c r="J278" s="45">
        <v>21736</v>
      </c>
      <c r="K278" s="2"/>
      <c r="L278" s="58">
        <v>382230</v>
      </c>
      <c r="M278" s="4">
        <f>J278*L278/100</f>
        <v>83081512.799999997</v>
      </c>
      <c r="N278" s="9"/>
      <c r="O278" s="10">
        <v>1.8100000000000002E-2</v>
      </c>
      <c r="P278" s="3">
        <f t="shared" si="52"/>
        <v>1503775.3816800001</v>
      </c>
      <c r="Q278" s="9"/>
      <c r="R278" s="10">
        <v>3.0000000000000001E-3</v>
      </c>
      <c r="S278" s="3">
        <f t="shared" si="53"/>
        <v>249244.53839999999</v>
      </c>
      <c r="T278" s="9"/>
      <c r="U278" s="10">
        <v>1.4E-3</v>
      </c>
      <c r="V278" s="3">
        <f t="shared" si="54"/>
        <v>116314.11791999999</v>
      </c>
      <c r="W278" s="7" t="e">
        <f>#REF!+#REF!+#REF!+#REF!+#REF!+#REF!+#REF!+#REF!+#REF!+#REF!+#REF!+#REF!</f>
        <v>#REF!</v>
      </c>
      <c r="X278" s="1" t="e">
        <f>#REF!+#REF!+#REF!+#REF!+#REF!+#REF!+#REF!+#REF!+#REF!+#REF!+#REF!+#REF!-M278</f>
        <v>#REF!</v>
      </c>
      <c r="Y278" s="1">
        <f t="shared" si="51"/>
        <v>1869334.0380000002</v>
      </c>
    </row>
    <row r="279" spans="3:25" x14ac:dyDescent="0.25">
      <c r="C279" s="2"/>
      <c r="D279" s="2"/>
      <c r="E279" s="17"/>
      <c r="F279" s="66" t="s">
        <v>56</v>
      </c>
      <c r="G279" s="4"/>
      <c r="H279" s="4"/>
      <c r="I279" s="4"/>
      <c r="J279" s="4"/>
      <c r="K279" s="4" t="s">
        <v>63</v>
      </c>
      <c r="L279" s="58"/>
      <c r="M279" s="4"/>
      <c r="N279" s="4">
        <v>4.67</v>
      </c>
      <c r="O279" s="6"/>
      <c r="P279" s="3">
        <f>N279*J278</f>
        <v>101507.12</v>
      </c>
      <c r="Q279" s="4"/>
      <c r="R279" s="6"/>
      <c r="S279" s="3"/>
      <c r="T279" s="4"/>
      <c r="U279" s="6"/>
      <c r="V279" s="3"/>
      <c r="W279" s="7"/>
      <c r="X279" s="1"/>
      <c r="Y279" s="1">
        <f t="shared" si="51"/>
        <v>101507.12</v>
      </c>
    </row>
    <row r="280" spans="3:25" x14ac:dyDescent="0.25">
      <c r="C280" s="2"/>
      <c r="D280" s="2"/>
      <c r="E280" s="17"/>
      <c r="F280" s="66" t="s">
        <v>56</v>
      </c>
      <c r="G280" s="4"/>
      <c r="H280" s="4"/>
      <c r="I280" s="4"/>
      <c r="J280" s="4"/>
      <c r="K280" s="4" t="s">
        <v>64</v>
      </c>
      <c r="L280" s="58"/>
      <c r="M280" s="4"/>
      <c r="N280" s="4"/>
      <c r="O280" s="6"/>
      <c r="P280" s="3"/>
      <c r="Q280" s="4">
        <v>0.86</v>
      </c>
      <c r="R280" s="6"/>
      <c r="S280" s="3">
        <f>Q280*J278</f>
        <v>18692.96</v>
      </c>
      <c r="T280" s="4"/>
      <c r="U280" s="6"/>
      <c r="V280" s="3"/>
      <c r="W280" s="7"/>
      <c r="X280" s="1"/>
      <c r="Y280" s="1">
        <f t="shared" si="51"/>
        <v>18692.96</v>
      </c>
    </row>
    <row r="281" spans="3:25" x14ac:dyDescent="0.25">
      <c r="C281" s="2"/>
      <c r="D281" s="2"/>
      <c r="E281" s="17"/>
      <c r="F281" s="66" t="s">
        <v>56</v>
      </c>
      <c r="G281" s="12"/>
      <c r="H281" s="12"/>
      <c r="I281" s="12"/>
      <c r="J281" s="12"/>
      <c r="K281" s="12" t="s">
        <v>65</v>
      </c>
      <c r="L281" s="58"/>
      <c r="M281" s="12"/>
      <c r="N281" s="12"/>
      <c r="O281" s="13"/>
      <c r="P281" s="14"/>
      <c r="Q281" s="12"/>
      <c r="R281" s="13"/>
      <c r="S281" s="14"/>
      <c r="T281" s="12"/>
      <c r="U281" s="13"/>
      <c r="V281" s="14"/>
      <c r="W281" s="7"/>
      <c r="X281" s="1"/>
      <c r="Y281" s="1">
        <f t="shared" si="51"/>
        <v>0</v>
      </c>
    </row>
    <row r="282" spans="3:25" x14ac:dyDescent="0.25">
      <c r="C282" s="2"/>
      <c r="D282" s="2"/>
      <c r="E282" s="17"/>
      <c r="F282" s="66" t="s">
        <v>56</v>
      </c>
      <c r="G282" s="12"/>
      <c r="H282" s="12"/>
      <c r="I282" s="12"/>
      <c r="J282" s="12"/>
      <c r="K282" s="12" t="s">
        <v>66</v>
      </c>
      <c r="L282" s="58"/>
      <c r="M282" s="12"/>
      <c r="N282" s="12"/>
      <c r="O282" s="13"/>
      <c r="P282" s="14"/>
      <c r="Q282" s="12"/>
      <c r="R282" s="13"/>
      <c r="S282" s="14"/>
      <c r="T282" s="12"/>
      <c r="U282" s="13"/>
      <c r="V282" s="14"/>
      <c r="W282" s="7"/>
      <c r="X282" s="1"/>
      <c r="Y282" s="1">
        <f t="shared" si="51"/>
        <v>0</v>
      </c>
    </row>
    <row r="283" spans="3:25" x14ac:dyDescent="0.25">
      <c r="C283" s="2"/>
      <c r="D283" s="2"/>
      <c r="E283" s="17"/>
      <c r="F283" s="66" t="s">
        <v>56</v>
      </c>
      <c r="G283" s="12"/>
      <c r="H283" s="12"/>
      <c r="I283" s="12"/>
      <c r="J283" s="12"/>
      <c r="K283" s="12" t="s">
        <v>67</v>
      </c>
      <c r="L283" s="58"/>
      <c r="M283" s="12"/>
      <c r="N283" s="12"/>
      <c r="O283" s="13"/>
      <c r="P283" s="14"/>
      <c r="Q283" s="12"/>
      <c r="R283" s="13"/>
      <c r="S283" s="14"/>
      <c r="T283" s="12">
        <v>0.53</v>
      </c>
      <c r="U283" s="13"/>
      <c r="V283" s="14">
        <f>T283*J278</f>
        <v>11520.08</v>
      </c>
      <c r="W283" s="7"/>
      <c r="X283" s="1"/>
      <c r="Y283" s="1">
        <f t="shared" si="51"/>
        <v>11520.08</v>
      </c>
    </row>
    <row r="284" spans="3:25" ht="63.75" thickBot="1" x14ac:dyDescent="0.3">
      <c r="C284" s="15"/>
      <c r="D284" s="15"/>
      <c r="E284" s="19"/>
      <c r="F284" s="32" t="s">
        <v>17</v>
      </c>
      <c r="G284" s="36"/>
      <c r="H284" s="36"/>
      <c r="I284" s="36"/>
      <c r="J284" s="36"/>
      <c r="K284" s="36"/>
      <c r="L284" s="62"/>
      <c r="M284" s="27">
        <f>SUM(M257:M283)</f>
        <v>2299144112.8000002</v>
      </c>
      <c r="N284" s="27"/>
      <c r="O284" s="28"/>
      <c r="P284" s="27">
        <f>SUM(P257:P283)</f>
        <v>37102849.401679985</v>
      </c>
      <c r="Q284" s="27"/>
      <c r="R284" s="28"/>
      <c r="S284" s="27">
        <f>SUM(S257:S283)</f>
        <v>51960518.378400013</v>
      </c>
      <c r="T284" s="27"/>
      <c r="U284" s="28"/>
      <c r="V284" s="27">
        <f>SUM(V257:V283)</f>
        <v>3233403.9379199999</v>
      </c>
      <c r="W284" s="7" t="e">
        <f>#REF!+#REF!+#REF!+#REF!+#REF!+#REF!+#REF!+#REF!+#REF!+#REF!+#REF!+#REF!</f>
        <v>#REF!</v>
      </c>
      <c r="X284" s="1" t="e">
        <f>#REF!+#REF!+#REF!+#REF!+#REF!+#REF!+#REF!+#REF!+#REF!+#REF!+#REF!+#REF!-M284</f>
        <v>#REF!</v>
      </c>
      <c r="Y284" s="1">
        <f t="shared" si="51"/>
        <v>92296771.717999995</v>
      </c>
    </row>
    <row r="285" spans="3:25" x14ac:dyDescent="0.25">
      <c r="F285" s="31" t="s">
        <v>32</v>
      </c>
      <c r="G285" s="21">
        <v>45794.5</v>
      </c>
      <c r="H285" s="21">
        <v>29194</v>
      </c>
      <c r="I285" s="21"/>
      <c r="J285" s="21"/>
      <c r="K285" s="21" t="s">
        <v>21</v>
      </c>
      <c r="L285" s="60">
        <f>179.64*1000</f>
        <v>179640</v>
      </c>
      <c r="M285" s="21">
        <f>L285*H285</f>
        <v>5244410160</v>
      </c>
      <c r="N285" s="21"/>
      <c r="O285" s="22">
        <v>1.6E-2</v>
      </c>
      <c r="P285" s="23">
        <f t="shared" ref="P285:P292" si="55">O285*$M285</f>
        <v>83910562.560000002</v>
      </c>
      <c r="Q285" s="21"/>
      <c r="R285" s="22">
        <v>2.3300000000000001E-2</v>
      </c>
      <c r="S285" s="3">
        <f t="shared" ref="S285:S292" si="56">R285*$M285</f>
        <v>122194756.728</v>
      </c>
      <c r="T285" s="21"/>
      <c r="U285" s="22">
        <v>1.4E-3</v>
      </c>
      <c r="V285" s="3">
        <f t="shared" ref="V285:V292" si="57">U285*$M285</f>
        <v>7342174.2239999995</v>
      </c>
      <c r="W285" s="7" t="e">
        <f>#REF!+#REF!+#REF!+#REF!+#REF!+#REF!+#REF!+#REF!+#REF!+#REF!+#REF!+#REF!</f>
        <v>#REF!</v>
      </c>
      <c r="X285" s="1" t="e">
        <f>#REF!+#REF!+#REF!+#REF!+#REF!+#REF!+#REF!+#REF!+#REF!+#REF!+#REF!+#REF!-M285</f>
        <v>#REF!</v>
      </c>
      <c r="Y285" s="1">
        <f t="shared" si="51"/>
        <v>213447493.51199999</v>
      </c>
    </row>
    <row r="286" spans="3:25" x14ac:dyDescent="0.25">
      <c r="C286" s="2"/>
      <c r="D286" s="2"/>
      <c r="E286" s="17"/>
      <c r="F286" s="66" t="s">
        <v>48</v>
      </c>
      <c r="G286" s="12"/>
      <c r="H286" s="12"/>
      <c r="I286" s="12"/>
      <c r="J286" s="12"/>
      <c r="K286" s="12" t="s">
        <v>49</v>
      </c>
      <c r="L286" s="58"/>
      <c r="M286" s="12"/>
      <c r="N286" s="12"/>
      <c r="O286" s="13"/>
      <c r="P286" s="14"/>
      <c r="Q286" s="12"/>
      <c r="R286" s="13"/>
      <c r="S286" s="14"/>
      <c r="T286" s="12"/>
      <c r="U286" s="13"/>
      <c r="V286" s="14"/>
      <c r="W286" s="7"/>
      <c r="X286" s="1"/>
      <c r="Y286" s="1">
        <f t="shared" si="51"/>
        <v>0</v>
      </c>
    </row>
    <row r="287" spans="3:25" x14ac:dyDescent="0.25">
      <c r="C287" s="2"/>
      <c r="D287" s="2"/>
      <c r="E287" s="17"/>
      <c r="F287" s="66" t="s">
        <v>48</v>
      </c>
      <c r="G287" s="12"/>
      <c r="H287" s="12"/>
      <c r="I287" s="12"/>
      <c r="J287" s="12"/>
      <c r="K287" s="12" t="s">
        <v>51</v>
      </c>
      <c r="L287" s="58"/>
      <c r="M287" s="12"/>
      <c r="N287" s="12">
        <v>3.29</v>
      </c>
      <c r="O287" s="13"/>
      <c r="P287" s="14">
        <f>N287*H285</f>
        <v>96048.26</v>
      </c>
      <c r="Q287" s="12"/>
      <c r="R287" s="13"/>
      <c r="S287" s="14"/>
      <c r="T287" s="12"/>
      <c r="U287" s="13"/>
      <c r="V287" s="14"/>
      <c r="W287" s="7"/>
      <c r="X287" s="1"/>
      <c r="Y287" s="1">
        <f t="shared" si="51"/>
        <v>96048.26</v>
      </c>
    </row>
    <row r="288" spans="3:25" x14ac:dyDescent="0.25">
      <c r="C288" s="2"/>
      <c r="D288" s="2"/>
      <c r="E288" s="17"/>
      <c r="F288" s="66" t="s">
        <v>48</v>
      </c>
      <c r="G288" s="12"/>
      <c r="H288" s="12"/>
      <c r="I288" s="12"/>
      <c r="J288" s="12"/>
      <c r="K288" s="12" t="s">
        <v>52</v>
      </c>
      <c r="L288" s="58"/>
      <c r="M288" s="12"/>
      <c r="N288" s="12"/>
      <c r="O288" s="13"/>
      <c r="P288" s="14"/>
      <c r="Q288" s="12">
        <v>4.7300000000000004</v>
      </c>
      <c r="R288" s="13"/>
      <c r="S288" s="14">
        <f>Q288*H285</f>
        <v>138087.62000000002</v>
      </c>
      <c r="T288" s="12"/>
      <c r="U288" s="13"/>
      <c r="V288" s="14"/>
      <c r="W288" s="7"/>
      <c r="X288" s="1"/>
      <c r="Y288" s="1">
        <f t="shared" si="51"/>
        <v>138087.62000000002</v>
      </c>
    </row>
    <row r="289" spans="3:25" x14ac:dyDescent="0.25">
      <c r="C289" s="2"/>
      <c r="D289" s="2"/>
      <c r="E289" s="17"/>
      <c r="F289" s="66" t="s">
        <v>48</v>
      </c>
      <c r="G289" s="12"/>
      <c r="H289" s="12"/>
      <c r="I289" s="12"/>
      <c r="J289" s="12"/>
      <c r="K289" s="12" t="s">
        <v>53</v>
      </c>
      <c r="L289" s="58"/>
      <c r="M289" s="12"/>
      <c r="N289" s="12"/>
      <c r="O289" s="13"/>
      <c r="P289" s="14"/>
      <c r="Q289" s="12"/>
      <c r="R289" s="13"/>
      <c r="S289" s="14"/>
      <c r="T289" s="12"/>
      <c r="U289" s="13"/>
      <c r="V289" s="14"/>
      <c r="W289" s="7"/>
      <c r="X289" s="1"/>
      <c r="Y289" s="1">
        <f t="shared" si="51"/>
        <v>0</v>
      </c>
    </row>
    <row r="290" spans="3:25" x14ac:dyDescent="0.25">
      <c r="C290" s="2"/>
      <c r="D290" s="2"/>
      <c r="E290" s="17"/>
      <c r="F290" s="66" t="s">
        <v>48</v>
      </c>
      <c r="G290" s="12"/>
      <c r="H290" s="12"/>
      <c r="I290" s="12"/>
      <c r="J290" s="12"/>
      <c r="K290" s="12" t="s">
        <v>54</v>
      </c>
      <c r="L290" s="58"/>
      <c r="M290" s="12"/>
      <c r="N290" s="12"/>
      <c r="O290" s="13"/>
      <c r="P290" s="14"/>
      <c r="Q290" s="12"/>
      <c r="R290" s="13"/>
      <c r="S290" s="14"/>
      <c r="T290" s="12"/>
      <c r="U290" s="13"/>
      <c r="V290" s="14"/>
      <c r="W290" s="7"/>
      <c r="X290" s="1"/>
      <c r="Y290" s="1">
        <f t="shared" si="51"/>
        <v>0</v>
      </c>
    </row>
    <row r="291" spans="3:25" x14ac:dyDescent="0.25">
      <c r="C291" s="2"/>
      <c r="D291" s="2"/>
      <c r="E291" s="17"/>
      <c r="F291" s="66" t="s">
        <v>48</v>
      </c>
      <c r="G291" s="12"/>
      <c r="H291" s="12"/>
      <c r="I291" s="12"/>
      <c r="J291" s="12"/>
      <c r="K291" s="12" t="s">
        <v>55</v>
      </c>
      <c r="L291" s="58"/>
      <c r="M291" s="12"/>
      <c r="N291" s="12"/>
      <c r="O291" s="13"/>
      <c r="P291" s="14"/>
      <c r="Q291" s="12"/>
      <c r="R291" s="13"/>
      <c r="S291" s="14"/>
      <c r="T291" s="12">
        <v>0.25</v>
      </c>
      <c r="U291" s="13"/>
      <c r="V291" s="14">
        <f>T291*H285</f>
        <v>7298.5</v>
      </c>
      <c r="W291" s="7"/>
      <c r="X291" s="1"/>
      <c r="Y291" s="1">
        <f t="shared" si="51"/>
        <v>7298.5</v>
      </c>
    </row>
    <row r="292" spans="3:25" ht="31.5" x14ac:dyDescent="0.25">
      <c r="F292" s="24" t="s">
        <v>30</v>
      </c>
      <c r="G292" s="4"/>
      <c r="H292" s="4">
        <v>880.5</v>
      </c>
      <c r="I292" s="4"/>
      <c r="J292" s="12"/>
      <c r="K292" s="12" t="s">
        <v>21</v>
      </c>
      <c r="L292" s="61">
        <f>125.81*1000</f>
        <v>125810</v>
      </c>
      <c r="M292" s="12">
        <f>L292*H292</f>
        <v>110775705</v>
      </c>
      <c r="N292" s="12"/>
      <c r="O292" s="13">
        <v>1.6E-2</v>
      </c>
      <c r="P292" s="14">
        <f t="shared" si="55"/>
        <v>1772411.28</v>
      </c>
      <c r="Q292" s="12"/>
      <c r="R292" s="13">
        <v>2.3300000000000001E-2</v>
      </c>
      <c r="S292" s="3">
        <f t="shared" si="56"/>
        <v>2581073.9265000001</v>
      </c>
      <c r="T292" s="12"/>
      <c r="U292" s="13">
        <v>1.4E-3</v>
      </c>
      <c r="V292" s="3">
        <f t="shared" si="57"/>
        <v>155085.98699999999</v>
      </c>
      <c r="W292" s="7" t="e">
        <f>#REF!+#REF!+#REF!+#REF!+#REF!+#REF!+#REF!+#REF!+#REF!+#REF!+#REF!+#REF!</f>
        <v>#REF!</v>
      </c>
      <c r="X292" s="1" t="e">
        <f>#REF!+#REF!+#REF!+#REF!+#REF!+#REF!+#REF!+#REF!+#REF!+#REF!+#REF!+#REF!-M292</f>
        <v>#REF!</v>
      </c>
      <c r="Y292" s="1">
        <f t="shared" si="51"/>
        <v>4508571.1935000001</v>
      </c>
    </row>
    <row r="293" spans="3:25" x14ac:dyDescent="0.25">
      <c r="C293" s="2"/>
      <c r="D293" s="2"/>
      <c r="E293" s="17"/>
      <c r="F293" s="66" t="s">
        <v>48</v>
      </c>
      <c r="G293" s="12"/>
      <c r="H293" s="12"/>
      <c r="I293" s="12"/>
      <c r="J293" s="12"/>
      <c r="K293" s="12" t="s">
        <v>49</v>
      </c>
      <c r="L293" s="58"/>
      <c r="M293" s="12"/>
      <c r="N293" s="12"/>
      <c r="O293" s="13"/>
      <c r="P293" s="14"/>
      <c r="Q293" s="12"/>
      <c r="R293" s="13"/>
      <c r="S293" s="14"/>
      <c r="T293" s="12"/>
      <c r="U293" s="13"/>
      <c r="V293" s="14"/>
      <c r="W293" s="7"/>
      <c r="X293" s="1"/>
      <c r="Y293" s="1">
        <f t="shared" si="51"/>
        <v>0</v>
      </c>
    </row>
    <row r="294" spans="3:25" x14ac:dyDescent="0.25">
      <c r="C294" s="2"/>
      <c r="D294" s="2"/>
      <c r="E294" s="17"/>
      <c r="F294" s="66" t="s">
        <v>48</v>
      </c>
      <c r="G294" s="12"/>
      <c r="H294" s="12"/>
      <c r="I294" s="12"/>
      <c r="J294" s="12"/>
      <c r="K294" s="12" t="s">
        <v>51</v>
      </c>
      <c r="L294" s="58"/>
      <c r="M294" s="12"/>
      <c r="N294" s="12">
        <v>2.25</v>
      </c>
      <c r="O294" s="13"/>
      <c r="P294" s="14">
        <f>N294*H292</f>
        <v>1981.125</v>
      </c>
      <c r="Q294" s="12"/>
      <c r="R294" s="13"/>
      <c r="S294" s="14"/>
      <c r="T294" s="12"/>
      <c r="U294" s="13"/>
      <c r="V294" s="14"/>
      <c r="W294" s="7"/>
      <c r="X294" s="1"/>
      <c r="Y294" s="1">
        <f t="shared" si="51"/>
        <v>1981.125</v>
      </c>
    </row>
    <row r="295" spans="3:25" x14ac:dyDescent="0.25">
      <c r="C295" s="2"/>
      <c r="D295" s="2"/>
      <c r="E295" s="17"/>
      <c r="F295" s="66" t="s">
        <v>48</v>
      </c>
      <c r="G295" s="12"/>
      <c r="H295" s="12"/>
      <c r="I295" s="12"/>
      <c r="J295" s="12"/>
      <c r="K295" s="12" t="s">
        <v>52</v>
      </c>
      <c r="L295" s="58"/>
      <c r="M295" s="12"/>
      <c r="N295" s="12"/>
      <c r="O295" s="13"/>
      <c r="P295" s="14"/>
      <c r="Q295" s="12">
        <v>3.24</v>
      </c>
      <c r="R295" s="13"/>
      <c r="S295" s="14">
        <f>Q295*H292</f>
        <v>2852.82</v>
      </c>
      <c r="T295" s="12"/>
      <c r="U295" s="13"/>
      <c r="V295" s="14"/>
      <c r="W295" s="7"/>
      <c r="X295" s="1"/>
      <c r="Y295" s="1">
        <f t="shared" si="51"/>
        <v>2852.82</v>
      </c>
    </row>
    <row r="296" spans="3:25" x14ac:dyDescent="0.25">
      <c r="C296" s="2"/>
      <c r="D296" s="2"/>
      <c r="E296" s="17"/>
      <c r="F296" s="66" t="s">
        <v>48</v>
      </c>
      <c r="G296" s="12"/>
      <c r="H296" s="12"/>
      <c r="I296" s="12"/>
      <c r="J296" s="12"/>
      <c r="K296" s="12" t="s">
        <v>53</v>
      </c>
      <c r="L296" s="58"/>
      <c r="M296" s="12"/>
      <c r="N296" s="12"/>
      <c r="O296" s="13"/>
      <c r="P296" s="14"/>
      <c r="Q296" s="12"/>
      <c r="R296" s="13"/>
      <c r="S296" s="14"/>
      <c r="T296" s="12"/>
      <c r="U296" s="13"/>
      <c r="V296" s="14"/>
      <c r="W296" s="7"/>
      <c r="X296" s="1"/>
      <c r="Y296" s="1">
        <f t="shared" si="51"/>
        <v>0</v>
      </c>
    </row>
    <row r="297" spans="3:25" x14ac:dyDescent="0.25">
      <c r="C297" s="2"/>
      <c r="D297" s="2"/>
      <c r="E297" s="17"/>
      <c r="F297" s="66" t="s">
        <v>48</v>
      </c>
      <c r="G297" s="12"/>
      <c r="H297" s="12"/>
      <c r="I297" s="12"/>
      <c r="J297" s="12"/>
      <c r="K297" s="12" t="s">
        <v>54</v>
      </c>
      <c r="L297" s="58"/>
      <c r="M297" s="12"/>
      <c r="N297" s="12"/>
      <c r="O297" s="13"/>
      <c r="P297" s="14"/>
      <c r="Q297" s="12"/>
      <c r="R297" s="13"/>
      <c r="S297" s="14"/>
      <c r="T297" s="12"/>
      <c r="U297" s="13"/>
      <c r="V297" s="14"/>
      <c r="W297" s="7"/>
      <c r="X297" s="1"/>
      <c r="Y297" s="1">
        <f t="shared" si="51"/>
        <v>0</v>
      </c>
    </row>
    <row r="298" spans="3:25" x14ac:dyDescent="0.25">
      <c r="C298" s="2"/>
      <c r="D298" s="2"/>
      <c r="E298" s="17"/>
      <c r="F298" s="66" t="s">
        <v>48</v>
      </c>
      <c r="G298" s="12"/>
      <c r="H298" s="12"/>
      <c r="I298" s="12"/>
      <c r="J298" s="12"/>
      <c r="K298" s="12" t="s">
        <v>55</v>
      </c>
      <c r="L298" s="58"/>
      <c r="M298" s="12"/>
      <c r="N298" s="12"/>
      <c r="O298" s="13"/>
      <c r="P298" s="14"/>
      <c r="Q298" s="12"/>
      <c r="R298" s="13"/>
      <c r="S298" s="14"/>
      <c r="T298" s="12">
        <v>0.17</v>
      </c>
      <c r="U298" s="13"/>
      <c r="V298" s="14">
        <f>T298*H292</f>
        <v>149.685</v>
      </c>
      <c r="W298" s="7"/>
      <c r="X298" s="1"/>
      <c r="Y298" s="1">
        <f t="shared" si="51"/>
        <v>149.685</v>
      </c>
    </row>
    <row r="299" spans="3:25" x14ac:dyDescent="0.25">
      <c r="F299" s="25" t="s">
        <v>28</v>
      </c>
      <c r="G299" s="2"/>
      <c r="H299" s="2"/>
      <c r="I299" s="4">
        <f>73*3*6</f>
        <v>1314</v>
      </c>
      <c r="J299" s="4"/>
      <c r="K299" s="4" t="s">
        <v>25</v>
      </c>
      <c r="L299" s="58">
        <f>276.67*1000</f>
        <v>276670</v>
      </c>
      <c r="M299" s="4">
        <f>L299*I299</f>
        <v>363544380</v>
      </c>
      <c r="N299" s="4"/>
      <c r="O299" s="6">
        <v>1.5900000000000001E-2</v>
      </c>
      <c r="P299" s="3">
        <f t="shared" ref="P299:P306" si="58">O299*$M299</f>
        <v>5780355.642</v>
      </c>
      <c r="Q299" s="4"/>
      <c r="R299" s="6">
        <v>2.4500000000000001E-2</v>
      </c>
      <c r="S299" s="3">
        <f t="shared" ref="S299:S306" si="59">R299*$M299</f>
        <v>8906837.3100000005</v>
      </c>
      <c r="T299" s="4"/>
      <c r="U299" s="6">
        <v>1.4E-3</v>
      </c>
      <c r="V299" s="3">
        <f t="shared" ref="V299:V306" si="60">U299*$M299</f>
        <v>508962.13199999998</v>
      </c>
      <c r="W299" s="7" t="e">
        <f>#REF!+#REF!+#REF!+#REF!+#REF!+#REF!+#REF!+#REF!+#REF!+#REF!+#REF!+#REF!</f>
        <v>#REF!</v>
      </c>
      <c r="X299" s="1" t="e">
        <f>#REF!+#REF!+#REF!+#REF!+#REF!+#REF!+#REF!+#REF!+#REF!+#REF!+#REF!+#REF!-M299</f>
        <v>#REF!</v>
      </c>
      <c r="Y299" s="1">
        <f t="shared" si="51"/>
        <v>15196155.083999999</v>
      </c>
    </row>
    <row r="300" spans="3:25" x14ac:dyDescent="0.25">
      <c r="C300" s="2"/>
      <c r="D300" s="2"/>
      <c r="E300" s="17"/>
      <c r="F300" s="66" t="s">
        <v>56</v>
      </c>
      <c r="G300" s="12"/>
      <c r="H300" s="12"/>
      <c r="I300" s="12"/>
      <c r="J300" s="12"/>
      <c r="K300" s="12" t="s">
        <v>57</v>
      </c>
      <c r="L300" s="58"/>
      <c r="M300" s="12"/>
      <c r="N300" s="12"/>
      <c r="O300" s="13"/>
      <c r="P300" s="14"/>
      <c r="Q300" s="12"/>
      <c r="R300" s="13"/>
      <c r="S300" s="14"/>
      <c r="T300" s="12"/>
      <c r="U300" s="13"/>
      <c r="V300" s="14"/>
      <c r="W300" s="7"/>
      <c r="X300" s="1"/>
      <c r="Y300" s="1">
        <f t="shared" si="51"/>
        <v>0</v>
      </c>
    </row>
    <row r="301" spans="3:25" x14ac:dyDescent="0.25">
      <c r="C301" s="2"/>
      <c r="D301" s="2"/>
      <c r="E301" s="17"/>
      <c r="F301" s="66" t="s">
        <v>56</v>
      </c>
      <c r="G301" s="12"/>
      <c r="H301" s="12"/>
      <c r="I301" s="12"/>
      <c r="J301" s="12"/>
      <c r="K301" s="12" t="s">
        <v>58</v>
      </c>
      <c r="L301" s="58"/>
      <c r="M301" s="12"/>
      <c r="N301" s="12">
        <v>4.58</v>
      </c>
      <c r="O301" s="13"/>
      <c r="P301" s="14">
        <f>N301*I299</f>
        <v>6018.12</v>
      </c>
      <c r="Q301" s="12"/>
      <c r="R301" s="13"/>
      <c r="S301" s="14"/>
      <c r="T301" s="12"/>
      <c r="U301" s="13"/>
      <c r="V301" s="14"/>
      <c r="W301" s="7"/>
      <c r="X301" s="1"/>
      <c r="Y301" s="1">
        <f t="shared" si="51"/>
        <v>6018.12</v>
      </c>
    </row>
    <row r="302" spans="3:25" x14ac:dyDescent="0.25">
      <c r="C302" s="2"/>
      <c r="D302" s="2"/>
      <c r="E302" s="17"/>
      <c r="F302" s="66" t="s">
        <v>56</v>
      </c>
      <c r="G302" s="12"/>
      <c r="H302" s="12"/>
      <c r="I302" s="12"/>
      <c r="J302" s="12"/>
      <c r="K302" s="12" t="s">
        <v>59</v>
      </c>
      <c r="L302" s="58"/>
      <c r="M302" s="12"/>
      <c r="N302" s="12"/>
      <c r="O302" s="13"/>
      <c r="P302" s="14"/>
      <c r="Q302" s="12">
        <v>6.59</v>
      </c>
      <c r="R302" s="13"/>
      <c r="S302" s="14">
        <f>Q302*I299</f>
        <v>8659.26</v>
      </c>
      <c r="T302" s="12"/>
      <c r="U302" s="13"/>
      <c r="V302" s="14"/>
      <c r="W302" s="7"/>
      <c r="X302" s="1"/>
      <c r="Y302" s="1">
        <f t="shared" si="51"/>
        <v>8659.26</v>
      </c>
    </row>
    <row r="303" spans="3:25" x14ac:dyDescent="0.25">
      <c r="C303" s="2"/>
      <c r="D303" s="2"/>
      <c r="E303" s="17"/>
      <c r="F303" s="66" t="s">
        <v>56</v>
      </c>
      <c r="G303" s="12"/>
      <c r="H303" s="12"/>
      <c r="I303" s="12"/>
      <c r="J303" s="12"/>
      <c r="K303" s="12" t="s">
        <v>60</v>
      </c>
      <c r="L303" s="58"/>
      <c r="M303" s="12"/>
      <c r="N303" s="12"/>
      <c r="O303" s="13"/>
      <c r="P303" s="14"/>
      <c r="Q303" s="12"/>
      <c r="R303" s="13"/>
      <c r="S303" s="14"/>
      <c r="T303" s="12"/>
      <c r="U303" s="13"/>
      <c r="V303" s="14"/>
      <c r="W303" s="7"/>
      <c r="X303" s="1"/>
      <c r="Y303" s="1">
        <f t="shared" si="51"/>
        <v>0</v>
      </c>
    </row>
    <row r="304" spans="3:25" x14ac:dyDescent="0.25">
      <c r="C304" s="2"/>
      <c r="D304" s="2"/>
      <c r="E304" s="17"/>
      <c r="F304" s="66" t="s">
        <v>56</v>
      </c>
      <c r="G304" s="12"/>
      <c r="H304" s="12"/>
      <c r="I304" s="12"/>
      <c r="J304" s="12"/>
      <c r="K304" s="12" t="s">
        <v>61</v>
      </c>
      <c r="L304" s="58"/>
      <c r="M304" s="12"/>
      <c r="N304" s="12"/>
      <c r="O304" s="13"/>
      <c r="P304" s="14"/>
      <c r="Q304" s="12"/>
      <c r="R304" s="13"/>
      <c r="S304" s="14"/>
      <c r="T304" s="12"/>
      <c r="U304" s="13"/>
      <c r="V304" s="14"/>
      <c r="W304" s="7"/>
      <c r="X304" s="1"/>
      <c r="Y304" s="1">
        <f t="shared" si="51"/>
        <v>0</v>
      </c>
    </row>
    <row r="305" spans="3:25" x14ac:dyDescent="0.25">
      <c r="C305" s="2"/>
      <c r="D305" s="2"/>
      <c r="E305" s="17"/>
      <c r="F305" s="66" t="s">
        <v>56</v>
      </c>
      <c r="G305" s="12"/>
      <c r="H305" s="12"/>
      <c r="I305" s="12"/>
      <c r="J305" s="12"/>
      <c r="K305" s="12" t="s">
        <v>62</v>
      </c>
      <c r="L305" s="58"/>
      <c r="M305" s="12"/>
      <c r="N305" s="12"/>
      <c r="O305" s="13"/>
      <c r="P305" s="14"/>
      <c r="Q305" s="12"/>
      <c r="R305" s="13"/>
      <c r="S305" s="14"/>
      <c r="T305" s="12">
        <v>0.39</v>
      </c>
      <c r="U305" s="13"/>
      <c r="V305" s="14">
        <f>T305*I299</f>
        <v>512.46</v>
      </c>
      <c r="W305" s="7"/>
      <c r="X305" s="1"/>
      <c r="Y305" s="1">
        <f t="shared" si="51"/>
        <v>512.46</v>
      </c>
    </row>
    <row r="306" spans="3:25" x14ac:dyDescent="0.25">
      <c r="F306" s="44" t="s">
        <v>29</v>
      </c>
      <c r="G306" s="2"/>
      <c r="H306" s="2"/>
      <c r="I306" s="2"/>
      <c r="J306" s="4">
        <v>9500</v>
      </c>
      <c r="K306" s="4" t="s">
        <v>37</v>
      </c>
      <c r="L306" s="58">
        <v>382230</v>
      </c>
      <c r="M306" s="4">
        <f>J306*L306/100</f>
        <v>36311850</v>
      </c>
      <c r="N306" s="9"/>
      <c r="O306" s="10">
        <v>1.8100000000000002E-2</v>
      </c>
      <c r="P306" s="3">
        <f t="shared" si="58"/>
        <v>657244.4850000001</v>
      </c>
      <c r="Q306" s="9"/>
      <c r="R306" s="10">
        <v>3.0000000000000001E-3</v>
      </c>
      <c r="S306" s="3">
        <f t="shared" si="59"/>
        <v>108935.55</v>
      </c>
      <c r="T306" s="9"/>
      <c r="U306" s="10">
        <v>1.4E-3</v>
      </c>
      <c r="V306" s="3">
        <f t="shared" si="60"/>
        <v>50836.59</v>
      </c>
      <c r="W306" s="7" t="e">
        <f>#REF!+#REF!+#REF!+#REF!+#REF!+#REF!+#REF!+#REF!+#REF!+#REF!+#REF!+#REF!</f>
        <v>#REF!</v>
      </c>
      <c r="X306" s="1" t="e">
        <f>#REF!+#REF!+#REF!+#REF!+#REF!+#REF!+#REF!+#REF!+#REF!+#REF!+#REF!+#REF!-M306</f>
        <v>#REF!</v>
      </c>
      <c r="Y306" s="1">
        <f t="shared" si="51"/>
        <v>817016.62500000012</v>
      </c>
    </row>
    <row r="307" spans="3:25" x14ac:dyDescent="0.25">
      <c r="C307" s="2"/>
      <c r="D307" s="2"/>
      <c r="E307" s="17"/>
      <c r="F307" s="66" t="s">
        <v>56</v>
      </c>
      <c r="G307" s="4"/>
      <c r="H307" s="4"/>
      <c r="I307" s="4"/>
      <c r="J307" s="4"/>
      <c r="K307" s="4" t="s">
        <v>63</v>
      </c>
      <c r="L307" s="58"/>
      <c r="M307" s="4"/>
      <c r="N307" s="4">
        <v>4.67</v>
      </c>
      <c r="O307" s="6"/>
      <c r="P307" s="3">
        <f>N307*J306</f>
        <v>44365</v>
      </c>
      <c r="Q307" s="4"/>
      <c r="R307" s="6"/>
      <c r="S307" s="3"/>
      <c r="T307" s="4"/>
      <c r="U307" s="6"/>
      <c r="V307" s="3"/>
      <c r="W307" s="7"/>
      <c r="X307" s="1"/>
      <c r="Y307" s="1">
        <f t="shared" si="51"/>
        <v>44365</v>
      </c>
    </row>
    <row r="308" spans="3:25" x14ac:dyDescent="0.25">
      <c r="C308" s="2"/>
      <c r="D308" s="2"/>
      <c r="E308" s="17"/>
      <c r="F308" s="66" t="s">
        <v>56</v>
      </c>
      <c r="G308" s="4"/>
      <c r="H308" s="4"/>
      <c r="I308" s="4"/>
      <c r="J308" s="4"/>
      <c r="K308" s="4" t="s">
        <v>64</v>
      </c>
      <c r="L308" s="58"/>
      <c r="M308" s="4"/>
      <c r="N308" s="4"/>
      <c r="O308" s="6"/>
      <c r="P308" s="3"/>
      <c r="Q308" s="4">
        <v>0.86</v>
      </c>
      <c r="R308" s="6"/>
      <c r="S308" s="3">
        <f>Q308*J306</f>
        <v>8170</v>
      </c>
      <c r="T308" s="4"/>
      <c r="U308" s="6"/>
      <c r="V308" s="3"/>
      <c r="W308" s="7"/>
      <c r="X308" s="1"/>
      <c r="Y308" s="1">
        <f t="shared" si="51"/>
        <v>8170</v>
      </c>
    </row>
    <row r="309" spans="3:25" x14ac:dyDescent="0.25">
      <c r="C309" s="2"/>
      <c r="D309" s="2"/>
      <c r="E309" s="17"/>
      <c r="F309" s="66" t="s">
        <v>56</v>
      </c>
      <c r="G309" s="12"/>
      <c r="H309" s="12"/>
      <c r="I309" s="12"/>
      <c r="J309" s="12"/>
      <c r="K309" s="12" t="s">
        <v>65</v>
      </c>
      <c r="L309" s="58"/>
      <c r="M309" s="12"/>
      <c r="N309" s="12"/>
      <c r="O309" s="13"/>
      <c r="P309" s="14"/>
      <c r="Q309" s="12"/>
      <c r="R309" s="13"/>
      <c r="S309" s="14"/>
      <c r="T309" s="12"/>
      <c r="U309" s="13"/>
      <c r="V309" s="14"/>
      <c r="W309" s="7"/>
      <c r="X309" s="1"/>
      <c r="Y309" s="1">
        <f t="shared" si="51"/>
        <v>0</v>
      </c>
    </row>
    <row r="310" spans="3:25" x14ac:dyDescent="0.25">
      <c r="C310" s="2"/>
      <c r="D310" s="2"/>
      <c r="E310" s="17"/>
      <c r="F310" s="66" t="s">
        <v>56</v>
      </c>
      <c r="G310" s="12"/>
      <c r="H310" s="12"/>
      <c r="I310" s="12"/>
      <c r="J310" s="12"/>
      <c r="K310" s="12" t="s">
        <v>66</v>
      </c>
      <c r="L310" s="58"/>
      <c r="M310" s="12"/>
      <c r="N310" s="12"/>
      <c r="O310" s="13"/>
      <c r="P310" s="14"/>
      <c r="Q310" s="12"/>
      <c r="R310" s="13"/>
      <c r="S310" s="14"/>
      <c r="T310" s="12"/>
      <c r="U310" s="13"/>
      <c r="V310" s="14"/>
      <c r="W310" s="7"/>
      <c r="X310" s="1"/>
      <c r="Y310" s="1">
        <f t="shared" si="51"/>
        <v>0</v>
      </c>
    </row>
    <row r="311" spans="3:25" ht="16.5" thickBot="1" x14ac:dyDescent="0.3">
      <c r="C311" s="2"/>
      <c r="D311" s="2"/>
      <c r="E311" s="17"/>
      <c r="F311" s="66" t="s">
        <v>56</v>
      </c>
      <c r="G311" s="12"/>
      <c r="H311" s="12"/>
      <c r="I311" s="12"/>
      <c r="J311" s="12"/>
      <c r="K311" s="12" t="s">
        <v>67</v>
      </c>
      <c r="L311" s="58"/>
      <c r="M311" s="12"/>
      <c r="N311" s="12"/>
      <c r="O311" s="13"/>
      <c r="P311" s="14"/>
      <c r="Q311" s="12"/>
      <c r="R311" s="13"/>
      <c r="S311" s="14"/>
      <c r="T311" s="12">
        <v>0.53</v>
      </c>
      <c r="U311" s="13"/>
      <c r="V311" s="14">
        <f>T311*J306</f>
        <v>5035</v>
      </c>
      <c r="W311" s="7"/>
      <c r="X311" s="1"/>
      <c r="Y311" s="1">
        <f t="shared" si="51"/>
        <v>5035</v>
      </c>
    </row>
    <row r="312" spans="3:25" ht="16.5" thickBot="1" x14ac:dyDescent="0.3">
      <c r="F312" s="46" t="s">
        <v>32</v>
      </c>
      <c r="G312" s="36"/>
      <c r="H312" s="36"/>
      <c r="I312" s="36"/>
      <c r="J312" s="36"/>
      <c r="K312" s="36"/>
      <c r="L312" s="62"/>
      <c r="M312" s="27">
        <f>SUM(M285:M311)</f>
        <v>5755042095</v>
      </c>
      <c r="N312" s="27"/>
      <c r="O312" s="28"/>
      <c r="P312" s="27">
        <f>SUM(P285:P311)</f>
        <v>92268986.472000018</v>
      </c>
      <c r="Q312" s="27"/>
      <c r="R312" s="28"/>
      <c r="S312" s="27">
        <f>SUM(S285:S311)</f>
        <v>133949373.21450001</v>
      </c>
      <c r="T312" s="27"/>
      <c r="U312" s="28"/>
      <c r="V312" s="27">
        <f>SUM(V285:V311)</f>
        <v>8070054.5779999988</v>
      </c>
      <c r="W312" s="7" t="e">
        <f>#REF!+#REF!+#REF!+#REF!+#REF!+#REF!+#REF!+#REF!+#REF!+#REF!+#REF!+#REF!</f>
        <v>#REF!</v>
      </c>
      <c r="X312" s="1" t="e">
        <f>#REF!+#REF!+#REF!+#REF!+#REF!+#REF!+#REF!+#REF!+#REF!+#REF!+#REF!+#REF!-M312</f>
        <v>#REF!</v>
      </c>
      <c r="Y312" s="1">
        <f t="shared" si="51"/>
        <v>234288414.26450002</v>
      </c>
    </row>
    <row r="313" spans="3:25" ht="59.25" customHeight="1" x14ac:dyDescent="0.25">
      <c r="F313" s="43" t="s">
        <v>33</v>
      </c>
      <c r="G313" s="21">
        <v>122609.60000000001</v>
      </c>
      <c r="H313" s="21">
        <v>78368</v>
      </c>
      <c r="I313" s="21"/>
      <c r="J313" s="21"/>
      <c r="K313" s="21" t="s">
        <v>21</v>
      </c>
      <c r="L313" s="60">
        <f>179.64*1000</f>
        <v>179640</v>
      </c>
      <c r="M313" s="21">
        <f>L313*H313</f>
        <v>14078027520</v>
      </c>
      <c r="N313" s="21"/>
      <c r="O313" s="22">
        <v>1.6E-2</v>
      </c>
      <c r="P313" s="23">
        <f t="shared" ref="P313:P320" si="61">O313*$M313</f>
        <v>225248440.31999999</v>
      </c>
      <c r="Q313" s="21"/>
      <c r="R313" s="22">
        <v>2.3300000000000001E-2</v>
      </c>
      <c r="S313" s="3">
        <f t="shared" ref="S313:S320" si="62">R313*$M313</f>
        <v>328018041.21600002</v>
      </c>
      <c r="T313" s="21"/>
      <c r="U313" s="22">
        <v>1.4E-3</v>
      </c>
      <c r="V313" s="3">
        <f t="shared" ref="V313:V320" si="63">U313*$M313</f>
        <v>19709238.528000001</v>
      </c>
      <c r="W313" s="7" t="e">
        <f>#REF!+#REF!+#REF!+#REF!+#REF!+#REF!+#REF!+#REF!+#REF!+#REF!+#REF!+#REF!</f>
        <v>#REF!</v>
      </c>
      <c r="X313" s="1" t="e">
        <f>#REF!+#REF!+#REF!+#REF!+#REF!+#REF!+#REF!+#REF!+#REF!+#REF!+#REF!+#REF!-M313</f>
        <v>#REF!</v>
      </c>
      <c r="Y313" s="1">
        <f t="shared" si="51"/>
        <v>572975720.06400001</v>
      </c>
    </row>
    <row r="314" spans="3:25" x14ac:dyDescent="0.25">
      <c r="C314" s="2"/>
      <c r="D314" s="2"/>
      <c r="E314" s="17"/>
      <c r="F314" s="66" t="s">
        <v>48</v>
      </c>
      <c r="G314" s="12"/>
      <c r="H314" s="12"/>
      <c r="I314" s="12"/>
      <c r="J314" s="12"/>
      <c r="K314" s="12" t="s">
        <v>49</v>
      </c>
      <c r="L314" s="58"/>
      <c r="M314" s="12"/>
      <c r="N314" s="12"/>
      <c r="O314" s="13"/>
      <c r="P314" s="14"/>
      <c r="Q314" s="12"/>
      <c r="R314" s="13"/>
      <c r="S314" s="14"/>
      <c r="T314" s="12"/>
      <c r="U314" s="13"/>
      <c r="V314" s="14"/>
      <c r="W314" s="7"/>
      <c r="X314" s="1"/>
      <c r="Y314" s="1">
        <f t="shared" si="51"/>
        <v>0</v>
      </c>
    </row>
    <row r="315" spans="3:25" x14ac:dyDescent="0.25">
      <c r="C315" s="2"/>
      <c r="D315" s="2"/>
      <c r="E315" s="17"/>
      <c r="F315" s="66" t="s">
        <v>48</v>
      </c>
      <c r="G315" s="12"/>
      <c r="H315" s="12"/>
      <c r="I315" s="12"/>
      <c r="J315" s="12"/>
      <c r="K315" s="12" t="s">
        <v>51</v>
      </c>
      <c r="L315" s="58"/>
      <c r="M315" s="12"/>
      <c r="N315" s="12">
        <v>3.29</v>
      </c>
      <c r="O315" s="13"/>
      <c r="P315" s="14">
        <f>N315*H313</f>
        <v>257830.72</v>
      </c>
      <c r="Q315" s="12"/>
      <c r="R315" s="13"/>
      <c r="S315" s="14"/>
      <c r="T315" s="12"/>
      <c r="U315" s="13"/>
      <c r="V315" s="14"/>
      <c r="W315" s="7"/>
      <c r="X315" s="1"/>
      <c r="Y315" s="1">
        <f t="shared" si="51"/>
        <v>257830.72</v>
      </c>
    </row>
    <row r="316" spans="3:25" x14ac:dyDescent="0.25">
      <c r="C316" s="2"/>
      <c r="D316" s="2"/>
      <c r="E316" s="17"/>
      <c r="F316" s="66" t="s">
        <v>48</v>
      </c>
      <c r="G316" s="12"/>
      <c r="H316" s="12"/>
      <c r="I316" s="12"/>
      <c r="J316" s="12"/>
      <c r="K316" s="12" t="s">
        <v>52</v>
      </c>
      <c r="L316" s="58"/>
      <c r="M316" s="12"/>
      <c r="N316" s="12"/>
      <c r="O316" s="13"/>
      <c r="P316" s="14"/>
      <c r="Q316" s="12">
        <v>4.7300000000000004</v>
      </c>
      <c r="R316" s="13"/>
      <c r="S316" s="14">
        <f>Q316*H313</f>
        <v>370680.64</v>
      </c>
      <c r="T316" s="12"/>
      <c r="U316" s="13"/>
      <c r="V316" s="14"/>
      <c r="W316" s="7"/>
      <c r="X316" s="1"/>
      <c r="Y316" s="1">
        <f t="shared" si="51"/>
        <v>370680.64</v>
      </c>
    </row>
    <row r="317" spans="3:25" x14ac:dyDescent="0.25">
      <c r="C317" s="2"/>
      <c r="D317" s="2"/>
      <c r="E317" s="17"/>
      <c r="F317" s="66" t="s">
        <v>48</v>
      </c>
      <c r="G317" s="12"/>
      <c r="H317" s="12"/>
      <c r="I317" s="12"/>
      <c r="J317" s="12"/>
      <c r="K317" s="12" t="s">
        <v>53</v>
      </c>
      <c r="L317" s="58"/>
      <c r="M317" s="12"/>
      <c r="N317" s="12"/>
      <c r="O317" s="13"/>
      <c r="P317" s="14"/>
      <c r="Q317" s="12"/>
      <c r="R317" s="13"/>
      <c r="S317" s="14"/>
      <c r="T317" s="12"/>
      <c r="U317" s="13"/>
      <c r="V317" s="14"/>
      <c r="W317" s="7"/>
      <c r="X317" s="1"/>
      <c r="Y317" s="1">
        <f t="shared" si="51"/>
        <v>0</v>
      </c>
    </row>
    <row r="318" spans="3:25" x14ac:dyDescent="0.25">
      <c r="C318" s="2"/>
      <c r="D318" s="2"/>
      <c r="E318" s="17"/>
      <c r="F318" s="66" t="s">
        <v>48</v>
      </c>
      <c r="G318" s="12"/>
      <c r="H318" s="12"/>
      <c r="I318" s="12"/>
      <c r="J318" s="12"/>
      <c r="K318" s="12" t="s">
        <v>54</v>
      </c>
      <c r="L318" s="58"/>
      <c r="M318" s="12"/>
      <c r="N318" s="12"/>
      <c r="O318" s="13"/>
      <c r="P318" s="14"/>
      <c r="Q318" s="12"/>
      <c r="R318" s="13"/>
      <c r="S318" s="14"/>
      <c r="T318" s="12"/>
      <c r="U318" s="13"/>
      <c r="V318" s="14"/>
      <c r="W318" s="7"/>
      <c r="X318" s="1"/>
      <c r="Y318" s="1">
        <f t="shared" si="51"/>
        <v>0</v>
      </c>
    </row>
    <row r="319" spans="3:25" x14ac:dyDescent="0.25">
      <c r="C319" s="2"/>
      <c r="D319" s="2"/>
      <c r="E319" s="17"/>
      <c r="F319" s="66" t="s">
        <v>48</v>
      </c>
      <c r="G319" s="12"/>
      <c r="H319" s="12"/>
      <c r="I319" s="12"/>
      <c r="J319" s="12"/>
      <c r="K319" s="12" t="s">
        <v>55</v>
      </c>
      <c r="L319" s="58"/>
      <c r="M319" s="12"/>
      <c r="N319" s="12"/>
      <c r="O319" s="13"/>
      <c r="P319" s="14"/>
      <c r="Q319" s="12"/>
      <c r="R319" s="13"/>
      <c r="S319" s="14"/>
      <c r="T319" s="12">
        <v>0.25</v>
      </c>
      <c r="U319" s="13"/>
      <c r="V319" s="14">
        <f>T319*H313</f>
        <v>19592</v>
      </c>
      <c r="W319" s="7"/>
      <c r="X319" s="1"/>
      <c r="Y319" s="1">
        <f t="shared" si="51"/>
        <v>19592</v>
      </c>
    </row>
    <row r="320" spans="3:25" ht="31.5" x14ac:dyDescent="0.25">
      <c r="F320" s="24" t="s">
        <v>30</v>
      </c>
      <c r="G320" s="4"/>
      <c r="H320" s="4">
        <v>2043.5</v>
      </c>
      <c r="I320" s="4"/>
      <c r="J320" s="12"/>
      <c r="K320" s="12" t="s">
        <v>21</v>
      </c>
      <c r="L320" s="61">
        <f>125.81*1000</f>
        <v>125810</v>
      </c>
      <c r="M320" s="12">
        <f>L320*H320</f>
        <v>257092735</v>
      </c>
      <c r="N320" s="12"/>
      <c r="O320" s="13">
        <v>1.6E-2</v>
      </c>
      <c r="P320" s="14">
        <f t="shared" si="61"/>
        <v>4113483.7600000002</v>
      </c>
      <c r="Q320" s="12"/>
      <c r="R320" s="13">
        <v>2.3300000000000001E-2</v>
      </c>
      <c r="S320" s="3">
        <f t="shared" si="62"/>
        <v>5990260.7255000006</v>
      </c>
      <c r="T320" s="12"/>
      <c r="U320" s="13">
        <v>1.4E-3</v>
      </c>
      <c r="V320" s="3">
        <f t="shared" si="63"/>
        <v>359929.82899999997</v>
      </c>
      <c r="W320" s="7" t="e">
        <f>#REF!+#REF!+#REF!+#REF!+#REF!+#REF!+#REF!+#REF!+#REF!+#REF!+#REF!+#REF!</f>
        <v>#REF!</v>
      </c>
      <c r="X320" s="1" t="e">
        <f>#REF!+#REF!+#REF!+#REF!+#REF!+#REF!+#REF!+#REF!+#REF!+#REF!+#REF!+#REF!-M320</f>
        <v>#REF!</v>
      </c>
      <c r="Y320" s="1">
        <f t="shared" si="51"/>
        <v>10463674.3145</v>
      </c>
    </row>
    <row r="321" spans="3:25" x14ac:dyDescent="0.25">
      <c r="C321" s="2"/>
      <c r="D321" s="2"/>
      <c r="E321" s="17"/>
      <c r="F321" s="66" t="s">
        <v>48</v>
      </c>
      <c r="G321" s="12"/>
      <c r="H321" s="12"/>
      <c r="I321" s="12"/>
      <c r="J321" s="12"/>
      <c r="K321" s="12" t="s">
        <v>49</v>
      </c>
      <c r="L321" s="58"/>
      <c r="M321" s="12"/>
      <c r="N321" s="12"/>
      <c r="O321" s="13"/>
      <c r="P321" s="14"/>
      <c r="Q321" s="12"/>
      <c r="R321" s="13"/>
      <c r="S321" s="14"/>
      <c r="T321" s="12"/>
      <c r="U321" s="13"/>
      <c r="V321" s="14"/>
      <c r="W321" s="7"/>
      <c r="X321" s="1"/>
      <c r="Y321" s="1">
        <f t="shared" si="51"/>
        <v>0</v>
      </c>
    </row>
    <row r="322" spans="3:25" x14ac:dyDescent="0.25">
      <c r="C322" s="2"/>
      <c r="D322" s="2"/>
      <c r="E322" s="17"/>
      <c r="F322" s="66" t="s">
        <v>48</v>
      </c>
      <c r="G322" s="12"/>
      <c r="H322" s="12"/>
      <c r="I322" s="12"/>
      <c r="J322" s="12"/>
      <c r="K322" s="12" t="s">
        <v>51</v>
      </c>
      <c r="L322" s="58"/>
      <c r="M322" s="12"/>
      <c r="N322" s="12">
        <v>2.25</v>
      </c>
      <c r="O322" s="13"/>
      <c r="P322" s="14">
        <f>N322*H320</f>
        <v>4597.875</v>
      </c>
      <c r="Q322" s="12"/>
      <c r="R322" s="13"/>
      <c r="S322" s="14"/>
      <c r="T322" s="12"/>
      <c r="U322" s="13"/>
      <c r="V322" s="14"/>
      <c r="W322" s="7"/>
      <c r="X322" s="1"/>
      <c r="Y322" s="1">
        <f t="shared" si="51"/>
        <v>4597.875</v>
      </c>
    </row>
    <row r="323" spans="3:25" x14ac:dyDescent="0.25">
      <c r="C323" s="2"/>
      <c r="D323" s="2"/>
      <c r="E323" s="17"/>
      <c r="F323" s="66" t="s">
        <v>48</v>
      </c>
      <c r="G323" s="12"/>
      <c r="H323" s="12"/>
      <c r="I323" s="12"/>
      <c r="J323" s="12"/>
      <c r="K323" s="12" t="s">
        <v>52</v>
      </c>
      <c r="L323" s="58"/>
      <c r="M323" s="12"/>
      <c r="N323" s="12"/>
      <c r="O323" s="13"/>
      <c r="P323" s="14"/>
      <c r="Q323" s="12">
        <v>3.24</v>
      </c>
      <c r="R323" s="13"/>
      <c r="S323" s="14">
        <f>Q323*H320</f>
        <v>6620.9400000000005</v>
      </c>
      <c r="T323" s="12"/>
      <c r="U323" s="13"/>
      <c r="V323" s="14"/>
      <c r="W323" s="7"/>
      <c r="X323" s="1"/>
      <c r="Y323" s="1">
        <f t="shared" si="51"/>
        <v>6620.9400000000005</v>
      </c>
    </row>
    <row r="324" spans="3:25" x14ac:dyDescent="0.25">
      <c r="C324" s="2"/>
      <c r="D324" s="2"/>
      <c r="E324" s="17"/>
      <c r="F324" s="66" t="s">
        <v>48</v>
      </c>
      <c r="G324" s="12"/>
      <c r="H324" s="12"/>
      <c r="I324" s="12"/>
      <c r="J324" s="12"/>
      <c r="K324" s="12" t="s">
        <v>53</v>
      </c>
      <c r="L324" s="58"/>
      <c r="M324" s="12"/>
      <c r="N324" s="12"/>
      <c r="O324" s="13"/>
      <c r="P324" s="14"/>
      <c r="Q324" s="12"/>
      <c r="R324" s="13"/>
      <c r="S324" s="14"/>
      <c r="T324" s="12"/>
      <c r="U324" s="13"/>
      <c r="V324" s="14"/>
      <c r="W324" s="7"/>
      <c r="X324" s="1"/>
      <c r="Y324" s="1">
        <f t="shared" si="51"/>
        <v>0</v>
      </c>
    </row>
    <row r="325" spans="3:25" x14ac:dyDescent="0.25">
      <c r="C325" s="2"/>
      <c r="D325" s="2"/>
      <c r="E325" s="17"/>
      <c r="F325" s="66" t="s">
        <v>48</v>
      </c>
      <c r="G325" s="12"/>
      <c r="H325" s="12"/>
      <c r="I325" s="12"/>
      <c r="J325" s="12"/>
      <c r="K325" s="12" t="s">
        <v>54</v>
      </c>
      <c r="L325" s="58"/>
      <c r="M325" s="12"/>
      <c r="N325" s="12"/>
      <c r="O325" s="13"/>
      <c r="P325" s="14"/>
      <c r="Q325" s="12"/>
      <c r="R325" s="13"/>
      <c r="S325" s="14"/>
      <c r="T325" s="12"/>
      <c r="U325" s="13"/>
      <c r="V325" s="14"/>
      <c r="W325" s="7"/>
      <c r="X325" s="1"/>
      <c r="Y325" s="1">
        <f t="shared" si="51"/>
        <v>0</v>
      </c>
    </row>
    <row r="326" spans="3:25" x14ac:dyDescent="0.25">
      <c r="C326" s="2"/>
      <c r="D326" s="2"/>
      <c r="E326" s="17"/>
      <c r="F326" s="66" t="s">
        <v>48</v>
      </c>
      <c r="G326" s="12"/>
      <c r="H326" s="12"/>
      <c r="I326" s="12"/>
      <c r="J326" s="12"/>
      <c r="K326" s="12" t="s">
        <v>55</v>
      </c>
      <c r="L326" s="58"/>
      <c r="M326" s="12"/>
      <c r="N326" s="12"/>
      <c r="O326" s="13"/>
      <c r="P326" s="14"/>
      <c r="Q326" s="12"/>
      <c r="R326" s="13"/>
      <c r="S326" s="14"/>
      <c r="T326" s="12">
        <v>0.17</v>
      </c>
      <c r="U326" s="13"/>
      <c r="V326" s="14">
        <f>T326*H320</f>
        <v>347.39500000000004</v>
      </c>
      <c r="W326" s="7"/>
      <c r="X326" s="1"/>
      <c r="Y326" s="1">
        <f t="shared" ref="Y326:Y369" si="64">V326+S326+P326</f>
        <v>347.39500000000004</v>
      </c>
    </row>
    <row r="327" spans="3:25" x14ac:dyDescent="0.25">
      <c r="F327" s="25" t="s">
        <v>28</v>
      </c>
      <c r="G327" s="2"/>
      <c r="H327" s="2"/>
      <c r="I327" s="4">
        <f>296*3*6</f>
        <v>5328</v>
      </c>
      <c r="J327" s="4"/>
      <c r="K327" s="4" t="s">
        <v>25</v>
      </c>
      <c r="L327" s="58">
        <f>276.67*1000</f>
        <v>276670</v>
      </c>
      <c r="M327" s="4">
        <f>L327*I327</f>
        <v>1474097760</v>
      </c>
      <c r="N327" s="4"/>
      <c r="O327" s="6">
        <v>1.5900000000000001E-2</v>
      </c>
      <c r="P327" s="3">
        <f t="shared" ref="P327:P334" si="65">O327*$M327</f>
        <v>23438154.384</v>
      </c>
      <c r="Q327" s="4"/>
      <c r="R327" s="6">
        <v>2.4500000000000001E-2</v>
      </c>
      <c r="S327" s="3">
        <f t="shared" ref="S327:S334" si="66">R327*$M327</f>
        <v>36115395.120000005</v>
      </c>
      <c r="T327" s="4"/>
      <c r="U327" s="6">
        <v>1.4E-3</v>
      </c>
      <c r="V327" s="3">
        <f t="shared" ref="V327:V334" si="67">U327*$M327</f>
        <v>2063736.8640000001</v>
      </c>
      <c r="W327" s="7" t="e">
        <f>#REF!+#REF!+#REF!+#REF!+#REF!+#REF!+#REF!+#REF!+#REF!+#REF!+#REF!+#REF!</f>
        <v>#REF!</v>
      </c>
      <c r="X327" s="1" t="e">
        <f>#REF!+#REF!+#REF!+#REF!+#REF!+#REF!+#REF!+#REF!+#REF!+#REF!+#REF!+#REF!-M327</f>
        <v>#REF!</v>
      </c>
      <c r="Y327" s="1">
        <f t="shared" si="64"/>
        <v>61617286.368000001</v>
      </c>
    </row>
    <row r="328" spans="3:25" x14ac:dyDescent="0.25">
      <c r="C328" s="2"/>
      <c r="D328" s="2"/>
      <c r="E328" s="17"/>
      <c r="F328" s="66" t="s">
        <v>56</v>
      </c>
      <c r="G328" s="12"/>
      <c r="H328" s="12"/>
      <c r="I328" s="12"/>
      <c r="J328" s="12"/>
      <c r="K328" s="12" t="s">
        <v>57</v>
      </c>
      <c r="L328" s="58"/>
      <c r="M328" s="12"/>
      <c r="N328" s="12"/>
      <c r="O328" s="13"/>
      <c r="P328" s="14"/>
      <c r="Q328" s="12"/>
      <c r="R328" s="13"/>
      <c r="S328" s="14"/>
      <c r="T328" s="12"/>
      <c r="U328" s="13"/>
      <c r="V328" s="14"/>
      <c r="W328" s="7"/>
      <c r="X328" s="1"/>
      <c r="Y328" s="1">
        <f t="shared" si="64"/>
        <v>0</v>
      </c>
    </row>
    <row r="329" spans="3:25" x14ac:dyDescent="0.25">
      <c r="C329" s="2"/>
      <c r="D329" s="2"/>
      <c r="E329" s="17"/>
      <c r="F329" s="66" t="s">
        <v>56</v>
      </c>
      <c r="G329" s="12"/>
      <c r="H329" s="12"/>
      <c r="I329" s="12"/>
      <c r="J329" s="12"/>
      <c r="K329" s="12" t="s">
        <v>58</v>
      </c>
      <c r="L329" s="58"/>
      <c r="M329" s="12"/>
      <c r="N329" s="12">
        <v>4.58</v>
      </c>
      <c r="O329" s="13"/>
      <c r="P329" s="14">
        <f>N329*I327</f>
        <v>24402.240000000002</v>
      </c>
      <c r="Q329" s="12"/>
      <c r="R329" s="13"/>
      <c r="S329" s="14"/>
      <c r="T329" s="12"/>
      <c r="U329" s="13"/>
      <c r="V329" s="14"/>
      <c r="W329" s="7"/>
      <c r="X329" s="1"/>
      <c r="Y329" s="1">
        <f t="shared" si="64"/>
        <v>24402.240000000002</v>
      </c>
    </row>
    <row r="330" spans="3:25" x14ac:dyDescent="0.25">
      <c r="C330" s="2"/>
      <c r="D330" s="2"/>
      <c r="E330" s="17"/>
      <c r="F330" s="66" t="s">
        <v>56</v>
      </c>
      <c r="G330" s="12"/>
      <c r="H330" s="12"/>
      <c r="I330" s="12"/>
      <c r="J330" s="12"/>
      <c r="K330" s="12" t="s">
        <v>59</v>
      </c>
      <c r="L330" s="58"/>
      <c r="M330" s="12"/>
      <c r="N330" s="12"/>
      <c r="O330" s="13"/>
      <c r="P330" s="14"/>
      <c r="Q330" s="12">
        <v>6.59</v>
      </c>
      <c r="R330" s="13"/>
      <c r="S330" s="14">
        <f>Q330*I327</f>
        <v>35111.519999999997</v>
      </c>
      <c r="T330" s="12"/>
      <c r="U330" s="13"/>
      <c r="V330" s="14"/>
      <c r="W330" s="7"/>
      <c r="X330" s="1"/>
      <c r="Y330" s="1">
        <f t="shared" si="64"/>
        <v>35111.519999999997</v>
      </c>
    </row>
    <row r="331" spans="3:25" x14ac:dyDescent="0.25">
      <c r="C331" s="2"/>
      <c r="D331" s="2"/>
      <c r="E331" s="17"/>
      <c r="F331" s="66" t="s">
        <v>56</v>
      </c>
      <c r="G331" s="12"/>
      <c r="H331" s="12"/>
      <c r="I331" s="12"/>
      <c r="J331" s="12"/>
      <c r="K331" s="12" t="s">
        <v>60</v>
      </c>
      <c r="L331" s="58"/>
      <c r="M331" s="12"/>
      <c r="N331" s="12"/>
      <c r="O331" s="13"/>
      <c r="P331" s="14"/>
      <c r="Q331" s="12"/>
      <c r="R331" s="13"/>
      <c r="S331" s="14"/>
      <c r="T331" s="12"/>
      <c r="U331" s="13"/>
      <c r="V331" s="14"/>
      <c r="W331" s="7"/>
      <c r="X331" s="1"/>
      <c r="Y331" s="1">
        <f t="shared" si="64"/>
        <v>0</v>
      </c>
    </row>
    <row r="332" spans="3:25" x14ac:dyDescent="0.25">
      <c r="C332" s="2"/>
      <c r="D332" s="2"/>
      <c r="E332" s="17"/>
      <c r="F332" s="66" t="s">
        <v>56</v>
      </c>
      <c r="G332" s="12"/>
      <c r="H332" s="12"/>
      <c r="I332" s="12"/>
      <c r="J332" s="12"/>
      <c r="K332" s="12" t="s">
        <v>61</v>
      </c>
      <c r="L332" s="58"/>
      <c r="M332" s="12"/>
      <c r="N332" s="12"/>
      <c r="O332" s="13"/>
      <c r="P332" s="14"/>
      <c r="Q332" s="12"/>
      <c r="R332" s="13"/>
      <c r="S332" s="14"/>
      <c r="T332" s="12"/>
      <c r="U332" s="13"/>
      <c r="V332" s="14"/>
      <c r="W332" s="7"/>
      <c r="X332" s="1"/>
      <c r="Y332" s="1">
        <f t="shared" si="64"/>
        <v>0</v>
      </c>
    </row>
    <row r="333" spans="3:25" x14ac:dyDescent="0.25">
      <c r="C333" s="2"/>
      <c r="D333" s="2"/>
      <c r="E333" s="17"/>
      <c r="F333" s="66" t="s">
        <v>56</v>
      </c>
      <c r="G333" s="12"/>
      <c r="H333" s="12"/>
      <c r="I333" s="12"/>
      <c r="J333" s="12"/>
      <c r="K333" s="12" t="s">
        <v>62</v>
      </c>
      <c r="L333" s="58"/>
      <c r="M333" s="12"/>
      <c r="N333" s="12"/>
      <c r="O333" s="13"/>
      <c r="P333" s="14"/>
      <c r="Q333" s="12"/>
      <c r="R333" s="13"/>
      <c r="S333" s="14"/>
      <c r="T333" s="12">
        <v>0.39</v>
      </c>
      <c r="U333" s="13"/>
      <c r="V333" s="14">
        <f>T333*I327</f>
        <v>2077.92</v>
      </c>
      <c r="W333" s="7"/>
      <c r="X333" s="1"/>
      <c r="Y333" s="1">
        <f t="shared" si="64"/>
        <v>2077.92</v>
      </c>
    </row>
    <row r="334" spans="3:25" x14ac:dyDescent="0.25">
      <c r="F334" s="44" t="s">
        <v>29</v>
      </c>
      <c r="G334" s="2"/>
      <c r="H334" s="2"/>
      <c r="I334" s="2"/>
      <c r="J334" s="4">
        <f>5*9500</f>
        <v>47500</v>
      </c>
      <c r="K334" s="4" t="s">
        <v>37</v>
      </c>
      <c r="L334" s="58">
        <v>382230</v>
      </c>
      <c r="M334" s="4">
        <f>J334*L334/100</f>
        <v>181559250</v>
      </c>
      <c r="N334" s="9"/>
      <c r="O334" s="10">
        <v>1.8100000000000002E-2</v>
      </c>
      <c r="P334" s="3">
        <f t="shared" si="65"/>
        <v>3286222.4250000003</v>
      </c>
      <c r="Q334" s="9"/>
      <c r="R334" s="10">
        <v>3.0000000000000001E-3</v>
      </c>
      <c r="S334" s="3">
        <f t="shared" si="66"/>
        <v>544677.75</v>
      </c>
      <c r="T334" s="9"/>
      <c r="U334" s="10">
        <v>1.4E-3</v>
      </c>
      <c r="V334" s="3">
        <f t="shared" si="67"/>
        <v>254182.95</v>
      </c>
      <c r="W334" s="7" t="e">
        <f>#REF!+#REF!+#REF!+#REF!+#REF!+#REF!+#REF!+#REF!+#REF!+#REF!+#REF!+#REF!</f>
        <v>#REF!</v>
      </c>
      <c r="X334" s="1" t="e">
        <f>#REF!+#REF!+#REF!+#REF!+#REF!+#REF!+#REF!+#REF!+#REF!+#REF!+#REF!+#REF!-M334</f>
        <v>#REF!</v>
      </c>
      <c r="Y334" s="1">
        <f t="shared" si="64"/>
        <v>4085083.125</v>
      </c>
    </row>
    <row r="335" spans="3:25" x14ac:dyDescent="0.25">
      <c r="C335" s="2"/>
      <c r="D335" s="2"/>
      <c r="E335" s="17"/>
      <c r="F335" s="66" t="s">
        <v>56</v>
      </c>
      <c r="G335" s="4"/>
      <c r="H335" s="4"/>
      <c r="I335" s="4"/>
      <c r="J335" s="4"/>
      <c r="K335" s="4" t="s">
        <v>63</v>
      </c>
      <c r="L335" s="58"/>
      <c r="M335" s="4"/>
      <c r="N335" s="4">
        <v>4.67</v>
      </c>
      <c r="O335" s="6"/>
      <c r="P335" s="3">
        <f>N335*J334</f>
        <v>221825</v>
      </c>
      <c r="Q335" s="4"/>
      <c r="R335" s="6"/>
      <c r="S335" s="3"/>
      <c r="T335" s="4"/>
      <c r="U335" s="6"/>
      <c r="V335" s="3"/>
      <c r="W335" s="7"/>
      <c r="X335" s="1"/>
      <c r="Y335" s="1">
        <f t="shared" si="64"/>
        <v>221825</v>
      </c>
    </row>
    <row r="336" spans="3:25" x14ac:dyDescent="0.25">
      <c r="C336" s="2"/>
      <c r="D336" s="2"/>
      <c r="E336" s="17"/>
      <c r="F336" s="66" t="s">
        <v>56</v>
      </c>
      <c r="G336" s="4"/>
      <c r="H336" s="4"/>
      <c r="I336" s="4"/>
      <c r="J336" s="4"/>
      <c r="K336" s="4" t="s">
        <v>64</v>
      </c>
      <c r="L336" s="58"/>
      <c r="M336" s="4"/>
      <c r="N336" s="4"/>
      <c r="O336" s="6"/>
      <c r="P336" s="3"/>
      <c r="Q336" s="4">
        <v>0.86</v>
      </c>
      <c r="R336" s="6"/>
      <c r="S336" s="3">
        <f>Q336*J334</f>
        <v>40850</v>
      </c>
      <c r="T336" s="4"/>
      <c r="U336" s="6"/>
      <c r="V336" s="3"/>
      <c r="W336" s="7"/>
      <c r="X336" s="1"/>
      <c r="Y336" s="1">
        <f t="shared" si="64"/>
        <v>40850</v>
      </c>
    </row>
    <row r="337" spans="3:25" x14ac:dyDescent="0.25">
      <c r="C337" s="2"/>
      <c r="D337" s="2"/>
      <c r="E337" s="17"/>
      <c r="F337" s="66" t="s">
        <v>56</v>
      </c>
      <c r="G337" s="12"/>
      <c r="H337" s="12"/>
      <c r="I337" s="12"/>
      <c r="J337" s="12"/>
      <c r="K337" s="12" t="s">
        <v>65</v>
      </c>
      <c r="L337" s="58"/>
      <c r="M337" s="12"/>
      <c r="N337" s="12"/>
      <c r="O337" s="13"/>
      <c r="P337" s="14"/>
      <c r="Q337" s="12"/>
      <c r="R337" s="13"/>
      <c r="S337" s="14"/>
      <c r="T337" s="12"/>
      <c r="U337" s="13"/>
      <c r="V337" s="14"/>
      <c r="W337" s="7"/>
      <c r="X337" s="1"/>
      <c r="Y337" s="1">
        <f t="shared" si="64"/>
        <v>0</v>
      </c>
    </row>
    <row r="338" spans="3:25" x14ac:dyDescent="0.25">
      <c r="C338" s="2"/>
      <c r="D338" s="2"/>
      <c r="E338" s="17"/>
      <c r="F338" s="66" t="s">
        <v>56</v>
      </c>
      <c r="G338" s="12"/>
      <c r="H338" s="12"/>
      <c r="I338" s="12"/>
      <c r="J338" s="12"/>
      <c r="K338" s="12" t="s">
        <v>66</v>
      </c>
      <c r="L338" s="58"/>
      <c r="M338" s="12"/>
      <c r="N338" s="12"/>
      <c r="O338" s="13"/>
      <c r="P338" s="14"/>
      <c r="Q338" s="12"/>
      <c r="R338" s="13"/>
      <c r="S338" s="14"/>
      <c r="T338" s="12"/>
      <c r="U338" s="13"/>
      <c r="V338" s="14"/>
      <c r="W338" s="7"/>
      <c r="X338" s="1"/>
      <c r="Y338" s="1">
        <f t="shared" si="64"/>
        <v>0</v>
      </c>
    </row>
    <row r="339" spans="3:25" x14ac:dyDescent="0.25">
      <c r="C339" s="2"/>
      <c r="D339" s="2"/>
      <c r="E339" s="17"/>
      <c r="F339" s="66" t="s">
        <v>56</v>
      </c>
      <c r="G339" s="12"/>
      <c r="H339" s="12"/>
      <c r="I339" s="12"/>
      <c r="J339" s="12"/>
      <c r="K339" s="12" t="s">
        <v>67</v>
      </c>
      <c r="L339" s="58"/>
      <c r="M339" s="12"/>
      <c r="N339" s="12"/>
      <c r="O339" s="13"/>
      <c r="P339" s="14"/>
      <c r="Q339" s="12"/>
      <c r="R339" s="13"/>
      <c r="S339" s="14"/>
      <c r="T339" s="12">
        <v>0.53</v>
      </c>
      <c r="U339" s="13"/>
      <c r="V339" s="14">
        <f>T339*J334</f>
        <v>25175</v>
      </c>
      <c r="W339" s="7"/>
      <c r="X339" s="1"/>
      <c r="Y339" s="1">
        <f t="shared" si="64"/>
        <v>25175</v>
      </c>
    </row>
    <row r="340" spans="3:25" ht="16.5" thickBot="1" x14ac:dyDescent="0.3">
      <c r="F340" s="32" t="s">
        <v>34</v>
      </c>
      <c r="G340" s="36"/>
      <c r="H340" s="36"/>
      <c r="I340" s="36"/>
      <c r="J340" s="36"/>
      <c r="K340" s="36"/>
      <c r="L340" s="62"/>
      <c r="M340" s="27">
        <f>SUM(M313:M339)</f>
        <v>15990777265</v>
      </c>
      <c r="N340" s="27"/>
      <c r="O340" s="28"/>
      <c r="P340" s="27">
        <f>SUM(P313:P339)</f>
        <v>256594956.72400001</v>
      </c>
      <c r="Q340" s="27"/>
      <c r="R340" s="28"/>
      <c r="S340" s="27">
        <f>SUM(S313:S339)</f>
        <v>371121637.91149998</v>
      </c>
      <c r="T340" s="27"/>
      <c r="U340" s="28"/>
      <c r="V340" s="27">
        <f>SUM(V313:V339)</f>
        <v>22434280.486000001</v>
      </c>
      <c r="W340" s="7" t="e">
        <f>#REF!+#REF!+#REF!+#REF!+#REF!+#REF!+#REF!+#REF!+#REF!+#REF!+#REF!+#REF!</f>
        <v>#REF!</v>
      </c>
      <c r="X340" s="1" t="e">
        <f>#REF!+#REF!+#REF!+#REF!+#REF!+#REF!+#REF!+#REF!+#REF!+#REF!+#REF!+#REF!-M340</f>
        <v>#REF!</v>
      </c>
      <c r="Y340" s="1">
        <f t="shared" si="64"/>
        <v>650150875.12150002</v>
      </c>
    </row>
    <row r="341" spans="3:25" x14ac:dyDescent="0.25">
      <c r="F341" s="43" t="s">
        <v>35</v>
      </c>
      <c r="G341" s="21">
        <v>65713.100000000006</v>
      </c>
      <c r="H341" s="21">
        <v>41892</v>
      </c>
      <c r="I341" s="21"/>
      <c r="J341" s="21"/>
      <c r="K341" s="21" t="s">
        <v>21</v>
      </c>
      <c r="L341" s="60">
        <f>179.64*1000</f>
        <v>179640</v>
      </c>
      <c r="M341" s="21">
        <f>L341*H341</f>
        <v>7525478880</v>
      </c>
      <c r="N341" s="21"/>
      <c r="O341" s="22">
        <v>1.6E-2</v>
      </c>
      <c r="P341" s="23">
        <f t="shared" ref="P341:P348" si="68">O341*$M341</f>
        <v>120407662.08</v>
      </c>
      <c r="Q341" s="21"/>
      <c r="R341" s="22">
        <v>2.3300000000000001E-2</v>
      </c>
      <c r="S341" s="3">
        <f t="shared" ref="S341:S348" si="69">R341*$M341</f>
        <v>175343657.90400001</v>
      </c>
      <c r="T341" s="21"/>
      <c r="U341" s="22">
        <v>1.4E-3</v>
      </c>
      <c r="V341" s="3">
        <f t="shared" ref="V341:V348" si="70">U341*$M341</f>
        <v>10535670.432</v>
      </c>
      <c r="W341" s="7" t="e">
        <f>#REF!+#REF!+#REF!+#REF!+#REF!+#REF!+#REF!+#REF!+#REF!+#REF!+#REF!+#REF!</f>
        <v>#REF!</v>
      </c>
      <c r="X341" s="1" t="e">
        <f>#REF!+#REF!+#REF!+#REF!+#REF!+#REF!+#REF!+#REF!+#REF!+#REF!+#REF!+#REF!-M341</f>
        <v>#REF!</v>
      </c>
      <c r="Y341" s="1">
        <f t="shared" si="64"/>
        <v>306286990.41600001</v>
      </c>
    </row>
    <row r="342" spans="3:25" x14ac:dyDescent="0.25">
      <c r="C342" s="2"/>
      <c r="D342" s="2"/>
      <c r="E342" s="17"/>
      <c r="F342" s="66" t="s">
        <v>48</v>
      </c>
      <c r="G342" s="12"/>
      <c r="H342" s="12"/>
      <c r="I342" s="12"/>
      <c r="J342" s="12"/>
      <c r="K342" s="12" t="s">
        <v>49</v>
      </c>
      <c r="L342" s="58"/>
      <c r="M342" s="12"/>
      <c r="N342" s="12"/>
      <c r="O342" s="13"/>
      <c r="P342" s="14"/>
      <c r="Q342" s="12"/>
      <c r="R342" s="13"/>
      <c r="S342" s="14"/>
      <c r="T342" s="12"/>
      <c r="U342" s="13"/>
      <c r="V342" s="14"/>
      <c r="W342" s="7"/>
      <c r="X342" s="1"/>
      <c r="Y342" s="1">
        <f t="shared" si="64"/>
        <v>0</v>
      </c>
    </row>
    <row r="343" spans="3:25" x14ac:dyDescent="0.25">
      <c r="C343" s="2"/>
      <c r="D343" s="2"/>
      <c r="E343" s="17"/>
      <c r="F343" s="66" t="s">
        <v>48</v>
      </c>
      <c r="G343" s="12"/>
      <c r="H343" s="12"/>
      <c r="I343" s="12"/>
      <c r="J343" s="12"/>
      <c r="K343" s="12" t="s">
        <v>51</v>
      </c>
      <c r="L343" s="58"/>
      <c r="M343" s="12"/>
      <c r="N343" s="12">
        <v>3.29</v>
      </c>
      <c r="O343" s="13"/>
      <c r="P343" s="14">
        <f>N343*H341</f>
        <v>137824.68</v>
      </c>
      <c r="Q343" s="12"/>
      <c r="R343" s="13"/>
      <c r="S343" s="14"/>
      <c r="T343" s="12"/>
      <c r="U343" s="13"/>
      <c r="V343" s="14"/>
      <c r="W343" s="7"/>
      <c r="X343" s="1"/>
      <c r="Y343" s="1">
        <f t="shared" si="64"/>
        <v>137824.68</v>
      </c>
    </row>
    <row r="344" spans="3:25" x14ac:dyDescent="0.25">
      <c r="C344" s="2"/>
      <c r="D344" s="2"/>
      <c r="E344" s="17"/>
      <c r="F344" s="66" t="s">
        <v>48</v>
      </c>
      <c r="G344" s="12"/>
      <c r="H344" s="12"/>
      <c r="I344" s="12"/>
      <c r="J344" s="12"/>
      <c r="K344" s="12" t="s">
        <v>52</v>
      </c>
      <c r="L344" s="58"/>
      <c r="M344" s="12"/>
      <c r="N344" s="12"/>
      <c r="O344" s="13"/>
      <c r="P344" s="14"/>
      <c r="Q344" s="12">
        <v>4.7300000000000004</v>
      </c>
      <c r="R344" s="13"/>
      <c r="S344" s="14">
        <f>Q344*H341</f>
        <v>198149.16</v>
      </c>
      <c r="T344" s="12"/>
      <c r="U344" s="13"/>
      <c r="V344" s="14"/>
      <c r="W344" s="7"/>
      <c r="X344" s="1"/>
      <c r="Y344" s="1">
        <f t="shared" si="64"/>
        <v>198149.16</v>
      </c>
    </row>
    <row r="345" spans="3:25" x14ac:dyDescent="0.25">
      <c r="C345" s="2"/>
      <c r="D345" s="2"/>
      <c r="E345" s="17"/>
      <c r="F345" s="66" t="s">
        <v>48</v>
      </c>
      <c r="G345" s="12"/>
      <c r="H345" s="12"/>
      <c r="I345" s="12"/>
      <c r="J345" s="12"/>
      <c r="K345" s="12" t="s">
        <v>53</v>
      </c>
      <c r="L345" s="58"/>
      <c r="M345" s="12"/>
      <c r="N345" s="12"/>
      <c r="O345" s="13"/>
      <c r="P345" s="14"/>
      <c r="Q345" s="12"/>
      <c r="R345" s="13"/>
      <c r="S345" s="14"/>
      <c r="T345" s="12"/>
      <c r="U345" s="13"/>
      <c r="V345" s="14"/>
      <c r="W345" s="7"/>
      <c r="X345" s="1"/>
      <c r="Y345" s="1">
        <f t="shared" si="64"/>
        <v>0</v>
      </c>
    </row>
    <row r="346" spans="3:25" x14ac:dyDescent="0.25">
      <c r="C346" s="2"/>
      <c r="D346" s="2"/>
      <c r="E346" s="17"/>
      <c r="F346" s="66" t="s">
        <v>48</v>
      </c>
      <c r="G346" s="12"/>
      <c r="H346" s="12"/>
      <c r="I346" s="12"/>
      <c r="J346" s="12"/>
      <c r="K346" s="12" t="s">
        <v>54</v>
      </c>
      <c r="L346" s="58"/>
      <c r="M346" s="12"/>
      <c r="N346" s="12"/>
      <c r="O346" s="13"/>
      <c r="P346" s="14"/>
      <c r="Q346" s="12"/>
      <c r="R346" s="13"/>
      <c r="S346" s="14"/>
      <c r="T346" s="12"/>
      <c r="U346" s="13"/>
      <c r="V346" s="14"/>
      <c r="W346" s="7"/>
      <c r="X346" s="1"/>
      <c r="Y346" s="1">
        <f t="shared" si="64"/>
        <v>0</v>
      </c>
    </row>
    <row r="347" spans="3:25" x14ac:dyDescent="0.25">
      <c r="C347" s="2"/>
      <c r="D347" s="2"/>
      <c r="E347" s="17"/>
      <c r="F347" s="66" t="s">
        <v>48</v>
      </c>
      <c r="G347" s="12"/>
      <c r="H347" s="12"/>
      <c r="I347" s="12"/>
      <c r="J347" s="12"/>
      <c r="K347" s="12" t="s">
        <v>55</v>
      </c>
      <c r="L347" s="58"/>
      <c r="M347" s="12"/>
      <c r="N347" s="12"/>
      <c r="O347" s="13"/>
      <c r="P347" s="14"/>
      <c r="Q347" s="12"/>
      <c r="R347" s="13"/>
      <c r="S347" s="14"/>
      <c r="T347" s="12">
        <v>0.25</v>
      </c>
      <c r="U347" s="13"/>
      <c r="V347" s="14">
        <f>T347*H341</f>
        <v>10473</v>
      </c>
      <c r="W347" s="7"/>
      <c r="X347" s="1"/>
      <c r="Y347" s="1">
        <f t="shared" si="64"/>
        <v>10473</v>
      </c>
    </row>
    <row r="348" spans="3:25" ht="31.5" x14ac:dyDescent="0.25">
      <c r="F348" s="24" t="s">
        <v>30</v>
      </c>
      <c r="G348" s="4"/>
      <c r="H348" s="4">
        <v>1263.5</v>
      </c>
      <c r="I348" s="4"/>
      <c r="J348" s="12"/>
      <c r="K348" s="12" t="s">
        <v>21</v>
      </c>
      <c r="L348" s="61">
        <f>125.81*1000</f>
        <v>125810</v>
      </c>
      <c r="M348" s="12">
        <f>L348*H348</f>
        <v>158960935</v>
      </c>
      <c r="N348" s="12"/>
      <c r="O348" s="13">
        <v>1.6E-2</v>
      </c>
      <c r="P348" s="14">
        <f t="shared" si="68"/>
        <v>2543374.96</v>
      </c>
      <c r="Q348" s="12"/>
      <c r="R348" s="13">
        <v>2.3300000000000001E-2</v>
      </c>
      <c r="S348" s="3">
        <f t="shared" si="69"/>
        <v>3703789.7855000002</v>
      </c>
      <c r="T348" s="12"/>
      <c r="U348" s="13">
        <v>1.4E-3</v>
      </c>
      <c r="V348" s="3">
        <f t="shared" si="70"/>
        <v>222545.30900000001</v>
      </c>
      <c r="W348" s="7" t="e">
        <f>#REF!+#REF!+#REF!+#REF!+#REF!+#REF!+#REF!+#REF!+#REF!+#REF!+#REF!+#REF!</f>
        <v>#REF!</v>
      </c>
      <c r="X348" s="1" t="e">
        <f>#REF!+#REF!+#REF!+#REF!+#REF!+#REF!+#REF!+#REF!+#REF!+#REF!+#REF!+#REF!-M348</f>
        <v>#REF!</v>
      </c>
      <c r="Y348" s="1">
        <f t="shared" si="64"/>
        <v>6469710.0545000006</v>
      </c>
    </row>
    <row r="349" spans="3:25" x14ac:dyDescent="0.25">
      <c r="C349" s="2"/>
      <c r="D349" s="2"/>
      <c r="E349" s="17"/>
      <c r="F349" s="66" t="s">
        <v>48</v>
      </c>
      <c r="G349" s="12"/>
      <c r="H349" s="12"/>
      <c r="I349" s="12"/>
      <c r="J349" s="12"/>
      <c r="K349" s="12" t="s">
        <v>49</v>
      </c>
      <c r="L349" s="58"/>
      <c r="M349" s="12"/>
      <c r="N349" s="12"/>
      <c r="O349" s="13"/>
      <c r="P349" s="14"/>
      <c r="Q349" s="12"/>
      <c r="R349" s="13"/>
      <c r="S349" s="14"/>
      <c r="T349" s="12"/>
      <c r="U349" s="13"/>
      <c r="V349" s="14"/>
      <c r="W349" s="7"/>
      <c r="X349" s="1"/>
      <c r="Y349" s="1">
        <f t="shared" si="64"/>
        <v>0</v>
      </c>
    </row>
    <row r="350" spans="3:25" x14ac:dyDescent="0.25">
      <c r="C350" s="2"/>
      <c r="D350" s="2"/>
      <c r="E350" s="17"/>
      <c r="F350" s="66" t="s">
        <v>48</v>
      </c>
      <c r="G350" s="12"/>
      <c r="H350" s="12"/>
      <c r="I350" s="12"/>
      <c r="J350" s="12"/>
      <c r="K350" s="12" t="s">
        <v>51</v>
      </c>
      <c r="L350" s="58"/>
      <c r="M350" s="12"/>
      <c r="N350" s="12">
        <v>2.25</v>
      </c>
      <c r="O350" s="13"/>
      <c r="P350" s="14">
        <f>N350*H348</f>
        <v>2842.875</v>
      </c>
      <c r="Q350" s="12"/>
      <c r="R350" s="13"/>
      <c r="S350" s="14"/>
      <c r="T350" s="12"/>
      <c r="U350" s="13"/>
      <c r="V350" s="14"/>
      <c r="W350" s="7"/>
      <c r="X350" s="1"/>
      <c r="Y350" s="1">
        <f t="shared" si="64"/>
        <v>2842.875</v>
      </c>
    </row>
    <row r="351" spans="3:25" x14ac:dyDescent="0.25">
      <c r="C351" s="2"/>
      <c r="D351" s="2"/>
      <c r="E351" s="17"/>
      <c r="F351" s="66" t="s">
        <v>48</v>
      </c>
      <c r="G351" s="12"/>
      <c r="H351" s="12"/>
      <c r="I351" s="12"/>
      <c r="J351" s="12"/>
      <c r="K351" s="12" t="s">
        <v>52</v>
      </c>
      <c r="L351" s="58"/>
      <c r="M351" s="12"/>
      <c r="N351" s="12"/>
      <c r="O351" s="13"/>
      <c r="P351" s="14"/>
      <c r="Q351" s="12">
        <v>3.24</v>
      </c>
      <c r="R351" s="13"/>
      <c r="S351" s="14">
        <f>Q351*H348</f>
        <v>4093.7400000000002</v>
      </c>
      <c r="T351" s="12"/>
      <c r="U351" s="13"/>
      <c r="V351" s="14"/>
      <c r="W351" s="7"/>
      <c r="X351" s="1"/>
      <c r="Y351" s="1">
        <f t="shared" si="64"/>
        <v>4093.7400000000002</v>
      </c>
    </row>
    <row r="352" spans="3:25" x14ac:dyDescent="0.25">
      <c r="C352" s="2"/>
      <c r="D352" s="2"/>
      <c r="E352" s="17"/>
      <c r="F352" s="66" t="s">
        <v>48</v>
      </c>
      <c r="G352" s="12"/>
      <c r="H352" s="12"/>
      <c r="I352" s="12"/>
      <c r="J352" s="12"/>
      <c r="K352" s="12" t="s">
        <v>53</v>
      </c>
      <c r="L352" s="58"/>
      <c r="M352" s="12"/>
      <c r="N352" s="12"/>
      <c r="O352" s="13"/>
      <c r="P352" s="14"/>
      <c r="Q352" s="12"/>
      <c r="R352" s="13"/>
      <c r="S352" s="14"/>
      <c r="T352" s="12"/>
      <c r="U352" s="13"/>
      <c r="V352" s="14"/>
      <c r="W352" s="7"/>
      <c r="X352" s="1"/>
      <c r="Y352" s="1">
        <f t="shared" si="64"/>
        <v>0</v>
      </c>
    </row>
    <row r="353" spans="3:25" x14ac:dyDescent="0.25">
      <c r="C353" s="2"/>
      <c r="D353" s="2"/>
      <c r="E353" s="17"/>
      <c r="F353" s="66" t="s">
        <v>48</v>
      </c>
      <c r="G353" s="12"/>
      <c r="H353" s="12"/>
      <c r="I353" s="12"/>
      <c r="J353" s="12"/>
      <c r="K353" s="12" t="s">
        <v>54</v>
      </c>
      <c r="L353" s="58"/>
      <c r="M353" s="12"/>
      <c r="N353" s="12"/>
      <c r="O353" s="13"/>
      <c r="P353" s="14"/>
      <c r="Q353" s="12"/>
      <c r="R353" s="13"/>
      <c r="S353" s="14"/>
      <c r="T353" s="12"/>
      <c r="U353" s="13"/>
      <c r="V353" s="14"/>
      <c r="W353" s="7"/>
      <c r="X353" s="1"/>
      <c r="Y353" s="1">
        <f t="shared" si="64"/>
        <v>0</v>
      </c>
    </row>
    <row r="354" spans="3:25" x14ac:dyDescent="0.25">
      <c r="C354" s="2"/>
      <c r="D354" s="2"/>
      <c r="E354" s="17"/>
      <c r="F354" s="66" t="s">
        <v>48</v>
      </c>
      <c r="G354" s="12"/>
      <c r="H354" s="12"/>
      <c r="I354" s="12"/>
      <c r="J354" s="12"/>
      <c r="K354" s="12" t="s">
        <v>55</v>
      </c>
      <c r="L354" s="58"/>
      <c r="M354" s="12"/>
      <c r="N354" s="12"/>
      <c r="O354" s="13"/>
      <c r="P354" s="14"/>
      <c r="Q354" s="12"/>
      <c r="R354" s="13"/>
      <c r="S354" s="14"/>
      <c r="T354" s="12">
        <v>0.17</v>
      </c>
      <c r="U354" s="13"/>
      <c r="V354" s="14">
        <f>T354*H348</f>
        <v>214.79500000000002</v>
      </c>
      <c r="W354" s="7"/>
      <c r="X354" s="1"/>
      <c r="Y354" s="1">
        <f t="shared" si="64"/>
        <v>214.79500000000002</v>
      </c>
    </row>
    <row r="355" spans="3:25" x14ac:dyDescent="0.25">
      <c r="F355" s="25" t="s">
        <v>28</v>
      </c>
      <c r="G355" s="2"/>
      <c r="H355" s="2"/>
      <c r="I355" s="4">
        <f>189*3*6</f>
        <v>3402</v>
      </c>
      <c r="J355" s="4"/>
      <c r="K355" s="4" t="s">
        <v>25</v>
      </c>
      <c r="L355" s="58">
        <f>276.67*1000</f>
        <v>276670</v>
      </c>
      <c r="M355" s="4">
        <f>L355*I355</f>
        <v>941231340</v>
      </c>
      <c r="N355" s="4"/>
      <c r="O355" s="6">
        <v>1.5900000000000001E-2</v>
      </c>
      <c r="P355" s="3">
        <f t="shared" ref="P355:P362" si="71">O355*$M355</f>
        <v>14965578.306000002</v>
      </c>
      <c r="Q355" s="4"/>
      <c r="R355" s="6">
        <v>2.4500000000000001E-2</v>
      </c>
      <c r="S355" s="3">
        <f t="shared" ref="S355:S362" si="72">R355*$M355</f>
        <v>23060167.830000002</v>
      </c>
      <c r="T355" s="4"/>
      <c r="U355" s="6">
        <v>1.4E-3</v>
      </c>
      <c r="V355" s="3">
        <f t="shared" ref="V355:V362" si="73">U355*$M355</f>
        <v>1317723.8759999999</v>
      </c>
      <c r="W355" s="7" t="e">
        <f>#REF!+#REF!+#REF!+#REF!+#REF!+#REF!+#REF!+#REF!+#REF!+#REF!+#REF!+#REF!</f>
        <v>#REF!</v>
      </c>
      <c r="X355" s="1" t="e">
        <f>#REF!+#REF!+#REF!+#REF!+#REF!+#REF!+#REF!+#REF!+#REF!+#REF!+#REF!+#REF!-M355</f>
        <v>#REF!</v>
      </c>
      <c r="Y355" s="1">
        <f t="shared" si="64"/>
        <v>39343470.012000002</v>
      </c>
    </row>
    <row r="356" spans="3:25" x14ac:dyDescent="0.25">
      <c r="C356" s="2"/>
      <c r="D356" s="2"/>
      <c r="E356" s="17"/>
      <c r="F356" s="66" t="s">
        <v>56</v>
      </c>
      <c r="G356" s="12"/>
      <c r="H356" s="12"/>
      <c r="I356" s="12"/>
      <c r="J356" s="12"/>
      <c r="K356" s="12" t="s">
        <v>57</v>
      </c>
      <c r="L356" s="58"/>
      <c r="M356" s="12"/>
      <c r="N356" s="12"/>
      <c r="O356" s="13"/>
      <c r="P356" s="14"/>
      <c r="Q356" s="12"/>
      <c r="R356" s="13"/>
      <c r="S356" s="14"/>
      <c r="T356" s="12"/>
      <c r="U356" s="13"/>
      <c r="V356" s="14"/>
      <c r="W356" s="7"/>
      <c r="X356" s="1"/>
      <c r="Y356" s="1">
        <f t="shared" si="64"/>
        <v>0</v>
      </c>
    </row>
    <row r="357" spans="3:25" x14ac:dyDescent="0.25">
      <c r="C357" s="2"/>
      <c r="D357" s="2"/>
      <c r="E357" s="17"/>
      <c r="F357" s="66" t="s">
        <v>56</v>
      </c>
      <c r="G357" s="12"/>
      <c r="H357" s="12"/>
      <c r="I357" s="12"/>
      <c r="J357" s="12"/>
      <c r="K357" s="12" t="s">
        <v>58</v>
      </c>
      <c r="L357" s="58"/>
      <c r="M357" s="12"/>
      <c r="N357" s="12">
        <v>4.58</v>
      </c>
      <c r="O357" s="13"/>
      <c r="P357" s="14">
        <f>N357*I355</f>
        <v>15581.16</v>
      </c>
      <c r="Q357" s="12"/>
      <c r="R357" s="13"/>
      <c r="S357" s="14"/>
      <c r="T357" s="12"/>
      <c r="U357" s="13"/>
      <c r="V357" s="14"/>
      <c r="W357" s="7"/>
      <c r="X357" s="1"/>
      <c r="Y357" s="1">
        <f t="shared" si="64"/>
        <v>15581.16</v>
      </c>
    </row>
    <row r="358" spans="3:25" x14ac:dyDescent="0.25">
      <c r="C358" s="2"/>
      <c r="D358" s="2"/>
      <c r="E358" s="17"/>
      <c r="F358" s="66" t="s">
        <v>56</v>
      </c>
      <c r="G358" s="12"/>
      <c r="H358" s="12"/>
      <c r="I358" s="12"/>
      <c r="J358" s="12"/>
      <c r="K358" s="12" t="s">
        <v>59</v>
      </c>
      <c r="L358" s="58"/>
      <c r="M358" s="12"/>
      <c r="N358" s="12"/>
      <c r="O358" s="13"/>
      <c r="P358" s="14"/>
      <c r="Q358" s="12">
        <v>6.59</v>
      </c>
      <c r="R358" s="13"/>
      <c r="S358" s="14">
        <f>Q358*I355</f>
        <v>22419.18</v>
      </c>
      <c r="T358" s="12"/>
      <c r="U358" s="13"/>
      <c r="V358" s="14"/>
      <c r="W358" s="7"/>
      <c r="X358" s="1"/>
      <c r="Y358" s="1">
        <f t="shared" si="64"/>
        <v>22419.18</v>
      </c>
    </row>
    <row r="359" spans="3:25" x14ac:dyDescent="0.25">
      <c r="C359" s="2"/>
      <c r="D359" s="2"/>
      <c r="E359" s="17"/>
      <c r="F359" s="66" t="s">
        <v>56</v>
      </c>
      <c r="G359" s="12"/>
      <c r="H359" s="12"/>
      <c r="I359" s="12"/>
      <c r="J359" s="12"/>
      <c r="K359" s="12" t="s">
        <v>60</v>
      </c>
      <c r="L359" s="58"/>
      <c r="M359" s="12"/>
      <c r="N359" s="12"/>
      <c r="O359" s="13"/>
      <c r="P359" s="14"/>
      <c r="Q359" s="12"/>
      <c r="R359" s="13"/>
      <c r="S359" s="14"/>
      <c r="T359" s="12"/>
      <c r="U359" s="13"/>
      <c r="V359" s="14"/>
      <c r="W359" s="7"/>
      <c r="X359" s="1"/>
      <c r="Y359" s="1">
        <f t="shared" si="64"/>
        <v>0</v>
      </c>
    </row>
    <row r="360" spans="3:25" x14ac:dyDescent="0.25">
      <c r="C360" s="2"/>
      <c r="D360" s="2"/>
      <c r="E360" s="17"/>
      <c r="F360" s="66" t="s">
        <v>56</v>
      </c>
      <c r="G360" s="12"/>
      <c r="H360" s="12"/>
      <c r="I360" s="12"/>
      <c r="J360" s="12"/>
      <c r="K360" s="12" t="s">
        <v>61</v>
      </c>
      <c r="L360" s="58"/>
      <c r="M360" s="12"/>
      <c r="N360" s="12"/>
      <c r="O360" s="13"/>
      <c r="P360" s="14"/>
      <c r="Q360" s="12"/>
      <c r="R360" s="13"/>
      <c r="S360" s="14"/>
      <c r="T360" s="12"/>
      <c r="U360" s="13"/>
      <c r="V360" s="14"/>
      <c r="W360" s="7"/>
      <c r="X360" s="1"/>
      <c r="Y360" s="1">
        <f t="shared" si="64"/>
        <v>0</v>
      </c>
    </row>
    <row r="361" spans="3:25" x14ac:dyDescent="0.25">
      <c r="C361" s="2"/>
      <c r="D361" s="2"/>
      <c r="E361" s="17"/>
      <c r="F361" s="66" t="s">
        <v>56</v>
      </c>
      <c r="G361" s="12"/>
      <c r="H361" s="12"/>
      <c r="I361" s="12"/>
      <c r="J361" s="12"/>
      <c r="K361" s="12" t="s">
        <v>62</v>
      </c>
      <c r="L361" s="58"/>
      <c r="M361" s="12"/>
      <c r="N361" s="12"/>
      <c r="O361" s="13"/>
      <c r="P361" s="14"/>
      <c r="Q361" s="12"/>
      <c r="R361" s="13"/>
      <c r="S361" s="14"/>
      <c r="T361" s="12">
        <v>0.39</v>
      </c>
      <c r="U361" s="13"/>
      <c r="V361" s="14">
        <f>T361*I355</f>
        <v>1326.78</v>
      </c>
      <c r="W361" s="7"/>
      <c r="X361" s="1"/>
      <c r="Y361" s="1">
        <f t="shared" si="64"/>
        <v>1326.78</v>
      </c>
    </row>
    <row r="362" spans="3:25" x14ac:dyDescent="0.25">
      <c r="F362" s="50" t="s">
        <v>29</v>
      </c>
      <c r="G362" s="8"/>
      <c r="H362" s="8"/>
      <c r="I362" s="8"/>
      <c r="J362" s="9">
        <f>3*9500</f>
        <v>28500</v>
      </c>
      <c r="K362" s="9" t="s">
        <v>37</v>
      </c>
      <c r="L362" s="63">
        <v>382230</v>
      </c>
      <c r="M362" s="9">
        <f>J362*L362/100</f>
        <v>108935550</v>
      </c>
      <c r="N362" s="9"/>
      <c r="O362" s="6">
        <v>1.8100000000000002E-2</v>
      </c>
      <c r="P362" s="3">
        <f t="shared" si="71"/>
        <v>1971733.4550000001</v>
      </c>
      <c r="Q362" s="4"/>
      <c r="R362" s="6">
        <v>3.0000000000000001E-3</v>
      </c>
      <c r="S362" s="3">
        <f t="shared" si="72"/>
        <v>326806.65000000002</v>
      </c>
      <c r="T362" s="4"/>
      <c r="U362" s="6">
        <v>1.4E-3</v>
      </c>
      <c r="V362" s="3">
        <f t="shared" si="73"/>
        <v>152509.76999999999</v>
      </c>
      <c r="W362" s="7" t="e">
        <f>#REF!+#REF!+#REF!+#REF!+#REF!+#REF!+#REF!+#REF!+#REF!+#REF!+#REF!+#REF!</f>
        <v>#REF!</v>
      </c>
      <c r="X362" s="1" t="e">
        <f>#REF!+#REF!+#REF!+#REF!+#REF!+#REF!+#REF!+#REF!+#REF!+#REF!+#REF!+#REF!-M362</f>
        <v>#REF!</v>
      </c>
      <c r="Y362" s="1">
        <f t="shared" si="64"/>
        <v>2451049.875</v>
      </c>
    </row>
    <row r="363" spans="3:25" x14ac:dyDescent="0.25">
      <c r="C363" s="2"/>
      <c r="D363" s="2"/>
      <c r="E363" s="17"/>
      <c r="F363" s="66" t="s">
        <v>56</v>
      </c>
      <c r="G363" s="4"/>
      <c r="H363" s="4"/>
      <c r="I363" s="4"/>
      <c r="J363" s="4"/>
      <c r="K363" s="4" t="s">
        <v>63</v>
      </c>
      <c r="L363" s="58"/>
      <c r="M363" s="4"/>
      <c r="N363" s="4">
        <v>4.67</v>
      </c>
      <c r="O363" s="6"/>
      <c r="P363" s="3">
        <f>N363*J362</f>
        <v>133095</v>
      </c>
      <c r="Q363" s="4"/>
      <c r="R363" s="6"/>
      <c r="S363" s="3"/>
      <c r="T363" s="4"/>
      <c r="U363" s="6"/>
      <c r="V363" s="3"/>
      <c r="W363" s="7"/>
      <c r="X363" s="1"/>
      <c r="Y363" s="1">
        <f t="shared" si="64"/>
        <v>133095</v>
      </c>
    </row>
    <row r="364" spans="3:25" x14ac:dyDescent="0.25">
      <c r="C364" s="2"/>
      <c r="D364" s="2"/>
      <c r="E364" s="17"/>
      <c r="F364" s="66" t="s">
        <v>56</v>
      </c>
      <c r="G364" s="4"/>
      <c r="H364" s="4"/>
      <c r="I364" s="4"/>
      <c r="J364" s="4"/>
      <c r="K364" s="4" t="s">
        <v>64</v>
      </c>
      <c r="L364" s="58"/>
      <c r="M364" s="4"/>
      <c r="N364" s="4"/>
      <c r="O364" s="6"/>
      <c r="P364" s="3"/>
      <c r="Q364" s="4">
        <v>0.86</v>
      </c>
      <c r="R364" s="6"/>
      <c r="S364" s="3">
        <f>Q364*J362</f>
        <v>24510</v>
      </c>
      <c r="T364" s="4"/>
      <c r="U364" s="6"/>
      <c r="V364" s="3"/>
      <c r="W364" s="7"/>
      <c r="X364" s="1"/>
      <c r="Y364" s="1">
        <f t="shared" si="64"/>
        <v>24510</v>
      </c>
    </row>
    <row r="365" spans="3:25" x14ac:dyDescent="0.25">
      <c r="C365" s="2"/>
      <c r="D365" s="2"/>
      <c r="E365" s="17"/>
      <c r="F365" s="66" t="s">
        <v>56</v>
      </c>
      <c r="G365" s="12"/>
      <c r="H365" s="12"/>
      <c r="I365" s="12"/>
      <c r="J365" s="12"/>
      <c r="K365" s="12" t="s">
        <v>65</v>
      </c>
      <c r="L365" s="58"/>
      <c r="M365" s="12"/>
      <c r="N365" s="12"/>
      <c r="O365" s="13"/>
      <c r="P365" s="14"/>
      <c r="Q365" s="12"/>
      <c r="R365" s="13"/>
      <c r="S365" s="14"/>
      <c r="T365" s="12"/>
      <c r="U365" s="13"/>
      <c r="V365" s="14"/>
      <c r="W365" s="7"/>
      <c r="X365" s="1"/>
      <c r="Y365" s="1">
        <f t="shared" si="64"/>
        <v>0</v>
      </c>
    </row>
    <row r="366" spans="3:25" x14ac:dyDescent="0.25">
      <c r="C366" s="2"/>
      <c r="D366" s="2"/>
      <c r="E366" s="17"/>
      <c r="F366" s="66" t="s">
        <v>56</v>
      </c>
      <c r="G366" s="12"/>
      <c r="H366" s="12"/>
      <c r="I366" s="12"/>
      <c r="J366" s="12"/>
      <c r="K366" s="12" t="s">
        <v>66</v>
      </c>
      <c r="L366" s="58"/>
      <c r="M366" s="12"/>
      <c r="N366" s="12"/>
      <c r="O366" s="13"/>
      <c r="P366" s="14"/>
      <c r="Q366" s="12"/>
      <c r="R366" s="13"/>
      <c r="S366" s="14"/>
      <c r="T366" s="12"/>
      <c r="U366" s="13"/>
      <c r="V366" s="14"/>
      <c r="W366" s="7"/>
      <c r="X366" s="1"/>
      <c r="Y366" s="1">
        <f t="shared" si="64"/>
        <v>0</v>
      </c>
    </row>
    <row r="367" spans="3:25" ht="16.5" thickBot="1" x14ac:dyDescent="0.3">
      <c r="C367" s="2"/>
      <c r="D367" s="2"/>
      <c r="E367" s="17"/>
      <c r="F367" s="66" t="s">
        <v>56</v>
      </c>
      <c r="G367" s="12"/>
      <c r="H367" s="12"/>
      <c r="I367" s="12"/>
      <c r="J367" s="12"/>
      <c r="K367" s="12" t="s">
        <v>67</v>
      </c>
      <c r="L367" s="58"/>
      <c r="M367" s="12"/>
      <c r="N367" s="12"/>
      <c r="O367" s="13"/>
      <c r="P367" s="14"/>
      <c r="Q367" s="12"/>
      <c r="R367" s="13"/>
      <c r="S367" s="14"/>
      <c r="T367" s="12">
        <v>0.53</v>
      </c>
      <c r="U367" s="13"/>
      <c r="V367" s="14">
        <f>T367*J362</f>
        <v>15105</v>
      </c>
      <c r="W367" s="7"/>
      <c r="X367" s="1"/>
      <c r="Y367" s="1">
        <f t="shared" si="64"/>
        <v>15105</v>
      </c>
    </row>
    <row r="368" spans="3:25" ht="16.5" thickBot="1" x14ac:dyDescent="0.3">
      <c r="F368" s="47" t="s">
        <v>35</v>
      </c>
      <c r="G368" s="51"/>
      <c r="H368" s="51"/>
      <c r="I368" s="51"/>
      <c r="J368" s="51"/>
      <c r="K368" s="51"/>
      <c r="L368" s="53"/>
      <c r="M368" s="52">
        <f>SUM(M341:M367)</f>
        <v>8734606705</v>
      </c>
      <c r="N368" s="67"/>
      <c r="O368" s="64"/>
      <c r="P368" s="52">
        <f>SUM(P341:P367)</f>
        <v>140177692.516</v>
      </c>
      <c r="Q368" s="67"/>
      <c r="R368" s="64"/>
      <c r="S368" s="52">
        <f>SUM(S341:S367)</f>
        <v>202683594.24950004</v>
      </c>
      <c r="T368" s="67"/>
      <c r="U368" s="64"/>
      <c r="V368" s="52">
        <f>SUM(V341:V367)</f>
        <v>12255568.961999999</v>
      </c>
      <c r="W368" s="7" t="e">
        <f>#REF!+#REF!+#REF!+#REF!+#REF!+#REF!+#REF!+#REF!+#REF!+#REF!+#REF!+#REF!</f>
        <v>#REF!</v>
      </c>
      <c r="X368" s="1" t="e">
        <f>#REF!+#REF!+#REF!+#REF!+#REF!+#REF!+#REF!+#REF!+#REF!+#REF!+#REF!+#REF!-M368</f>
        <v>#REF!</v>
      </c>
      <c r="Y368" s="1">
        <f t="shared" si="64"/>
        <v>355116855.72750008</v>
      </c>
    </row>
    <row r="369" spans="6:25" ht="26.25" customHeight="1" thickBot="1" x14ac:dyDescent="0.3">
      <c r="F369" s="54" t="s">
        <v>38</v>
      </c>
      <c r="G369" s="55"/>
      <c r="H369" s="55"/>
      <c r="I369" s="55"/>
      <c r="J369" s="55"/>
      <c r="K369" s="55"/>
      <c r="L369" s="57"/>
      <c r="M369" s="56">
        <f>M368+M340+M312+M284+M256+M228+M200+M172+M144+M116+M88+M60+M32</f>
        <v>64751945807.800003</v>
      </c>
      <c r="N369" s="56"/>
      <c r="O369" s="65"/>
      <c r="P369" s="65">
        <f>P368+P340+P312+P284+P256+P228+P200+P172+P144+P116+P88+P60+P32</f>
        <v>1037113365.0221801</v>
      </c>
      <c r="Q369" s="56"/>
      <c r="R369" s="65"/>
      <c r="S369" s="65">
        <f>S368+S340+S312+S284+S256+S228+S200+S172+S144+S116+S88+S60+S32</f>
        <v>1496540323.3874002</v>
      </c>
      <c r="T369" s="56"/>
      <c r="U369" s="65"/>
      <c r="V369" s="65">
        <f>V368+V340+V312+V284+V256+V228+V200+V172+V144+V116+V88+V60+V32</f>
        <v>90843924.025919989</v>
      </c>
      <c r="X369" s="1" t="e">
        <f>#REF!+#REF!+#REF!+#REF!+#REF!+#REF!+#REF!+#REF!+#REF!+#REF!+#REF!+#REF!-M369</f>
        <v>#REF!</v>
      </c>
      <c r="Y369" s="82">
        <f t="shared" si="64"/>
        <v>2624497612.4355001</v>
      </c>
    </row>
    <row r="374" spans="6:25" x14ac:dyDescent="0.25">
      <c r="Y374" s="81"/>
    </row>
  </sheetData>
  <mergeCells count="5">
    <mergeCell ref="O2:V2"/>
    <mergeCell ref="L3:M3"/>
    <mergeCell ref="N3:P3"/>
    <mergeCell ref="Q3:S3"/>
    <mergeCell ref="T3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Erdem Oruçoglu</dc:creator>
  <cp:lastModifiedBy>o_brusenskaya</cp:lastModifiedBy>
  <dcterms:created xsi:type="dcterms:W3CDTF">2026-04-09T11:44:54Z</dcterms:created>
  <dcterms:modified xsi:type="dcterms:W3CDTF">2026-04-22T14:47:18Z</dcterms:modified>
</cp:coreProperties>
</file>