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_brusenskaya\Desktop\Реновация\"/>
    </mc:Choice>
  </mc:AlternateContent>
  <xr:revisionPtr revIDLastSave="0" documentId="13_ncr:1_{A85A2DC3-04C2-47B4-8FF4-B1F24D311A9B}" xr6:coauthVersionLast="47" xr6:coauthVersionMax="47" xr10:uidLastSave="{00000000-0000-0000-0000-000000000000}"/>
  <bookViews>
    <workbookView xWindow="2370" yWindow="1170" windowWidth="23670" windowHeight="14910" tabRatio="718" xr2:uid="{00000000-000D-0000-FFFF-FFFF00000000}"/>
  </bookViews>
  <sheets>
    <sheet name="Расчет НМЦД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inf2007">#REF!</definedName>
    <definedName name="_inf2008">#REF!</definedName>
    <definedName name="_inf2009">#REF!</definedName>
    <definedName name="_inf2010">#REF!</definedName>
    <definedName name="_inf2011">#REF!</definedName>
    <definedName name="_inf2012">#REF!</definedName>
    <definedName name="_inf2013">#REF!</definedName>
    <definedName name="_inf2014">#REF!</definedName>
    <definedName name="_inf2015">#REF!</definedName>
    <definedName name="_KI2012">[1]Расчет!$H$47</definedName>
    <definedName name="_KI2013">[1]Расчет!$H$48</definedName>
    <definedName name="ColLastYearFB">[2]ФедД!$AH$17</definedName>
    <definedName name="ColLastYearFB1">[3]Управление!$AF$17</definedName>
    <definedName name="ColThisYearFB">[2]ФедД!$AG$17</definedName>
    <definedName name="KInfAvg">[1]Расчет!$H$38</definedName>
    <definedName name="KS">[1]РасчТЗ!$G$52</definedName>
    <definedName name="PeriodLastYearName">[2]ФедД!$AH$20</definedName>
    <definedName name="PeriodThisYearName">[2]ФедД!$AG$20</definedName>
    <definedName name="Sanalog">[1]Ввод!$D$54</definedName>
    <definedName name="short">[4]!short</definedName>
    <definedName name="title">'[5]Огл. Графиков'!$B$2:$B$31</definedName>
    <definedName name="Z_0D2818D8_B500_4FFF_93B9_B7253CC77E6C_.wvu.PrintArea" localSheetId="0" hidden="1">'Расчет НМЦД'!$A$1:$E$1011</definedName>
    <definedName name="Z_0D2818D8_B500_4FFF_93B9_B7253CC77E6C_.wvu.Rows" localSheetId="0" hidden="1">'Расчет НМЦД'!$48:$48,'Расчет НМЦД'!$92:$92,'Расчет НМЦД'!#REF!,'Расчет НМЦД'!$157:$157,'Расчет НМЦД'!#REF!,'Расчет НМЦД'!$201:$201,'Расчет НМЦД'!$245:$245,'Расчет НМЦД'!#REF!,'Расчет НМЦД'!#REF!,'Расчет НМЦД'!$359:$359,'Расчет НМЦД'!#REF!,'Расчет НМЦД'!#REF!,'Расчет НМЦД'!$577:$577,'Расчет НМЦД'!$581:$581,'Расчет НМЦД'!$621:$621,'Расчет НМЦД'!$625:$625,'Расчет НМЦД'!$667:$667,'Расчет НМЦД'!$671:$671,'Расчет НМЦД'!$711:$711,'Расчет НМЦД'!$715:$715,'Расчет НМЦД'!$756:$756,'Расчет НМЦД'!#REF!,'Расчет НМЦД'!$799:$799,'Расчет НМЦД'!#REF!,'Расчет НМЦД'!#REF!,'Расчет НМЦД'!#REF!,'Расчет НМЦД'!#REF!,'Расчет НМЦД'!#REF!,'Расчет НМЦД'!#REF!,'Расчет НМЦД'!#REF!,'Расчет НМЦД'!#REF!,'Расчет НМЦД'!#REF!,'Расчет НМЦД'!#REF!,'Расчет НМЦД'!#REF!,'Расчет НМЦД'!#REF!,'Расчет НМЦД'!#REF!,'Расчет НМЦД'!#REF!,'Расчет НМЦД'!#REF!,'Расчет НМЦД'!#REF!,'Расчет НМЦД'!#REF!,'Расчет НМЦД'!#REF!,'Расчет НМЦД'!#REF!,'Расчет НМЦД'!#REF!,'Расчет НМЦД'!#REF!,'Расчет НМЦД'!#REF!,'Расчет НМЦД'!#REF!,'Расчет НМЦД'!#REF!,'Расчет НМЦД'!#REF!,'Расчет НМЦД'!$949:$949,'Расчет НМЦД'!$951:$951,'Расчет НМЦД'!$989:$989,'Расчет НМЦД'!$991:$991,'Расчет НМЦД'!#REF!,'Расчет НМЦД'!#REF!,'Расчет НМЦД'!#REF!,'Расчет НМЦД'!#REF!,'Расчет НМЦД'!#REF!,'Расчет НМЦД'!#REF!,'Расчет НМЦД'!#REF!,'Расчет НМЦД'!#REF!,'Расчет НМЦД'!#REF!,'Расчет НМЦД'!#REF!</definedName>
    <definedName name="Z_547CEAFB_2318_4199_A168_BF7C2AC68639_.wvu.PrintArea" localSheetId="0" hidden="1">'Расчет НМЦД'!$A$1:$E$1011</definedName>
    <definedName name="Z_547CEAFB_2318_4199_A168_BF7C2AC68639_.wvu.Rows" localSheetId="0" hidden="1">'Расчет НМЦД'!$48:$48,'Расчет НМЦД'!$92:$92,'Расчет НМЦД'!#REF!,'Расчет НМЦД'!$157:$157,'Расчет НМЦД'!#REF!,'Расчет НМЦД'!$201:$201,'Расчет НМЦД'!$245:$245,'Расчет НМЦД'!#REF!,'Расчет НМЦД'!#REF!,'Расчет НМЦД'!$359:$359,'Расчет НМЦД'!#REF!,'Расчет НМЦД'!#REF!,'Расчет НМЦД'!#REF!,'Расчет НМЦД'!$577:$577,'Расчет НМЦД'!$584:$1001</definedName>
    <definedName name="Z_6736ED4C_54C7_44F9_894B_734AAD68E923_.wvu.PrintArea" localSheetId="0" hidden="1">'Расчет НМЦД'!$A$1:$E$1011</definedName>
    <definedName name="Z_6736ED4C_54C7_44F9_894B_734AAD68E923_.wvu.Rows" localSheetId="0" hidden="1">'Расчет НМЦД'!$48:$48,'Расчет НМЦД'!$92:$92,'Расчет НМЦД'!#REF!,'Расчет НМЦД'!$157:$157,'Расчет НМЦД'!#REF!,'Расчет НМЦД'!$201:$201,'Расчет НМЦД'!$245:$245,'Расчет НМЦД'!#REF!,'Расчет НМЦД'!#REF!,'Расчет НМЦД'!$359:$359,'Расчет НМЦД'!#REF!,'Расчет НМЦД'!#REF!,'Расчет НМЦД'!#REF!,'Расчет НМЦД'!$577:$577,'Расчет НМЦД'!$584:$1001</definedName>
    <definedName name="Z_AB3EE172_853F_48DA_B5F4_60310AA706CB_.wvu.PrintArea" localSheetId="0" hidden="1">'Расчет НМЦД'!$A$1:$E$1011</definedName>
    <definedName name="Z_AB3EE172_853F_48DA_B5F4_60310AA706CB_.wvu.Rows" localSheetId="0" hidden="1">'Расчет НМЦД'!$48:$48,'Расчет НМЦД'!$92:$92,'Расчет НМЦД'!#REF!,'Расчет НМЦД'!$157:$157,'Расчет НМЦД'!#REF!,'Расчет НМЦД'!$201:$201,'Расчет НМЦД'!$245:$245,'Расчет НМЦД'!#REF!,'Расчет НМЦД'!#REF!,'Расчет НМЦД'!$359:$359,'Расчет НМЦД'!#REF!,'Расчет НМЦД'!#REF!,'Расчет НМЦД'!#REF!,'Расчет НМЦД'!$577:$577,'Расчет НМЦД'!$584:$1001</definedName>
    <definedName name="Z_D35DAF0D_B851_4B04_BC33_D25AA3F97F98_.wvu.PrintArea" localSheetId="0" hidden="1">'Расчет НМЦД'!$A$1:$E$1011</definedName>
    <definedName name="Z_D35DAF0D_B851_4B04_BC33_D25AA3F97F98_.wvu.Rows" localSheetId="0" hidden="1">'Расчет НМЦД'!$48:$48,'Расчет НМЦД'!$92:$92,'Расчет НМЦД'!#REF!,'Расчет НМЦД'!$157:$157,'Расчет НМЦД'!#REF!,'Расчет НМЦД'!$201:$201,'Расчет НМЦД'!$245:$245,'Расчет НМЦД'!#REF!,'Расчет НМЦД'!#REF!,'Расчет НМЦД'!$359:$359,'Расчет НМЦД'!#REF!,'Расчет НМЦД'!#REF!,'Расчет НМЦД'!#REF!,'Расчет НМЦД'!$577:$577,'Расчет НМЦД'!$584:$1001</definedName>
    <definedName name="Ак.р">[6]База!#REF!</definedName>
    <definedName name="вид_сметы">[7]база!$G$1:$G$65536</definedName>
    <definedName name="выдал">[7]база!$E$1:$E$65536</definedName>
    <definedName name="Вып_ОФ_с_пц">[5]рабочий!$Y$202:$AP$224</definedName>
    <definedName name="Вып_с_новых_ОФ">[5]рабочий!$Y$277:$AP$299</definedName>
    <definedName name="Выход">[8]Управление!$AF$20</definedName>
    <definedName name="График">"Диагр. 4"</definedName>
    <definedName name="Дефл_ц_пред_год">'[5]Текущие цены'!$AT$36:$BK$58</definedName>
    <definedName name="Дефлятор_годовой">'[5]Текущие цены'!$Y$4:$AP$27</definedName>
    <definedName name="Дефлятор_цепной">'[5]Текущие цены'!$Y$36:$AP$58</definedName>
    <definedName name="заказчики">[7]база!$A$1:$A$65536</definedName>
    <definedName name="Каб">[9]База!#REF!</definedName>
    <definedName name="КИнфПИР1">[1]ВводТЗ!$C$47</definedName>
    <definedName name="Коэф.ЗП">[1]ВводТЗ!$D$39</definedName>
    <definedName name="КфИнфПИР">[1]ВводТЗ!$C$46</definedName>
    <definedName name="КфИнфПИР_ПР">[1]ВводТЗ!$C$48</definedName>
    <definedName name="КфИнфТЗ">[1]ВводТЗ!$C$49</definedName>
    <definedName name="КфОб">[1]ВводТЗ!$C$45</definedName>
    <definedName name="новые_ОФ_2003">[5]рабочий!$F$305:$W$327</definedName>
    <definedName name="новые_ОФ_2004">[5]рабочий!$F$335:$W$357</definedName>
    <definedName name="новые_ОФ_а_всего">[5]рабочий!$F$767:$V$789</definedName>
    <definedName name="новые_ОФ_всего">[5]рабочий!$F$1331:$V$1353</definedName>
    <definedName name="новые_ОФ_п_всего">[5]рабочий!$F$1293:$V$1315</definedName>
    <definedName name="НормСКТЗ">[1]ВводТЗ!$C$53</definedName>
    <definedName name="_xlnm.Print_Area" localSheetId="0">'Расчет НМЦД'!$A$1:$E$1010</definedName>
    <definedName name="ограда">[10]База!#REF!</definedName>
    <definedName name="окраска_05">[5]окраска!$C$7:$Z$30</definedName>
    <definedName name="окраска_06">[5]окраска!$C$35:$Z$58</definedName>
    <definedName name="окраска_07">[5]окраска!$C$63:$Z$86</definedName>
    <definedName name="окраска_08">[5]окраска!$C$91:$Z$114</definedName>
    <definedName name="окраска_09">[5]окраска!$C$119:$Z$142</definedName>
    <definedName name="окраска_10">[5]окраска!$C$147:$Z$170</definedName>
    <definedName name="окраска_11">[5]окраска!$C$175:$Z$198</definedName>
    <definedName name="окраска_12">[5]окраска!$C$203:$Z$226</definedName>
    <definedName name="окраска_13">[5]окраска!$C$231:$Z$254</definedName>
    <definedName name="окраска_14">[5]окраска!$C$259:$Z$282</definedName>
    <definedName name="окраска_15">[5]окраска!$C$287:$Z$310</definedName>
    <definedName name="ОФ_а_с_пц">[5]рабочий!$CI$121:$CY$143</definedName>
    <definedName name="ПОКАЗАТЕЛИ_ДОЛГОСР.ПРОГНОЗА">'[11]2002(v2)'!#REF!</definedName>
    <definedName name="приб">[12]Управление!$AE$20</definedName>
    <definedName name="прибвб2">[12]Управление!$AF$20</definedName>
    <definedName name="Прогноз_Вып_пц">[5]рабочий!$Y$240:$AP$262</definedName>
    <definedName name="расц">[10]База!#REF!</definedName>
    <definedName name="Расценка">[6]База!#REF!</definedName>
    <definedName name="смета">[13]База!#REF!</definedName>
    <definedName name="сроки">[7]Коэффициенты!$A$1:$A$65536</definedName>
    <definedName name="стадия_П">[7]база!$J$1:$J$65536</definedName>
    <definedName name="суда">[4]!суда</definedName>
    <definedName name="ТПП">[6]База!#REF!</definedName>
    <definedName name="ТР">[14]База!#REF!</definedName>
    <definedName name="фо_а_н_пц">[5]рабочий!$AR$240:$BI$263</definedName>
    <definedName name="фо_а_с_пц">[5]рабочий!$AS$202:$BI$224</definedName>
    <definedName name="фо_н_03">[5]рабочий!$X$305:$X$327</definedName>
    <definedName name="фо_н_04">[5]рабочий!$X$335:$X$357</definedName>
    <definedName name="ыяпр">[4]!ыяпр</definedName>
  </definedNames>
  <calcPr calcId="191029" iterateDelta="1E-4" fullPrecision="0"/>
  <customWorkbookViews>
    <customWorkbookView name="Гусарова Наталья Владимировна - Личное представление" guid="{547CEAFB-2318-4199-A168-BF7C2AC68639}" mergeInterval="0" personalView="1" maximized="1" xWindow="1912" yWindow="-8" windowWidth="1936" windowHeight="1056" tabRatio="718" activeSheetId="6" showComments="commIndAndComment"/>
    <customWorkbookView name="Азарова Ольга Николаевна - Личное представление" guid="{0D2818D8-B500-4FFF-93B9-B7253CC77E6C}" mergeInterval="0" personalView="1" maximized="1" xWindow="-8" yWindow="-8" windowWidth="1936" windowHeight="1056" tabRatio="718" activeSheetId="2"/>
    <customWorkbookView name="Шипова Светлана - Личное представление" guid="{6736ED4C-54C7-44F9-894B-734AAD68E923}" mergeInterval="0" personalView="1" maximized="1" xWindow="-8" yWindow="-8" windowWidth="1936" windowHeight="1056" tabRatio="718" activeSheetId="3"/>
    <customWorkbookView name="Медведева Анна Сергеевна - Личное представление" guid="{AB3EE172-853F-48DA-B5F4-60310AA706CB}" mergeInterval="0" personalView="1" maximized="1" xWindow="-8" yWindow="-8" windowWidth="1936" windowHeight="1056" tabRatio="718" activeSheetId="3"/>
    <customWorkbookView name="Исхакова Елена Дмитриевна - Личное представление" guid="{D35DAF0D-B851-4B04-BC33-D25AA3F97F98}" mergeInterval="0" personalView="1" maximized="1" xWindow="-8" yWindow="-8" windowWidth="1936" windowHeight="1056" tabRatio="718" activeSheetId="6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31" i="2" l="1"/>
  <c r="G730" i="2" s="1"/>
  <c r="F731" i="2"/>
  <c r="F722" i="2"/>
  <c r="F723" i="2" s="1"/>
  <c r="E722" i="2" s="1"/>
  <c r="F730" i="2" s="1"/>
  <c r="E687" i="2"/>
  <c r="F687" i="2"/>
  <c r="G686" i="2"/>
  <c r="F678" i="2"/>
  <c r="F679" i="2" s="1"/>
  <c r="E678" i="2" s="1"/>
  <c r="F686" i="2" s="1"/>
  <c r="E641" i="2"/>
  <c r="G640" i="2" s="1"/>
  <c r="F641" i="2"/>
  <c r="F632" i="2"/>
  <c r="E597" i="2"/>
  <c r="G596" i="2" s="1"/>
  <c r="F597" i="2"/>
  <c r="F588" i="2"/>
  <c r="E553" i="2"/>
  <c r="G552" i="2" s="1"/>
  <c r="F553" i="2"/>
  <c r="F544" i="2"/>
  <c r="E511" i="2"/>
  <c r="G510" i="2" s="1"/>
  <c r="F511" i="2"/>
  <c r="F502" i="2"/>
  <c r="E467" i="2"/>
  <c r="G466" i="2" s="1"/>
  <c r="F467" i="2"/>
  <c r="F458" i="2"/>
  <c r="E425" i="2"/>
  <c r="G424" i="2" s="1"/>
  <c r="F425" i="2"/>
  <c r="F416" i="2"/>
  <c r="F381" i="2"/>
  <c r="G380" i="2"/>
  <c r="F372" i="2"/>
  <c r="F373" i="2" s="1"/>
  <c r="E372" i="2" s="1"/>
  <c r="F380" i="2" s="1"/>
  <c r="E335" i="2"/>
  <c r="G334" i="2" s="1"/>
  <c r="F335" i="2"/>
  <c r="F326" i="2"/>
  <c r="E289" i="2"/>
  <c r="G288" i="2" s="1"/>
  <c r="F289" i="2"/>
  <c r="F280" i="2"/>
  <c r="E245" i="2"/>
  <c r="G244" i="2" s="1"/>
  <c r="F245" i="2"/>
  <c r="F236" i="2"/>
  <c r="E201" i="2"/>
  <c r="G200" i="2" s="1"/>
  <c r="F201" i="2"/>
  <c r="F192" i="2"/>
  <c r="E157" i="2"/>
  <c r="G156" i="2" s="1"/>
  <c r="F157" i="2"/>
  <c r="F148" i="2"/>
  <c r="E113" i="2"/>
  <c r="G112" i="2" s="1"/>
  <c r="F113" i="2"/>
  <c r="F104" i="2"/>
  <c r="E67" i="2"/>
  <c r="G66" i="2" s="1"/>
  <c r="F67" i="2"/>
  <c r="F58" i="2"/>
  <c r="F23" i="2"/>
  <c r="E23" i="2"/>
  <c r="G22" i="2" s="1"/>
  <c r="F14" i="2"/>
  <c r="F15" i="2" s="1"/>
  <c r="E14" i="2" s="1"/>
  <c r="F22" i="2" s="1"/>
  <c r="F105" i="2" l="1"/>
  <c r="E104" i="2" s="1"/>
  <c r="F112" i="2" s="1"/>
  <c r="F633" i="2"/>
  <c r="E632" i="2" s="1"/>
  <c r="F640" i="2" s="1"/>
  <c r="F589" i="2"/>
  <c r="E588" i="2" s="1"/>
  <c r="F596" i="2" s="1"/>
  <c r="F545" i="2"/>
  <c r="E544" i="2" s="1"/>
  <c r="F552" i="2" s="1"/>
  <c r="F503" i="2"/>
  <c r="E502" i="2" s="1"/>
  <c r="F510" i="2" s="1"/>
  <c r="F459" i="2"/>
  <c r="E458" i="2" s="1"/>
  <c r="F466" i="2" s="1"/>
  <c r="F417" i="2"/>
  <c r="E416" i="2" s="1"/>
  <c r="F424" i="2" s="1"/>
  <c r="F327" i="2"/>
  <c r="E326" i="2" s="1"/>
  <c r="F334" i="2" s="1"/>
  <c r="F281" i="2"/>
  <c r="E280" i="2" s="1"/>
  <c r="F288" i="2" s="1"/>
  <c r="F237" i="2"/>
  <c r="E236" i="2" s="1"/>
  <c r="F244" i="2" s="1"/>
  <c r="F193" i="2"/>
  <c r="E192" i="2" s="1"/>
  <c r="F200" i="2" s="1"/>
  <c r="F149" i="2"/>
  <c r="E148" i="2" s="1"/>
  <c r="F156" i="2" s="1"/>
  <c r="F59" i="2"/>
  <c r="E58" i="2" s="1"/>
  <c r="F66" i="2" s="1"/>
</calcChain>
</file>

<file path=xl/sharedStrings.xml><?xml version="1.0" encoding="utf-8"?>
<sst xmlns="http://schemas.openxmlformats.org/spreadsheetml/2006/main" count="890" uniqueCount="251">
  <si>
    <t xml:space="preserve">Основание для расчета: </t>
  </si>
  <si>
    <t>Расчет</t>
  </si>
  <si>
    <t>начальной максимальной цены договора</t>
  </si>
  <si>
    <t>ВСЕГО по Протоколу начальной (максимальной) цены договора</t>
  </si>
  <si>
    <t>Наименование работ и затрат</t>
  </si>
  <si>
    <t>Индекс прогнозной инфляции на период выполнения работ</t>
  </si>
  <si>
    <t>Затраты на выполнение работ по строительству</t>
  </si>
  <si>
    <t>Затраты на выполнение работ по проектированию</t>
  </si>
  <si>
    <t>Жилой дом:</t>
  </si>
  <si>
    <t>Общая площадь (кв. м.) квартир настоящего объекта =</t>
  </si>
  <si>
    <t>Дата цен утверждения</t>
  </si>
  <si>
    <t>Дата протокола</t>
  </si>
  <si>
    <t>Срок проектирования</t>
  </si>
  <si>
    <t>Начало проектирования</t>
  </si>
  <si>
    <t>Окончание проектирования</t>
  </si>
  <si>
    <t>Месяц</t>
  </si>
  <si>
    <t>Срок строительства</t>
  </si>
  <si>
    <t>Начало строительства</t>
  </si>
  <si>
    <t>Окончание строительства</t>
  </si>
  <si>
    <t>Строительный объем (куб. м.) сносимого здания =</t>
  </si>
  <si>
    <t>Проектирование и строительство объекта</t>
  </si>
  <si>
    <t>Наименование объекта и затрат</t>
  </si>
  <si>
    <t>Начальная (максимальная) цена договора с учетом индекса прогнозной инфляции на период выполнения работ</t>
  </si>
  <si>
    <t>2. Постановление Правительства Москвы от 18.03.2025 № 536-ПП «О порядке определения цены договора о развитии территории в целях реализации Программы реновации жилищного фонда в городе Москве и (или) решения о реновации жилищного фонда в городе Москве и об особенностях приемки выполненных работ, оказанных услуг»</t>
  </si>
  <si>
    <t>* Цена объекта (объектов) подлежит определению на этапе реализации Договора в соответствии с положениями пункта 2.10 Порядка формирования и изменения цены договора о развитии территории в целях реализации Программы реновации жилищного фонда в городе Москве и (или) решения о реновации жилищного фонда в городе Москве (Приложение № 3 к Положению о закупках товаров, работ, услуг Московского фонда реновации жилой застройки (с учетом особенностей реализации программы реновации жилищного фонда в городе Москве))</t>
  </si>
  <si>
    <t>3. Техническое задание</t>
  </si>
  <si>
    <t>1. Приказ Комитета города Москвы по ценовой политике в строительстве и государственной экспертизе проектов от 18.09.2025 № МКЭ-ОД/25-83</t>
  </si>
  <si>
    <t>Стоимость строительства настоящего объекта в ценах на 01.09.2025 г.</t>
  </si>
  <si>
    <t>ВСЕГО с НДС 20%</t>
  </si>
  <si>
    <t>ВСЕГО с НДС 22%</t>
  </si>
  <si>
    <t>ВСЕГО без НДС</t>
  </si>
  <si>
    <t>в том числе НДС 22%</t>
  </si>
  <si>
    <t>«Жилой дом с приспособлением подземной автостоянки под защитное сооружение гражданской обороны - "укрытие" (ЗСГО) с инженерными сетями и благоустройством территории (со сносом жилого здания   по адресу: г. Москва, район Бабушкинский, ул. Летчика Бабушкина, д.17) по адресу: г. Москва, район Бабушкинский, микрорайон 14, Зона № 4.1 (Северо-Восточный административный округ)»</t>
  </si>
  <si>
    <t>«Жилой дом с приспособлением подземной автостоянки под защитное сооружение гражданской обороны - "укрытие" (ЗСГО) с инженерными сетями и благоустройством территории (со сносом жилого здания   по адресу:  г. Москва, район Бабушкинский, ул. Ленская, д.9) по адресу:   г. Москва, район Бабушкинский, микрорайон 14,  Зона № 3.1 (Северо-Восточный административный округ)»</t>
  </si>
  <si>
    <t>«Жилой дом с приспособлением подземной автостоянки под защитное сооружение гражданской обороны - "укрытие" (ЗСГО) с инженерными сетями и благоустройством территории (со сносом жилого здания по адресу: г. Москва, район Бабушкинский, ул. Рудневой, д.11) по адресу: г. Москва, район Бабушкинский, микрорайон 1, Зона № 21.1 (Северо-Восточный административный округ)»</t>
  </si>
  <si>
    <t>на развитие территории, расположенной во внутригородском муниципальном образовании - муниципальном округе Бабушкинский Северо-Восточного административного округа города Москвы, в целях реализации программы реновации жилищного фонда в городе Москве и (или) решения о реновации жилищного фонда в городе Москве</t>
  </si>
  <si>
    <t xml:space="preserve">Стоимость работ в текущих ценах на момент формирования начальной (максимальной) цены договора на декабрь 2025 г.  </t>
  </si>
  <si>
    <t>Индекс фактической инфляции - Кф (август 2025 г. - декабрь 2025 г.)</t>
  </si>
  <si>
    <t>Расчет прогнозного коэффициента инфляции по Распоряжению ДЭПиР от 25.12.2025 № ДПР-Р-32/25 по отрасли "Жилищное строительство"</t>
  </si>
  <si>
    <t>К1 2026 г. = (1,012+1,050)/2</t>
  </si>
  <si>
    <t>К2 2027 г. = 1,050*(1,002+1,027)/2</t>
  </si>
  <si>
    <t>К1 2026 г. =(1,037+1,050)/2</t>
  </si>
  <si>
    <t>К2 2027 г. =1,050*(1,002+1,048)/2</t>
  </si>
  <si>
    <t>К3 2028 г. =1,050*1,048*(1,002+1,035)/2</t>
  </si>
  <si>
    <t>К1 2027 г. = 1,050*(1,015+1,048)/2</t>
  </si>
  <si>
    <t>К2 2028 г. = 1,050*1,048*(1,002+1,036)/2</t>
  </si>
  <si>
    <t>К1 2027 г. =1,050*(1,039+1,048)/2</t>
  </si>
  <si>
    <t>К2 2028 г. =1,050*1,048*(1,002+1,047)/2</t>
  </si>
  <si>
    <t>К3 2029 г. =1,050*1,048*1,047*(1,002+1,047)/2</t>
  </si>
  <si>
    <t>К4 2030 г. =1,050*1,048*1,047*1,047*(1,002+1,012)/2</t>
  </si>
  <si>
    <t>К3 2028 г. =1,050*1,048*(1,002+1,014)/2</t>
  </si>
  <si>
    <t>К1 2027 г. =1,050*(1,048+1,048)/2</t>
  </si>
  <si>
    <t>К2 2028 г. = 1,050*1,048*(1,002+1,047)/2</t>
  </si>
  <si>
    <t>К3 2029 г. = 1,050*1,048*1,047*(1,002+1,014)/2</t>
  </si>
  <si>
    <t>К1 2028 г. =1,050*1,048*(1,023+1,047)/2</t>
  </si>
  <si>
    <t>К2 2029 г. =1,050*1,048*1,047*(1,002+1,047)/2</t>
  </si>
  <si>
    <t>К3 2030 г. =1,050*1,048*1,047*1,047*(1,002+1,023)/2</t>
  </si>
  <si>
    <t>К1 2028 г. = 1,050*1,048*(1,014+1,047)/2</t>
  </si>
  <si>
    <t>К2 2029 г. = 1,050*1,048*1,047*(1,002+1,036)/2</t>
  </si>
  <si>
    <t>К1 2028 г. =1,050*1,048*(1,038+1,047)/2</t>
  </si>
  <si>
    <t>К2 2029 г. = 1,050*1,048*1,047*(1,002+1,047)/2</t>
  </si>
  <si>
    <t>К3 2030 г. =  1,050*1,048*1,047*1,047*(1,002+1,047)/2</t>
  </si>
  <si>
    <t>К4 2031 г. = 1,050*1,048*1,047*1,047*1,047*(1,002+1,012)/2</t>
  </si>
  <si>
    <t>К1 2026 г.  =  (1,037+1,050)/2</t>
  </si>
  <si>
    <t>К2 2027 г.  =  1,050*(1,002+1,048)/2</t>
  </si>
  <si>
    <t>К3 2028 г.  =  1,050*1,048*(1,002+1,003)/2</t>
  </si>
  <si>
    <t>К1 2031 г. = 1,050*1,048*1,047*1,047*1,047*(1,025+1,047)/2</t>
  </si>
  <si>
    <t>К2 2032 г. =  1,050*1,048*1,047*1,047*1,047*1,047*(1,002+1,047)/2</t>
  </si>
  <si>
    <t>К1 2032 г. = 1,050*1,048*1,047*1,047*1,047*1,047*(1,002+1,047)/2</t>
  </si>
  <si>
    <t>К2 2033 г. =  1,050*1,048*1,047*1,047*1,047*1,047*1,047*(1,002+1,023)/2</t>
  </si>
  <si>
    <t>К1 2031 г. = 1,050*1,048*1,047*1,047*1,047*(1,012+1,047)/2</t>
  </si>
  <si>
    <t>К2 2032 г. =  1,050*1,048*1,047*1,047*1,047*1,047*(1,002+1,026)/2</t>
  </si>
  <si>
    <t>К1 2031 г. = 1,050*1,048*1,047*1,047*1,047*(1,035+1,047)/2</t>
  </si>
  <si>
    <t>К3 2033 г. = 1,050*1,048*1,047*1,047*1,047*1,047*1,047*(1,002+1,035)/2</t>
  </si>
  <si>
    <t>К2 2032 г. = 1,050*1,048*1,047*1,047*1,047*1,047*(1,002+1,047)/2</t>
  </si>
  <si>
    <t>К2 2033 г. = 1,050*1,048*1,047*1,047*1,047*1,047*1,047*(1,002+1,035)/2</t>
  </si>
  <si>
    <t>К1 2029 г. =  1,050*1,048*1,047*(1,013+1,047)/2</t>
  </si>
  <si>
    <t>К2 2030 г. =  1,050*1,048*1,047*1,047*(1,002+1,035)/2</t>
  </si>
  <si>
    <t>К1 2029 г. = 1,050*1,048*1,047*(1,036+1,047)/2</t>
  </si>
  <si>
    <t>К2 2030 г. = 1,050*1,048*1,047*1,047*(1,002+1,047)/2</t>
  </si>
  <si>
    <t>К3 2031 г. = 1,050*1,048*1,047*1,047*1,047*(1,002+1,012)/2</t>
  </si>
  <si>
    <t>К1 2029 г. =  1,050*1,048*1,047*(1,002+1,047)/2</t>
  </si>
  <si>
    <t>К2 2030 г. =  1,050*1,048*1,047*1,047*(1,002+1,023)/2</t>
  </si>
  <si>
    <t>К1 2029 г. = 1,050*1,048*1,047*(1,025+1,047)/2</t>
  </si>
  <si>
    <t>К1 2028 г. = 1,050*1,048*(1,035+1,047)/2</t>
  </si>
  <si>
    <t>К3 2030 г. = 1,050*1,048*1,047*1,047*(1,002+1,003)/2</t>
  </si>
  <si>
    <t>К1 2029 г. = 1,050*1,048*1,047*(1,012+1,047)/2</t>
  </si>
  <si>
    <t xml:space="preserve">К1 2026 г. =  (1,037+1,050)/2 </t>
  </si>
  <si>
    <t>К2 2027 г. = 1,050*(1,002+1,048)/2</t>
  </si>
  <si>
    <t>К3 2028 г. = 1,050*1,048*(1,002+1,026)/2</t>
  </si>
  <si>
    <t>К1 2028 г. = 1,050*1,048*(1,047+1,047)/2</t>
  </si>
  <si>
    <t>К3 2030 г. =1,050*1,048*1,047*1,047*(1,002+1,002)/2</t>
  </si>
  <si>
    <t>К1 2029 г. = 1,050*1,048*1,047*(1,023+1,047)/2</t>
  </si>
  <si>
    <t>К2 2030 г. = 1,050*1,048*1,047*1,047*(1,002+1,025)/2</t>
  </si>
  <si>
    <t>К1 2028 г. = 1,050*1,048*(1,025+1,047)/2</t>
  </si>
  <si>
    <t>К2 2029 г. = 1,050*1,048*1,047*(1,002+1,014)/2</t>
  </si>
  <si>
    <t>К1 2029 г. =  1,050*1,048*1,047*(1,002+1,014)/2</t>
  </si>
  <si>
    <t>К1 2031 г. = 1,050*1,048*1,047*1,047*1,047*(1,002+1,038)/2</t>
  </si>
  <si>
    <t>К1 2031 г. = 1,050*1,048*1,047*1,047*1,047*(1,025+1,038)/2</t>
  </si>
  <si>
    <t>К1 2031 г. = 1,050*1,048*1,047*1,047*1,047*(1,013+1,047)/2</t>
  </si>
  <si>
    <t>К2 2032 г. = 1,050*1,048*1,047*1,047*1,047*1,047*(1,002+1,003)/2</t>
  </si>
  <si>
    <t>К1 2031 г. = 1,050*1,048*1,047*1,047*1,047*(1,036+1,047)/2</t>
  </si>
  <si>
    <t>К2 2032 г. = 1,050*1,048*1,047*1,047*1,047*1,047*(1,002+1,002)/2</t>
  </si>
  <si>
    <t>«Жилой дом с приспособлением подземной автостоянки под защитное сооружение гражданской обороны – «укрытие» (ЗСГО) с инженерными сетями и благоустройством территории  (со сносом жилых зданий по адресам: г. Москва, район Бабушкинский, ул. Искры, д.7; ул. Искры, д.3; ул. Радужная, д.12, корпус 1; ул. Радужная, д.10; ул. Радужная, д.8)  по адресу: г. Москва, район Бабушкинский, микрорайон 18, Зона   № 14.1 (Северо-Восточный административный округ)»</t>
  </si>
  <si>
    <t>«Жилой дом с приспособлением подземной автостоянки под защитное сооружение гражданской обороны – «укрытие» (ЗСГО) с инженерными сетями и благоустройством территории (со сносом жилых зданий   по адресам: г. Москва, район Бабушкинский, ул. Радужная, д.4, корпус 1; ул. Радужная, д. 4, корпус 2) по адресу: г. Москва, район Бабушкинский, микрорайон 18, Зона № 22.1 (Северо-Восточный административный округ)»</t>
  </si>
  <si>
    <t>«Жилой дом с подземной автостоянкой, инженерными сетями и благоустройством территории (со сносом жилого здания по адресу: г. Москва, район Бабушкинский, ул. Ленская, д.10, корпус 3) по адресу: г. Москва, район Бабушкинский, микрорайон 14, Зона № 7.1 (Северо-Восточный административный округ)»</t>
  </si>
  <si>
    <t>«Жилой дом с приспособлением подземной автостоянки под защитное сооружение гражданской обороны - "укрытие" (ЗСГО) с инженерными сетями и благоустройством территории (со сносом жилых зданий   по адресам: г. Москва, район Бабушкинский, ул. Летчика Бабушкина, д. 3; ул. Летчика Бабушкина, д. 5; ул. Летчика Бабушкина, д. 7) по адресу: г. Москва, район Бабушкинский, микрорайон 18, Зона № 11.1 (Северо-Восточный административный округ)»</t>
  </si>
  <si>
    <t>«Жилой дом с приспособлением подземной автостоянки под защитное сооружение гражданской обороны - "укрытие" (ЗСГО) с инженерными сетями и благоустройством территории (со сносом жилых зданий   по адресам: г. Москва, район Бабушкинский, ул. Менжинского, д.19,  корпус 1;  ул. Менжинского, д. 19, корпус 2;  ул. Менжинского, д. 17, корпус 1;  ул. Менжинского, д. 17, корпус 2;  ул. Менжинского, д. 15, корпус 1; ул. Менжинского, д. 15, корпус 2) по адресу: г. Москва, район Бабушкинский, микрорайон 14,  Зона № 6.1 (Северо-Восточный административный округ)»</t>
  </si>
  <si>
    <t>«Жилой дом с   инженерными сетями и благоустройством территории (со сносом жилого здания по адресу: г. Москва, район Бабушкинский, ул. Искры, д. 11) по адресу:  г. Москва,  район Бабушкинский, микрорайон 18, Зона № 13.2 (Северо-Восточный административный округ)»</t>
  </si>
  <si>
    <t>«Жилой дом с подземной автостоянкой, инженерными сетями и благоустройством территории (со сносом жилых зданий по адресам: г. Москва, район Бабушкинский, Анадырский проезд д.5, корпус 1; Анадырский проезд, д.5 корпус 2; Анадырский проезд,  д.11; Анадырский проезд, д.9; Анадырский проезд, д.7; Анадырский проезд, д.7, корпус 2) по адресу: г. Москва, район Бабушкинский, микрорайон 1, Зона № 20.1 (Северо-Восточный административный округ)»</t>
  </si>
  <si>
    <t>«Жилой дом с приспособлением подземной автостоянки под защитное сооружение гражданской обороны - "укрытие" (ЗСГО) с инженерными сетями и благоустройством территории (со сносом жилых зданий по адресам: г. Москва, район Бабушкинский, ул. Летчика Бабушкина, д. 2; Анадырский проезд, д. 1) по адресу: г. Москва,  район Бабушкинский, микрорайон 1,  Зона № 19.1 (Северо-Восточный административный округ)»</t>
  </si>
  <si>
    <t>«Жилой дом с приспособлением подземной автостоянки под защитное сооружение гражданской обороны - "укрытие" (ЗСГО) с инженерными сетями и благоустройством территории (со сносом жилых зданий по адресам:  г. Москва, район Бабушкинский, ул. Коминтерна д.3, корпус 1;  ул. Коминтерна, д.3, корпус 2) по адресу: г. Москва, район Бабушкинский, микрорайон 1, Зона № 15.1 (Северо-Восточный административный округ)»</t>
  </si>
  <si>
    <t>«Жилой дом с приспособлением подземной автостоянки под защитное сооружение гражданской обороны - "укрытие" (ЗСГО) с инженерными сетями и благоустройством территории (со сносом жилого здания по адресу: г. Москва, район Бабушкинский, Анадырский проезд, д.17/1) по адресу: г. Москва, район Бабушкинский, микрорайон 1, Зона № 16.1 (Северо-Восточный административный округ)»</t>
  </si>
  <si>
    <t>«Жилой дом с приспособлением подземной автостоянки под защитное сооружение гражданской обороны – «укрытие» (ЗСГО) с инженерными сетями и благоустройством территории   по адресу: г. Москва, район Бабушкинский, ул. Коминтерна, земельный участок 2 (Северо-Восточный административный округ)»</t>
  </si>
  <si>
    <t>«Наземный гараж-стоянка на 300 машино-мест с инженерными сетями и благоустройством территории по адресу: г. Москва, район Бабушкинский, микрорайон 18, Зона № 32.1, корпус 1 (Северо-Восточный административный округ)»</t>
  </si>
  <si>
    <t>«Наземный гараж-стоянка на 300 машино-мест с инженерными сетями и благоустройством территории по адресу: г. Москва, район Бабушкинский, микрорайон 18, Зона № 32.1, корпус 2 (Северо-Восточный административный округ)»</t>
  </si>
  <si>
    <t>«Снос жилого дома, отключение и перекладка инженерных коммуникаций сносимого здания, расположенного по адресу: г. Москва, район Бабушкинский, ул. Радужная, д.9, корпус 2. Зона № 26.1 (Северо-Восточный административный округ)»</t>
  </si>
  <si>
    <t xml:space="preserve"> «Снос жилого дома, отключение и перекладка инженерных коммуникаций сносимого здания, расположенного по адресу: г. Москва, район Бабушкинский, ул. Радужная, д.12, корпус 2. Зона № 14.1 (Северо-Восточный административный округ)»</t>
  </si>
  <si>
    <t>«Снос жилых домов, отключение и перекладка инженерных коммуникаций сносимых зданий, расположенных по адресам: г. Москва, район Бабушкинский, ул. Радужная, д. 11; ул. Радужная, д. 9, корпус 1. Зона № 26.1 (Северо-Восточный административный округ)»</t>
  </si>
  <si>
    <t>«Снос жилого дома, отключение и перекладка инженерных коммуникаций сносимого здания, расположенного по адресу: г. Москва, район Бабушкинский, ул. Коминтерна, д. 5. Зона № 28.1 (Северо-Восточный административный округ)»</t>
  </si>
  <si>
    <t>«Снос жилого дома, отключение и перекладка инженерных коммуникаций сносимого здания, расположенного по адресу: г. Москва, район Бабушкинский, ул. Радужная, д.6.  Зона № 30.1 (Северо-Восточный административный округ)»</t>
  </si>
  <si>
    <t>«Жилой дом с приспособлением подземной автостоянки под защитное сооружение гражданской обороны – «укрытие» (ЗСГО) с инженерными сетями и благоустройством территории  (со сносом жилых зданий по адресам: г. Москва, район Бабушкинский, ул. Ленская, д.18; ул. Енисейская, д.18/20) по адресу: г. Москва, район Бабушкинский, ул. Ленская, земельный участок 12/1 (Северо-Восточный административный округ)»</t>
  </si>
  <si>
    <t>«Жилой дом с приспособлением подземной автостоянки под защитное сооружение гражданской обороны - "укрытие" (ЗСГО) с инженерными сетями и благоустройством территории (со сносом жилых зданий по адресам: г. Москва, район Бабушкинский, ул. Менжинского д.13, корпус 1; ул. Менжинского, д.13, корпус 2; ул. Менжинского, д.11, корпус 1; ул. Менжинского, д. 11, корпус 2; ул. Менжинского, д. 7; ул. Менжинского, д. 9)  по адресу: г. Москва,   район Бабушкинский, микрорайон 14,  Зона № 6.2 (Северо-Восточный административный округ)»</t>
  </si>
  <si>
    <t>Кол-во машино-мест (шт) настоящего объекта =149</t>
  </si>
  <si>
    <t>Доля стоимости проектирования на 2026 г. (Д1) - 56%</t>
  </si>
  <si>
    <t>Доля стоимости проектирования на 2027 г. (Д2) - 44%</t>
  </si>
  <si>
    <t>Индекс прогнозной инфляции на период проектирования - Кинфл. пир = 0,56*1,031+0,44*1,0652=</t>
  </si>
  <si>
    <t>Доля стоимости строительства на 2026 г. (Д1) - 16%</t>
  </si>
  <si>
    <t>Доля стоимости строительства на 2027г. (Д2) - 48%</t>
  </si>
  <si>
    <t>Доля стоимости строительства на 2028 г. (Д3) - 36%</t>
  </si>
  <si>
    <t>Индекс прогнозной инфляции - Кинфл. смр = 0,16*1,0435+0,48*1,0763+0,36*1,1208=</t>
  </si>
  <si>
    <t>Кол-во машино-мест (шт) настоящего объекта =296</t>
  </si>
  <si>
    <t>Доля стоимости проектирования на 2027 г. (Д1) - 44%</t>
  </si>
  <si>
    <t>Доля стоимости проектирования на 2028 г. (Д2) - 56%</t>
  </si>
  <si>
    <t>Индекс прогнозной инфляции на период проектирования - Кинфл. пир = 0,44*1,0831+0,56*1,1213=</t>
  </si>
  <si>
    <t>Доля стоимости строительства на 2027 г. (Д1) - 6,9%</t>
  </si>
  <si>
    <t>Доля стоимости строительства на 2028г. (Д2) - 41,4%</t>
  </si>
  <si>
    <t>Доля стоимости строительства на 2029 г. (Д3) - 41,4%</t>
  </si>
  <si>
    <t>Доля стоимости строительства на 2030 г. (Д3) - 10,3%</t>
  </si>
  <si>
    <t>Индекс прогнозной инфляции - Кинфл. смр = 0,069*1,0957+0,414*1,1274+0,414*1,1803+0,103*1,2147=</t>
  </si>
  <si>
    <t>Кол-во машино-мест (шт) настоящего объекта =52</t>
  </si>
  <si>
    <t>Доля стоимости строительства на 2026 г. (Д1) - 19%</t>
  </si>
  <si>
    <t>Доля стоимости строительства на 2027 г. (Д2) - 57%</t>
  </si>
  <si>
    <t>Доля стоимости строительства на 2028 г. (Д3) - 24%</t>
  </si>
  <si>
    <t>Индекс прогнозной инфляции - Кинфл. смр = 0,19*1,0435+0,57*1,0763+0,24*1,1092=</t>
  </si>
  <si>
    <t>Кол-во машино-мест (шт) настоящего объекта =49</t>
  </si>
  <si>
    <t>Кол-во машино-мест (шт) настоящего объекта =43</t>
  </si>
  <si>
    <t>Кол-во машино-мест (шт) настоящего объекта =77</t>
  </si>
  <si>
    <t>Кол-во машино-мест (шт) настоящего объекта =189</t>
  </si>
  <si>
    <t>Доля стоимости проектирования на 2027 г. (Д1) - 5,55%</t>
  </si>
  <si>
    <t>Доля стоимости проектирования на 2028 г. (Д2) - 66,67%</t>
  </si>
  <si>
    <t>Доля стоимости проектирования на 2029 г. (Д3) - 27,78%</t>
  </si>
  <si>
    <t>Индекс прогнозной инфляции на период проектирования - Кинфл. пир = 0,0555*1,1004+0,6667*1,1274+0,2778*1,1613=</t>
  </si>
  <si>
    <t>Доля стоимости строительства на 2028 г. (Д1) - 28%</t>
  </si>
  <si>
    <t>Доля стоимости строительства на 2029 г. (Д2) - 48%</t>
  </si>
  <si>
    <t>Доля стоимости строительства на 2030 г. (Д3) - 24%</t>
  </si>
  <si>
    <t>Индекс прогнозной инфляции - Кинфл. смр = 0,28*1,1389+0,48*1,1803+0,24*1,2213=</t>
  </si>
  <si>
    <t>Кол-во машино-мест (шт) настоящего объекта =264</t>
  </si>
  <si>
    <t>Доля стоимости проектирования на 2028 г. (Д1) - 44%</t>
  </si>
  <si>
    <t>Доля стоимости проектирования на 2029 г. (Д2) - 56%</t>
  </si>
  <si>
    <t>Индекс прогнозной инфляции на период проектирования - Кинфл. пир = 0,44*1,134+0,56*1,174=</t>
  </si>
  <si>
    <t>Доля стоимости строительства на 2028 г. (Д1) - 6,9%</t>
  </si>
  <si>
    <t>Доля стоимости строительства на 2029 г. (Д2) - 41,4%</t>
  </si>
  <si>
    <t>Доля стоимости строительства на 2030 г. (Д3) - 41,4%</t>
  </si>
  <si>
    <t>Доля стоимости строительства на 2031 г. (Д4) - 10,3%</t>
  </si>
  <si>
    <t>Индекс прогнозной инфляции - Кинфл. смр = 0,069*1,1472+0,414*1,1803+0,414*1,2358+0,103*1,2718=</t>
  </si>
  <si>
    <t>Кол-во машино-мест (шт) настоящего объекта =0</t>
  </si>
  <si>
    <t>Доля стоимости строительства на 2026 г. (Д1) - 22%</t>
  </si>
  <si>
    <t>Доля стоимости строительства на 2027 г. (Д2) - 67%</t>
  </si>
  <si>
    <t>Доля стоимости строительства на 2028 г. (Д3) - 11%</t>
  </si>
  <si>
    <t>Индекс прогнозной инфляции - Кинфл. смр = 0,22*1,0435+0,67*1,0763+0,11*1,1032=</t>
  </si>
  <si>
    <t>Кол-во машино-мест (шт) настоящего объекта =38</t>
  </si>
  <si>
    <t>Доля стоимости проектирования на 2031 г. (Д1) - 33%</t>
  </si>
  <si>
    <t>Доля стоимости проектирования на 2032 г. (Д2) - 67%</t>
  </si>
  <si>
    <t>Индекс прогнозной инфляции на период проектирования - Кинфл. пир = 0,33*1,3084+0,67*1,3547=</t>
  </si>
  <si>
    <t>Доля стоимости строительства на 2032 г. (Д1) - 67%</t>
  </si>
  <si>
    <t>Доля стоимости строительства на 2033 г. (Д2) - 33%</t>
  </si>
  <si>
    <t>Индекс прогнозной инфляции - Кинфл. смр = 0,67*1,3547+0,33*1,4018=</t>
  </si>
  <si>
    <t>Кол-во машино-мест (шт) настоящего объекта =93</t>
  </si>
  <si>
    <t>Доля стоимости проектирования на 2031 г. (Д1) - 56%</t>
  </si>
  <si>
    <t>Доля стоимости проектирования на 2032 г. (Д2) - 44%</t>
  </si>
  <si>
    <t>Индекс прогнозной инфляции на период проектирования - Кинфл. пир = 0,56*1,3002+0,44*1,3408=</t>
  </si>
  <si>
    <t>Доля стоимости строительства на 2031г. (Д1) - 16%</t>
  </si>
  <si>
    <t>Доля стоимости строительства на 2032г. (Д2) - 48%</t>
  </si>
  <si>
    <t>Доля стоимости строительства на 2033 г. (Д3) - 36%</t>
  </si>
  <si>
    <t>Индекс прогнозной инфляции - Кинфл. смр = 0,16*1,3147+0,48*1,3547+0,36*1,4101=</t>
  </si>
  <si>
    <t>Кол-во машино-мест (шт) настоящего объекта =72</t>
  </si>
  <si>
    <t>Доля стоимости строительства на 2032 г. (Д1) - 57%</t>
  </si>
  <si>
    <t>Доля стоимости строительства на 2033 г. (Д2) - 43%</t>
  </si>
  <si>
    <t>Индекс прогнозной инфляции - Кинфл. смр = 0,57*1,3547+0,43*1,4101=</t>
  </si>
  <si>
    <t>Кол-во машино-мест (шт) настоящего объекта =83</t>
  </si>
  <si>
    <t>Доля стоимости проектирования на 2029 г. (Д1) - 50%</t>
  </si>
  <si>
    <t>Доля стоимости проектирования на 2030 г. (Д2) - 50%</t>
  </si>
  <si>
    <t>Индекс прогнозной инфляции на период проектирования - Кинфл. пир = 0,5*1,1867+0,5*1,2286=</t>
  </si>
  <si>
    <t>Доля стоимости строительства на 2029 г. (Д1) - 16,67%</t>
  </si>
  <si>
    <t>Доля стоимости строительства на 2030 г. (Д2) - 66,66%</t>
  </si>
  <si>
    <t>Доля стоимости строительства на 2031 г. (Д3) - 16,67%</t>
  </si>
  <si>
    <t>Индекс прогнозной инфляции - Кинфл. смр = 0,1667*1,1999+0,6666*1,2358+0,1667*1,2718=</t>
  </si>
  <si>
    <t>Кол-во машино-мест (шт) настоящего объекта =85</t>
  </si>
  <si>
    <t>Доля стоимости проектирования на 2029 г. (Д1) - 67%</t>
  </si>
  <si>
    <t>Доля стоимости проектирования на 2030 г. (Д2) - 33%</t>
  </si>
  <si>
    <t>Индекс прогнозной инфляции на период проектирования - Кинфл. пир = 0,67*1,1803+0,33*1,2213=</t>
  </si>
  <si>
    <t>Доля стоимости строительства на 2029 г. (Д1) - 29%</t>
  </si>
  <si>
    <t>Доля стоимости строительства на 2030 г. (Д2) - 57%</t>
  </si>
  <si>
    <t>Доля стоимости строительства на 2031 г. (Д3) - 14%</t>
  </si>
  <si>
    <t>Индекс прогнозной инфляции - Кинфл. смр = 0,29*1,1936+0,57*1,2358+0,14*1,2718=</t>
  </si>
  <si>
    <t>Кол-во машино-мест (шт) настоящего объекта =255</t>
  </si>
  <si>
    <t>Доля стоимости проектирования на 2028 г. (Д1) - 22%</t>
  </si>
  <si>
    <t>Доля стоимости проектирования на 2029 г. (Д2) - 67%</t>
  </si>
  <si>
    <t>Доля стоимости проектирования на 2030 г. (Д3) - 11%</t>
  </si>
  <si>
    <t>Индекс прогнозной инфляции на период проектирования - Кинфл. пир = 0,22*1,1455+0,67*1,1803+0,11*1,2093=</t>
  </si>
  <si>
    <t>Доля стоимости строительства на 2029 г. (Д1) - 40%</t>
  </si>
  <si>
    <t>Доля стоимости строительства на 2030 г. (Д2) - 48%</t>
  </si>
  <si>
    <t>Доля стоимости строительства на 2031 г. (Д3) - 12%</t>
  </si>
  <si>
    <t>Индекс прогнозной инфляции - Кинфл. смр = 0,4*1,1861+0,48*1,2358+0,12*1,2718=</t>
  </si>
  <si>
    <t>Кол-во машино-мест (шт) настоящего объекта =160</t>
  </si>
  <si>
    <t>Доля стоимости строительства на 2026 г. (Д1) - 17%</t>
  </si>
  <si>
    <t>Доля стоимости строительства на 2027 г. (Д2) - 50%</t>
  </si>
  <si>
    <t>Доля стоимости строительства на 2028 г. (Д3) - 33%</t>
  </si>
  <si>
    <t>Индекс прогнозной инфляции - Кинфл. смр = 0,17*1,0435+0,5*1,0763+0,33*1,1158=</t>
  </si>
  <si>
    <t>Кол-во машино-мест (шт) настоящего объекта =300</t>
  </si>
  <si>
    <t>Доля стоимости проектирования на 2028 г. (Д1) - 7%</t>
  </si>
  <si>
    <t>Доля стоимости проектирования на 2029 г. (Д2) - 86%</t>
  </si>
  <si>
    <t>Доля стоимости проектирования на 2030 г. (Д3) - 7%</t>
  </si>
  <si>
    <t>Индекс прогнозной инфляции на период проектирования - Кинфл. пир = 0,07*1,1521+0,86*1,1803+0,07*1,2087=</t>
  </si>
  <si>
    <t>Доля стоимости строительства на 2029 г. (Д1) - 50%</t>
  </si>
  <si>
    <t>Доля стоимости строительства на 2030 г. (Д2) - 50%</t>
  </si>
  <si>
    <t>Индекс прогнозной инфляции - Кинфл. смр = 0,5*1,1924+0,5*1,2226=</t>
  </si>
  <si>
    <t>Доля стоимости проектирования на 2028 г. (Д1) - 55%</t>
  </si>
  <si>
    <t>Доля стоимости проектирования на 2029 г. (Д2) - 45%</t>
  </si>
  <si>
    <t>Индекс прогнозной инфляции на период проектирования - Кинфл. пир = 0,55*1,14+0,45*1,1613=</t>
  </si>
  <si>
    <t>Доля стоимости строительства на 2029 г. (Д1) - 100%</t>
  </si>
  <si>
    <t>Индекс прогнозной инфляции - Кинфл. смр = 1*1,1613=</t>
  </si>
  <si>
    <t>Доля стоимости проектирования на 2031 г. (Д1) - 100%</t>
  </si>
  <si>
    <t>Индекс прогнозной инфляции на период проектирования - Кинфл. пир = 1*1,2882=</t>
  </si>
  <si>
    <t>Доля стоимости строительства на 2031 г. (Д1) - 100%</t>
  </si>
  <si>
    <t>Индекс прогнозной инфляции - Кинфл. смр = 1*1,3027=</t>
  </si>
  <si>
    <t>Доля стоимости проектирования на 2031 г. (Д1) - 82%</t>
  </si>
  <si>
    <t>Доля стоимости проектирования на 2032 г. (Д2) - 18%</t>
  </si>
  <si>
    <t>Индекс прогнозной инфляции на период проектирования - Кинфл. пир = 0,82*1,3009+0,18*1,3256=</t>
  </si>
  <si>
    <t>Доля стоимости строительства на 2031г. (Д1) - 60%</t>
  </si>
  <si>
    <t>Доля стоимости строительства на 2032 г. (Д2) - 40%</t>
  </si>
  <si>
    <t>Индекс прогнозной инфляции - Кинфл. смр = 0,6*1,3154+0,4*1,3256=</t>
  </si>
  <si>
    <t>Доля стоимости проектирования на 2031 г. (Д1) - 91%</t>
  </si>
  <si>
    <t>Доля стоимости проектирования на 2032 г. (Д2) - 9%</t>
  </si>
  <si>
    <t>Индекс прогнозной инфляции на период проектирования - Кинфл. пир = 0,91*1,3002+0,09*1,325=</t>
  </si>
  <si>
    <t>Доля стоимости проектирования на 2031 г. (Д1) - 80%</t>
  </si>
  <si>
    <t>Доля стоимости проектирования на 2032 г. (Д2) - 20%</t>
  </si>
  <si>
    <t>Индекс прогнозной инфляции на период проектирования - Кинфл. пир = 0,8*1,3147+0,2*1,325=</t>
  </si>
  <si>
    <t>«Строительство улично-дорожной сети с устройством тротуаров и благоустройством территории на участке №43 от Анадырского проезда дом 13 до улицы Летчика Бабушкина (Северо-Восточный административный округ)» *</t>
  </si>
  <si>
    <t>«Строительство улично-дорожной сети с устройством тротуаров и благоустройством территории на участке №44 от улицы Летчика Бабушкина до Проектируемого проезда №2 (Северо-Восточный административный округ)»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</si>
</sst>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_-* #,##0\ _₽_-;\-* #,##0\ _₽_-;_-* &quot;-&quot;\ _₽_-;_-@_-"/>
    <numFmt numFmtId="165" formatCode="_-* #,##0.00\ _₽_-;\-* #,##0.00\ _₽_-;_-* &quot;-&quot;??\ _₽_-;_-@_-"/>
    <numFmt numFmtId="166" formatCode="_-* #,##0\ _₽_-;\-* #,##0\ _₽_-;_-* &quot;-&quot;??\ _₽_-;_-@_-"/>
    <numFmt numFmtId="167" formatCode="&quot;Вкл&quot;;&quot;Вкл&quot;;&quot;Выкл&quot;"/>
    <numFmt numFmtId="168" formatCode="_-* #,##0.00_р_._-;\-* #,##0.00_р_._-;_-* &quot;-&quot;??_р_._-;_-@_-"/>
    <numFmt numFmtId="169" formatCode="_-* #,##0\ _р_._-;\-* #,##0\ _р_._-;_-* &quot;-&quot;\ _р_._-;_-@_-"/>
    <numFmt numFmtId="170" formatCode="_-* #,##0.00\ _р_._-;\-* #,##0.00\ _р_._-;_-* &quot;-&quot;??\ _р_._-;_-@_-"/>
    <numFmt numFmtId="171" formatCode="[$-419]mmmm\ yyyy;@"/>
    <numFmt numFmtId="172" formatCode="* #,##0.00;* \-#,##0.00;* &quot;-&quot;??;@"/>
    <numFmt numFmtId="173" formatCode="#,##0.00&quot; &quot;[$€-407];[Red]&quot;-&quot;#,##0.00&quot; &quot;[$€-407]"/>
    <numFmt numFmtId="174" formatCode="#,##0.0000"/>
    <numFmt numFmtId="175" formatCode="#,##0_ ;\-#,##0\ "/>
    <numFmt numFmtId="176" formatCode="0.0000"/>
    <numFmt numFmtId="177" formatCode="0.0%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sz val="10"/>
      <name val="Arial"/>
      <family val="2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i/>
      <sz val="16"/>
      <color rgb="FF000000"/>
      <name val="Arial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i/>
      <u/>
      <sz val="11"/>
      <color rgb="FF000000"/>
      <name val="Arial"/>
      <family val="2"/>
      <charset val="204"/>
    </font>
    <font>
      <sz val="8"/>
      <color indexed="8"/>
      <name val="Arial"/>
      <family val="2"/>
      <charset val="204"/>
    </font>
    <font>
      <u/>
      <sz val="8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name val="Arial Narrow"/>
      <family val="2"/>
      <charset val="204"/>
    </font>
    <font>
      <sz val="12"/>
      <name val="Baltica"/>
      <charset val="204"/>
    </font>
    <font>
      <u/>
      <sz val="10.45"/>
      <color theme="10"/>
      <name val="Calibri"/>
      <family val="2"/>
      <charset val="204"/>
    </font>
    <font>
      <b/>
      <sz val="11"/>
      <color rgb="FFFF0000"/>
      <name val="Times New Roman"/>
      <family val="1"/>
      <charset val="204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31">
    <xf numFmtId="0" fontId="0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165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1" fillId="0" borderId="0"/>
    <xf numFmtId="0" fontId="3" fillId="0" borderId="0"/>
    <xf numFmtId="165" fontId="3" fillId="0" borderId="0" applyFont="0" applyFill="0" applyBorder="0" applyAlignment="0" applyProtection="0"/>
    <xf numFmtId="0" fontId="11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15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2" fillId="0" borderId="0"/>
    <xf numFmtId="0" fontId="11" fillId="0" borderId="0"/>
    <xf numFmtId="168" fontId="5" fillId="0" borderId="0" applyFont="0" applyFill="0" applyBorder="0" applyAlignment="0" applyProtection="0"/>
    <xf numFmtId="0" fontId="2" fillId="0" borderId="0"/>
    <xf numFmtId="172" fontId="14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0" fontId="18" fillId="4" borderId="0" applyNumberFormat="0" applyBorder="0" applyAlignment="0" applyProtection="0"/>
    <xf numFmtId="0" fontId="19" fillId="21" borderId="2" applyNumberFormat="0" applyAlignment="0" applyProtection="0"/>
    <xf numFmtId="0" fontId="20" fillId="22" borderId="3" applyNumberFormat="0" applyAlignment="0" applyProtection="0"/>
    <xf numFmtId="0" fontId="21" fillId="0" borderId="0" applyNumberFormat="0" applyFill="0" applyBorder="0" applyAlignment="0" applyProtection="0"/>
    <xf numFmtId="0" fontId="22" fillId="5" borderId="0" applyNumberFormat="0" applyBorder="0" applyAlignment="0" applyProtection="0"/>
    <xf numFmtId="0" fontId="23" fillId="0" borderId="0" applyNumberFormat="0" applyBorder="0" applyProtection="0">
      <alignment horizontal="center"/>
    </xf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6" fillId="0" borderId="6" applyNumberFormat="0" applyFill="0" applyAlignment="0" applyProtection="0"/>
    <xf numFmtId="0" fontId="26" fillId="0" borderId="0" applyNumberFormat="0" applyFill="0" applyBorder="0" applyAlignment="0" applyProtection="0"/>
    <xf numFmtId="0" fontId="23" fillId="0" borderId="0" applyNumberFormat="0" applyBorder="0" applyProtection="0">
      <alignment horizontal="center" textRotation="90"/>
    </xf>
    <xf numFmtId="0" fontId="27" fillId="8" borderId="2" applyNumberFormat="0" applyAlignment="0" applyProtection="0"/>
    <xf numFmtId="0" fontId="28" fillId="0" borderId="7" applyNumberFormat="0" applyFill="0" applyAlignment="0" applyProtection="0"/>
    <xf numFmtId="0" fontId="29" fillId="23" borderId="0" applyNumberFormat="0" applyBorder="0" applyAlignment="0" applyProtection="0"/>
    <xf numFmtId="0" fontId="16" fillId="24" borderId="8" applyNumberFormat="0" applyFont="0" applyAlignment="0" applyProtection="0"/>
    <xf numFmtId="0" fontId="30" fillId="21" borderId="9" applyNumberFormat="0" applyAlignment="0" applyProtection="0"/>
    <xf numFmtId="0" fontId="31" fillId="0" borderId="0" applyNumberFormat="0" applyBorder="0" applyProtection="0"/>
    <xf numFmtId="173" fontId="31" fillId="0" borderId="0" applyBorder="0" applyProtection="0"/>
    <xf numFmtId="0" fontId="32" fillId="25" borderId="0">
      <alignment horizontal="left" vertical="center"/>
    </xf>
    <xf numFmtId="0" fontId="32" fillId="25" borderId="0">
      <alignment horizontal="right" vertical="center"/>
    </xf>
    <xf numFmtId="0" fontId="32" fillId="25" borderId="0">
      <alignment horizontal="left" vertical="center"/>
    </xf>
    <xf numFmtId="0" fontId="32" fillId="25" borderId="0">
      <alignment horizontal="center" vertical="center"/>
    </xf>
    <xf numFmtId="0" fontId="32" fillId="25" borderId="0">
      <alignment horizontal="center" vertical="center"/>
    </xf>
    <xf numFmtId="0" fontId="33" fillId="25" borderId="0">
      <alignment horizontal="left" vertical="center"/>
    </xf>
    <xf numFmtId="0" fontId="34" fillId="25" borderId="0">
      <alignment horizontal="right" vertical="center"/>
    </xf>
    <xf numFmtId="0" fontId="34" fillId="0" borderId="0">
      <alignment horizontal="left" vertical="top"/>
    </xf>
    <xf numFmtId="0" fontId="32" fillId="25" borderId="0">
      <alignment horizontal="center" vertical="center"/>
    </xf>
    <xf numFmtId="0" fontId="35" fillId="25" borderId="0">
      <alignment horizontal="center" vertical="center"/>
    </xf>
    <xf numFmtId="0" fontId="36" fillId="25" borderId="0">
      <alignment horizontal="center" vertical="center"/>
    </xf>
    <xf numFmtId="0" fontId="35" fillId="25" borderId="0">
      <alignment horizontal="left" vertical="center"/>
    </xf>
    <xf numFmtId="0" fontId="32" fillId="25" borderId="0">
      <alignment horizontal="center" vertical="center"/>
    </xf>
    <xf numFmtId="0" fontId="32" fillId="25" borderId="0">
      <alignment horizontal="center" vertical="center"/>
    </xf>
    <xf numFmtId="0" fontId="32" fillId="25" borderId="0">
      <alignment horizontal="left" vertical="center"/>
    </xf>
    <xf numFmtId="0" fontId="32" fillId="25" borderId="0">
      <alignment horizontal="left" vertical="center"/>
    </xf>
    <xf numFmtId="0" fontId="37" fillId="0" borderId="0" applyNumberFormat="0" applyFill="0" applyBorder="0" applyAlignment="0" applyProtection="0"/>
    <xf numFmtId="0" fontId="38" fillId="0" borderId="10" applyNumberFormat="0" applyFill="0" applyAlignment="0" applyProtection="0"/>
    <xf numFmtId="0" fontId="39" fillId="0" borderId="0" applyNumberFormat="0" applyFill="0" applyBorder="0" applyAlignment="0" applyProtection="0"/>
    <xf numFmtId="0" fontId="16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11" fillId="0" borderId="0" applyNumberFormat="0" applyFont="0" applyFill="0" applyBorder="0" applyAlignment="0" applyProtection="0">
      <alignment vertical="top"/>
    </xf>
    <xf numFmtId="0" fontId="15" fillId="0" borderId="0"/>
    <xf numFmtId="0" fontId="40" fillId="0" borderId="0"/>
    <xf numFmtId="0" fontId="11" fillId="0" borderId="0" applyNumberFormat="0" applyFont="0" applyFill="0" applyBorder="0" applyAlignment="0" applyProtection="0">
      <alignment vertical="top"/>
    </xf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40" fillId="0" borderId="0"/>
    <xf numFmtId="0" fontId="5" fillId="0" borderId="0"/>
    <xf numFmtId="0" fontId="15" fillId="0" borderId="0"/>
    <xf numFmtId="0" fontId="2" fillId="0" borderId="0"/>
    <xf numFmtId="0" fontId="15" fillId="0" borderId="0"/>
    <xf numFmtId="0" fontId="40" fillId="0" borderId="0"/>
    <xf numFmtId="0" fontId="40" fillId="0" borderId="0"/>
    <xf numFmtId="0" fontId="2" fillId="0" borderId="0"/>
    <xf numFmtId="0" fontId="5" fillId="0" borderId="0"/>
    <xf numFmtId="0" fontId="2" fillId="0" borderId="0"/>
    <xf numFmtId="0" fontId="11" fillId="0" borderId="0"/>
    <xf numFmtId="0" fontId="11" fillId="0" borderId="0" applyNumberFormat="0" applyFont="0" applyFill="0" applyBorder="0" applyAlignment="0" applyProtection="0">
      <alignment vertical="top"/>
    </xf>
    <xf numFmtId="9" fontId="1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9" fontId="41" fillId="0" borderId="0" applyFont="0" applyFill="0" applyBorder="0" applyAlignment="0" applyProtection="0"/>
    <xf numFmtId="170" fontId="41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5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11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5" fillId="0" borderId="0" applyFont="0" applyFill="0" applyBorder="0" applyAlignment="0" applyProtection="0"/>
    <xf numFmtId="168" fontId="1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8" fontId="16" fillId="0" borderId="0" applyFont="0" applyFill="0" applyBorder="0" applyAlignment="0" applyProtection="0"/>
    <xf numFmtId="0" fontId="11" fillId="0" borderId="0"/>
    <xf numFmtId="165" fontId="2" fillId="0" borderId="0" applyFont="0" applyFill="0" applyBorder="0" applyAlignment="0" applyProtection="0"/>
    <xf numFmtId="0" fontId="11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0"/>
    <xf numFmtId="0" fontId="42" fillId="0" borderId="0" applyNumberFormat="0" applyFill="0" applyBorder="0" applyAlignment="0" applyProtection="0">
      <alignment vertical="top"/>
      <protection locked="0"/>
    </xf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  <xf numFmtId="0" fontId="11" fillId="0" borderId="0"/>
    <xf numFmtId="0" fontId="38" fillId="0" borderId="14" applyNumberFormat="0" applyFill="0" applyAlignment="0" applyProtection="0"/>
    <xf numFmtId="0" fontId="27" fillId="8" borderId="19" applyNumberFormat="0" applyAlignment="0" applyProtection="0"/>
    <xf numFmtId="0" fontId="27" fillId="8" borderId="11" applyNumberFormat="0" applyAlignment="0" applyProtection="0"/>
    <xf numFmtId="0" fontId="38" fillId="0" borderId="22" applyNumberFormat="0" applyFill="0" applyAlignment="0" applyProtection="0"/>
    <xf numFmtId="0" fontId="30" fillId="21" borderId="17" applyNumberFormat="0" applyAlignment="0" applyProtection="0"/>
    <xf numFmtId="0" fontId="30" fillId="21" borderId="13" applyNumberFormat="0" applyAlignment="0" applyProtection="0"/>
    <xf numFmtId="0" fontId="16" fillId="24" borderId="12" applyNumberFormat="0" applyFont="0" applyAlignment="0" applyProtection="0"/>
    <xf numFmtId="0" fontId="19" fillId="21" borderId="11" applyNumberFormat="0" applyAlignment="0" applyProtection="0"/>
    <xf numFmtId="0" fontId="38" fillId="0" borderId="18" applyNumberFormat="0" applyFill="0" applyAlignment="0" applyProtection="0"/>
    <xf numFmtId="0" fontId="16" fillId="24" borderId="16" applyNumberFormat="0" applyFont="0" applyAlignment="0" applyProtection="0"/>
    <xf numFmtId="0" fontId="30" fillId="21" borderId="21" applyNumberFormat="0" applyAlignment="0" applyProtection="0"/>
    <xf numFmtId="0" fontId="19" fillId="21" borderId="19" applyNumberFormat="0" applyAlignment="0" applyProtection="0"/>
    <xf numFmtId="0" fontId="27" fillId="8" borderId="15" applyNumberFormat="0" applyAlignment="0" applyProtection="0"/>
    <xf numFmtId="0" fontId="19" fillId="21" borderId="15" applyNumberFormat="0" applyAlignment="0" applyProtection="0"/>
    <xf numFmtId="0" fontId="16" fillId="24" borderId="20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38" fillId="0" borderId="29" applyNumberFormat="0" applyFill="0" applyAlignment="0" applyProtection="0"/>
    <xf numFmtId="0" fontId="30" fillId="21" borderId="28" applyNumberFormat="0" applyAlignment="0" applyProtection="0"/>
    <xf numFmtId="0" fontId="16" fillId="24" borderId="27" applyNumberFormat="0" applyFont="0" applyAlignment="0" applyProtection="0"/>
    <xf numFmtId="0" fontId="27" fillId="8" borderId="26" applyNumberFormat="0" applyAlignment="0" applyProtection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1" xfId="0" applyFont="1" applyBorder="1"/>
    <xf numFmtId="4" fontId="8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horizontal="right" vertical="center" wrapText="1"/>
    </xf>
    <xf numFmtId="0" fontId="8" fillId="0" borderId="0" xfId="0" applyFont="1" applyAlignment="1">
      <alignment vertical="center"/>
    </xf>
    <xf numFmtId="4" fontId="8" fillId="0" borderId="0" xfId="0" applyNumberFormat="1" applyFont="1" applyAlignment="1">
      <alignment vertical="center"/>
    </xf>
    <xf numFmtId="2" fontId="8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9" fillId="0" borderId="1" xfId="7" applyFont="1" applyBorder="1"/>
    <xf numFmtId="0" fontId="10" fillId="0" borderId="0" xfId="8" applyFont="1" applyAlignment="1">
      <alignment vertical="center"/>
    </xf>
    <xf numFmtId="0" fontId="12" fillId="0" borderId="1" xfId="7" applyFont="1" applyBorder="1" applyAlignment="1">
      <alignment vertical="center" wrapText="1"/>
    </xf>
    <xf numFmtId="4" fontId="8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fillId="0" borderId="0" xfId="7" applyFont="1" applyAlignment="1">
      <alignment vertical="center" wrapText="1"/>
    </xf>
    <xf numFmtId="0" fontId="9" fillId="0" borderId="0" xfId="7" applyFont="1"/>
    <xf numFmtId="4" fontId="12" fillId="0" borderId="0" xfId="7" applyNumberFormat="1" applyFont="1" applyAlignment="1">
      <alignment vertical="center"/>
    </xf>
    <xf numFmtId="3" fontId="8" fillId="0" borderId="1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right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9" fontId="6" fillId="0" borderId="0" xfId="0" applyNumberFormat="1" applyFont="1" applyAlignment="1">
      <alignment vertical="center"/>
    </xf>
    <xf numFmtId="4" fontId="6" fillId="0" borderId="0" xfId="0" applyNumberFormat="1" applyFont="1" applyAlignment="1">
      <alignment vertical="center"/>
    </xf>
    <xf numFmtId="1" fontId="6" fillId="0" borderId="0" xfId="0" applyNumberFormat="1" applyFont="1" applyAlignment="1">
      <alignment vertical="center"/>
    </xf>
    <xf numFmtId="171" fontId="13" fillId="0" borderId="0" xfId="0" applyNumberFormat="1" applyFont="1" applyAlignment="1">
      <alignment vertical="center"/>
    </xf>
    <xf numFmtId="10" fontId="6" fillId="0" borderId="0" xfId="0" applyNumberFormat="1" applyFont="1" applyAlignment="1">
      <alignment vertical="center"/>
    </xf>
    <xf numFmtId="171" fontId="6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174" fontId="6" fillId="0" borderId="0" xfId="0" applyNumberFormat="1" applyFont="1" applyAlignment="1">
      <alignment vertical="center"/>
    </xf>
    <xf numFmtId="174" fontId="6" fillId="0" borderId="1" xfId="0" applyNumberFormat="1" applyFont="1" applyBorder="1" applyAlignment="1">
      <alignment horizontal="right" vertical="center" wrapText="1"/>
    </xf>
    <xf numFmtId="171" fontId="9" fillId="0" borderId="0" xfId="7" applyNumberFormat="1" applyFont="1" applyAlignment="1">
      <alignment horizontal="right"/>
    </xf>
    <xf numFmtId="0" fontId="9" fillId="0" borderId="0" xfId="7" applyFont="1" applyAlignment="1">
      <alignment vertical="center"/>
    </xf>
    <xf numFmtId="2" fontId="9" fillId="0" borderId="0" xfId="7" applyNumberFormat="1" applyFont="1" applyAlignment="1">
      <alignment horizontal="left" vertical="center"/>
    </xf>
    <xf numFmtId="175" fontId="6" fillId="0" borderId="0" xfId="0" applyNumberFormat="1" applyFont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6" fillId="0" borderId="0" xfId="10" applyFont="1" applyAlignment="1">
      <alignment horizontal="left" vertical="center"/>
    </xf>
    <xf numFmtId="0" fontId="8" fillId="0" borderId="0" xfId="0" applyFont="1" applyAlignment="1">
      <alignment horizontal="right"/>
    </xf>
    <xf numFmtId="0" fontId="6" fillId="0" borderId="0" xfId="0" applyFont="1"/>
    <xf numFmtId="4" fontId="8" fillId="0" borderId="0" xfId="0" applyNumberFormat="1" applyFont="1" applyAlignment="1">
      <alignment horizontal="right" vertical="center"/>
    </xf>
    <xf numFmtId="3" fontId="8" fillId="0" borderId="0" xfId="0" applyNumberFormat="1" applyFont="1" applyAlignment="1">
      <alignment horizontal="right" vertical="center"/>
    </xf>
    <xf numFmtId="3" fontId="43" fillId="0" borderId="0" xfId="0" applyNumberFormat="1" applyFont="1" applyAlignment="1">
      <alignment horizontal="right" vertical="center"/>
    </xf>
    <xf numFmtId="171" fontId="9" fillId="0" borderId="0" xfId="154" applyNumberFormat="1" applyFont="1"/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0" fontId="9" fillId="0" borderId="0" xfId="7" applyFont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3" fontId="12" fillId="0" borderId="1" xfId="7" applyNumberFormat="1" applyFont="1" applyBorder="1" applyAlignment="1">
      <alignment vertical="center"/>
    </xf>
    <xf numFmtId="3" fontId="8" fillId="0" borderId="1" xfId="0" applyNumberFormat="1" applyFont="1" applyBorder="1" applyAlignment="1">
      <alignment horizontal="right" vertical="center"/>
    </xf>
    <xf numFmtId="0" fontId="7" fillId="0" borderId="0" xfId="8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174" fontId="44" fillId="0" borderId="0" xfId="0" applyNumberFormat="1" applyFont="1"/>
    <xf numFmtId="171" fontId="6" fillId="0" borderId="0" xfId="0" applyNumberFormat="1" applyFont="1" applyAlignment="1">
      <alignment horizontal="right" vertical="center"/>
    </xf>
    <xf numFmtId="176" fontId="5" fillId="0" borderId="0" xfId="0" applyNumberFormat="1" applyFont="1"/>
    <xf numFmtId="0" fontId="8" fillId="2" borderId="1" xfId="0" applyFont="1" applyFill="1" applyBorder="1" applyAlignment="1">
      <alignment horizontal="center" vertical="center" wrapText="1"/>
    </xf>
    <xf numFmtId="0" fontId="9" fillId="2" borderId="0" xfId="7" applyFont="1" applyFill="1" applyAlignment="1">
      <alignment vertical="center"/>
    </xf>
    <xf numFmtId="0" fontId="8" fillId="2" borderId="0" xfId="0" applyFont="1" applyFill="1" applyAlignment="1">
      <alignment vertical="center"/>
    </xf>
    <xf numFmtId="4" fontId="8" fillId="2" borderId="0" xfId="0" applyNumberFormat="1" applyFont="1" applyFill="1" applyAlignment="1">
      <alignment vertical="center"/>
    </xf>
    <xf numFmtId="2" fontId="8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horizontal="right" vertical="center" wrapText="1"/>
    </xf>
    <xf numFmtId="174" fontId="6" fillId="2" borderId="0" xfId="0" applyNumberFormat="1" applyFont="1" applyFill="1" applyAlignment="1">
      <alignment vertical="center"/>
    </xf>
    <xf numFmtId="3" fontId="6" fillId="2" borderId="0" xfId="0" applyNumberFormat="1" applyFont="1" applyFill="1" applyAlignment="1">
      <alignment vertical="center"/>
    </xf>
    <xf numFmtId="3" fontId="6" fillId="0" borderId="0" xfId="0" applyNumberFormat="1" applyFont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 wrapText="1"/>
    </xf>
    <xf numFmtId="177" fontId="6" fillId="0" borderId="0" xfId="6" applyNumberFormat="1" applyFont="1" applyFill="1" applyBorder="1" applyAlignment="1">
      <alignment vertical="center"/>
    </xf>
    <xf numFmtId="177" fontId="6" fillId="0" borderId="0" xfId="0" applyNumberFormat="1" applyFont="1" applyAlignment="1">
      <alignment vertical="center"/>
    </xf>
    <xf numFmtId="0" fontId="6" fillId="2" borderId="0" xfId="7" applyFont="1" applyFill="1" applyAlignment="1">
      <alignment vertical="center"/>
    </xf>
    <xf numFmtId="0" fontId="6" fillId="2" borderId="0" xfId="0" applyFont="1" applyFill="1" applyAlignment="1">
      <alignment horizontal="left" vertical="center" wrapText="1"/>
    </xf>
    <xf numFmtId="1" fontId="6" fillId="2" borderId="0" xfId="0" applyNumberFormat="1" applyFont="1" applyFill="1" applyAlignment="1">
      <alignment vertical="center"/>
    </xf>
    <xf numFmtId="171" fontId="6" fillId="2" borderId="0" xfId="0" applyNumberFormat="1" applyFont="1" applyFill="1" applyAlignment="1">
      <alignment vertical="center"/>
    </xf>
    <xf numFmtId="171" fontId="9" fillId="2" borderId="0" xfId="7" applyNumberFormat="1" applyFont="1" applyFill="1" applyAlignment="1">
      <alignment horizontal="right"/>
    </xf>
    <xf numFmtId="9" fontId="6" fillId="2" borderId="0" xfId="0" applyNumberFormat="1" applyFont="1" applyFill="1" applyAlignment="1">
      <alignment vertical="center"/>
    </xf>
    <xf numFmtId="3" fontId="43" fillId="0" borderId="0" xfId="7" applyNumberFormat="1" applyFont="1" applyAlignment="1">
      <alignment vertical="center"/>
    </xf>
    <xf numFmtId="4" fontId="43" fillId="0" borderId="0" xfId="7" applyNumberFormat="1" applyFont="1" applyAlignment="1">
      <alignment vertical="center"/>
    </xf>
    <xf numFmtId="164" fontId="45" fillId="0" borderId="0" xfId="0" applyNumberFormat="1" applyFont="1"/>
    <xf numFmtId="4" fontId="5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4" fontId="47" fillId="0" borderId="0" xfId="0" applyNumberFormat="1" applyFont="1" applyAlignment="1">
      <alignment horizontal="center" vertical="center"/>
    </xf>
    <xf numFmtId="166" fontId="8" fillId="26" borderId="1" xfId="0" applyNumberFormat="1" applyFont="1" applyFill="1" applyBorder="1" applyAlignment="1">
      <alignment horizontal="center" vertical="center" wrapText="1"/>
    </xf>
    <xf numFmtId="4" fontId="5" fillId="0" borderId="0" xfId="0" applyNumberFormat="1" applyFont="1"/>
    <xf numFmtId="165" fontId="5" fillId="0" borderId="0" xfId="0" applyNumberFormat="1" applyFont="1"/>
    <xf numFmtId="165" fontId="5" fillId="0" borderId="0" xfId="0" applyNumberFormat="1" applyFont="1" applyAlignment="1">
      <alignment horizontal="right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7" fillId="0" borderId="0" xfId="8" applyFont="1" applyAlignment="1">
      <alignment horizontal="left" vertical="center" wrapText="1"/>
    </xf>
    <xf numFmtId="0" fontId="7" fillId="2" borderId="0" xfId="8" applyFont="1" applyFill="1" applyAlignment="1">
      <alignment horizontal="center" wrapText="1"/>
    </xf>
    <xf numFmtId="0" fontId="7" fillId="0" borderId="0" xfId="8" applyFont="1" applyAlignment="1">
      <alignment horizontal="center" vertical="center" wrapText="1"/>
    </xf>
    <xf numFmtId="0" fontId="6" fillId="2" borderId="0" xfId="0" applyFont="1" applyFill="1" applyAlignment="1">
      <alignment horizontal="left" wrapText="1"/>
    </xf>
    <xf numFmtId="0" fontId="46" fillId="0" borderId="0" xfId="7" applyFont="1" applyAlignment="1">
      <alignment horizontal="center" vertical="center"/>
    </xf>
    <xf numFmtId="0" fontId="9" fillId="0" borderId="0" xfId="7" applyFont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</cellXfs>
  <cellStyles count="231">
    <cellStyle name="20% - Accent1" xfId="25" xr:uid="{00000000-0005-0000-0000-000000000000}"/>
    <cellStyle name="20% - Accent2" xfId="26" xr:uid="{00000000-0005-0000-0000-000001000000}"/>
    <cellStyle name="20% - Accent3" xfId="27" xr:uid="{00000000-0005-0000-0000-000002000000}"/>
    <cellStyle name="20% - Accent4" xfId="28" xr:uid="{00000000-0005-0000-0000-000003000000}"/>
    <cellStyle name="20% - Accent5" xfId="29" xr:uid="{00000000-0005-0000-0000-000004000000}"/>
    <cellStyle name="20% - Accent6" xfId="30" xr:uid="{00000000-0005-0000-0000-000005000000}"/>
    <cellStyle name="40% - Accent1" xfId="31" xr:uid="{00000000-0005-0000-0000-000006000000}"/>
    <cellStyle name="40% - Accent2" xfId="32" xr:uid="{00000000-0005-0000-0000-000007000000}"/>
    <cellStyle name="40% - Accent3" xfId="33" xr:uid="{00000000-0005-0000-0000-000008000000}"/>
    <cellStyle name="40% - Accent4" xfId="34" xr:uid="{00000000-0005-0000-0000-000009000000}"/>
    <cellStyle name="40% - Accent5" xfId="35" xr:uid="{00000000-0005-0000-0000-00000A000000}"/>
    <cellStyle name="40% - Accent6" xfId="36" xr:uid="{00000000-0005-0000-0000-00000B000000}"/>
    <cellStyle name="60% - Accent1" xfId="37" xr:uid="{00000000-0005-0000-0000-00000C000000}"/>
    <cellStyle name="60% - Accent2" xfId="38" xr:uid="{00000000-0005-0000-0000-00000D000000}"/>
    <cellStyle name="60% - Accent3" xfId="39" xr:uid="{00000000-0005-0000-0000-00000E000000}"/>
    <cellStyle name="60% - Accent4" xfId="40" xr:uid="{00000000-0005-0000-0000-00000F000000}"/>
    <cellStyle name="60% - Accent5" xfId="41" xr:uid="{00000000-0005-0000-0000-000010000000}"/>
    <cellStyle name="60% - Accent6" xfId="42" xr:uid="{00000000-0005-0000-0000-000011000000}"/>
    <cellStyle name="Accent1" xfId="43" xr:uid="{00000000-0005-0000-0000-000012000000}"/>
    <cellStyle name="Accent2" xfId="44" xr:uid="{00000000-0005-0000-0000-000013000000}"/>
    <cellStyle name="Accent3" xfId="45" xr:uid="{00000000-0005-0000-0000-000014000000}"/>
    <cellStyle name="Accent4" xfId="46" xr:uid="{00000000-0005-0000-0000-000015000000}"/>
    <cellStyle name="Accent5" xfId="47" xr:uid="{00000000-0005-0000-0000-000016000000}"/>
    <cellStyle name="Accent6" xfId="48" xr:uid="{00000000-0005-0000-0000-000017000000}"/>
    <cellStyle name="Bad" xfId="49" xr:uid="{00000000-0005-0000-0000-000018000000}"/>
    <cellStyle name="Calculation" xfId="50" xr:uid="{00000000-0005-0000-0000-000019000000}"/>
    <cellStyle name="Calculation 2" xfId="174" xr:uid="{00000000-0005-0000-0000-00001A000000}"/>
    <cellStyle name="Calculation 3" xfId="180" xr:uid="{00000000-0005-0000-0000-00001B000000}"/>
    <cellStyle name="Calculation 4" xfId="178" xr:uid="{00000000-0005-0000-0000-00001C000000}"/>
    <cellStyle name="Calculation 5" xfId="191" xr:uid="{00000000-0005-0000-0000-00001D000000}"/>
    <cellStyle name="Check Cell" xfId="51" xr:uid="{00000000-0005-0000-0000-00001E000000}"/>
    <cellStyle name="Explanatory Text" xfId="52" xr:uid="{00000000-0005-0000-0000-00001F000000}"/>
    <cellStyle name="Good" xfId="53" xr:uid="{00000000-0005-0000-0000-000020000000}"/>
    <cellStyle name="Heading" xfId="54" xr:uid="{00000000-0005-0000-0000-000021000000}"/>
    <cellStyle name="Heading 1" xfId="55" xr:uid="{00000000-0005-0000-0000-000022000000}"/>
    <cellStyle name="Heading 2" xfId="56" xr:uid="{00000000-0005-0000-0000-000023000000}"/>
    <cellStyle name="Heading 3" xfId="57" xr:uid="{00000000-0005-0000-0000-000024000000}"/>
    <cellStyle name="Heading 4" xfId="58" xr:uid="{00000000-0005-0000-0000-000025000000}"/>
    <cellStyle name="Heading1" xfId="59" xr:uid="{00000000-0005-0000-0000-000026000000}"/>
    <cellStyle name="Input" xfId="60" xr:uid="{00000000-0005-0000-0000-000027000000}"/>
    <cellStyle name="Input 2" xfId="169" xr:uid="{00000000-0005-0000-0000-000028000000}"/>
    <cellStyle name="Input 3" xfId="179" xr:uid="{00000000-0005-0000-0000-000029000000}"/>
    <cellStyle name="Input 4" xfId="168" xr:uid="{00000000-0005-0000-0000-00002A000000}"/>
    <cellStyle name="Input 5" xfId="190" xr:uid="{00000000-0005-0000-0000-00002B000000}"/>
    <cellStyle name="Linked Cell" xfId="61" xr:uid="{00000000-0005-0000-0000-00002C000000}"/>
    <cellStyle name="Neutral" xfId="62" xr:uid="{00000000-0005-0000-0000-00002D000000}"/>
    <cellStyle name="Note" xfId="63" xr:uid="{00000000-0005-0000-0000-00002E000000}"/>
    <cellStyle name="Note 2" xfId="173" xr:uid="{00000000-0005-0000-0000-00002F000000}"/>
    <cellStyle name="Note 3" xfId="176" xr:uid="{00000000-0005-0000-0000-000030000000}"/>
    <cellStyle name="Note 4" xfId="181" xr:uid="{00000000-0005-0000-0000-000031000000}"/>
    <cellStyle name="Note 5" xfId="189" xr:uid="{00000000-0005-0000-0000-000032000000}"/>
    <cellStyle name="Output" xfId="64" xr:uid="{00000000-0005-0000-0000-000033000000}"/>
    <cellStyle name="Output 2" xfId="172" xr:uid="{00000000-0005-0000-0000-000034000000}"/>
    <cellStyle name="Output 3" xfId="171" xr:uid="{00000000-0005-0000-0000-000035000000}"/>
    <cellStyle name="Output 4" xfId="177" xr:uid="{00000000-0005-0000-0000-000036000000}"/>
    <cellStyle name="Output 5" xfId="188" xr:uid="{00000000-0005-0000-0000-000037000000}"/>
    <cellStyle name="Result" xfId="65" xr:uid="{00000000-0005-0000-0000-000038000000}"/>
    <cellStyle name="Result2" xfId="66" xr:uid="{00000000-0005-0000-0000-000039000000}"/>
    <cellStyle name="S0" xfId="67" xr:uid="{00000000-0005-0000-0000-00003A000000}"/>
    <cellStyle name="S1" xfId="68" xr:uid="{00000000-0005-0000-0000-00003B000000}"/>
    <cellStyle name="S10" xfId="69" xr:uid="{00000000-0005-0000-0000-00003C000000}"/>
    <cellStyle name="S11" xfId="70" xr:uid="{00000000-0005-0000-0000-00003D000000}"/>
    <cellStyle name="S12" xfId="71" xr:uid="{00000000-0005-0000-0000-00003E000000}"/>
    <cellStyle name="S13" xfId="72" xr:uid="{00000000-0005-0000-0000-00003F000000}"/>
    <cellStyle name="S14" xfId="73" xr:uid="{00000000-0005-0000-0000-000040000000}"/>
    <cellStyle name="S17" xfId="74" xr:uid="{00000000-0005-0000-0000-000041000000}"/>
    <cellStyle name="S2" xfId="75" xr:uid="{00000000-0005-0000-0000-000042000000}"/>
    <cellStyle name="S3" xfId="76" xr:uid="{00000000-0005-0000-0000-000043000000}"/>
    <cellStyle name="S4" xfId="77" xr:uid="{00000000-0005-0000-0000-000044000000}"/>
    <cellStyle name="S5" xfId="78" xr:uid="{00000000-0005-0000-0000-000045000000}"/>
    <cellStyle name="S6" xfId="79" xr:uid="{00000000-0005-0000-0000-000046000000}"/>
    <cellStyle name="S7" xfId="80" xr:uid="{00000000-0005-0000-0000-000047000000}"/>
    <cellStyle name="S8" xfId="81" xr:uid="{00000000-0005-0000-0000-000048000000}"/>
    <cellStyle name="S9" xfId="82" xr:uid="{00000000-0005-0000-0000-000049000000}"/>
    <cellStyle name="Title" xfId="83" xr:uid="{00000000-0005-0000-0000-00004A000000}"/>
    <cellStyle name="Total" xfId="84" xr:uid="{00000000-0005-0000-0000-00004B000000}"/>
    <cellStyle name="Total 2" xfId="167" xr:uid="{00000000-0005-0000-0000-00004C000000}"/>
    <cellStyle name="Total 3" xfId="175" xr:uid="{00000000-0005-0000-0000-00004D000000}"/>
    <cellStyle name="Total 4" xfId="170" xr:uid="{00000000-0005-0000-0000-00004E000000}"/>
    <cellStyle name="Total 5" xfId="187" xr:uid="{00000000-0005-0000-0000-00004F000000}"/>
    <cellStyle name="Warning Text" xfId="85" xr:uid="{00000000-0005-0000-0000-000050000000}"/>
    <cellStyle name="Гиперссылка 3" xfId="160" xr:uid="{00000000-0005-0000-0000-000051000000}"/>
    <cellStyle name="Обычный" xfId="0" builtinId="0"/>
    <cellStyle name="Обычный 10" xfId="86" xr:uid="{00000000-0005-0000-0000-000053000000}"/>
    <cellStyle name="Обычный 10 2" xfId="87" xr:uid="{00000000-0005-0000-0000-000054000000}"/>
    <cellStyle name="Обычный 11" xfId="88" xr:uid="{00000000-0005-0000-0000-000055000000}"/>
    <cellStyle name="Обычный 11 2" xfId="192" xr:uid="{00000000-0005-0000-0000-000056000000}"/>
    <cellStyle name="Обычный 12" xfId="89" xr:uid="{00000000-0005-0000-0000-000057000000}"/>
    <cellStyle name="Обычный 12 2" xfId="90" xr:uid="{00000000-0005-0000-0000-000058000000}"/>
    <cellStyle name="Обычный 12 2 2" xfId="194" xr:uid="{00000000-0005-0000-0000-000059000000}"/>
    <cellStyle name="Обычный 12 3" xfId="193" xr:uid="{00000000-0005-0000-0000-00005A000000}"/>
    <cellStyle name="Обычный 13" xfId="19" xr:uid="{00000000-0005-0000-0000-00005B000000}"/>
    <cellStyle name="Обычный 13 2" xfId="184" xr:uid="{00000000-0005-0000-0000-00005C000000}"/>
    <cellStyle name="Обычный 14" xfId="8" xr:uid="{00000000-0005-0000-0000-00005D000000}"/>
    <cellStyle name="Обычный 14 2" xfId="13" xr:uid="{00000000-0005-0000-0000-00005E000000}"/>
    <cellStyle name="Обычный 14 3" xfId="183" xr:uid="{00000000-0005-0000-0000-00005F000000}"/>
    <cellStyle name="Обычный 15" xfId="156" xr:uid="{00000000-0005-0000-0000-000060000000}"/>
    <cellStyle name="Обычный 16" xfId="159" xr:uid="{00000000-0005-0000-0000-000061000000}"/>
    <cellStyle name="Обычный 16 2" xfId="166" xr:uid="{00000000-0005-0000-0000-000062000000}"/>
    <cellStyle name="Обычный 17" xfId="165" xr:uid="{00000000-0005-0000-0000-000063000000}"/>
    <cellStyle name="Обычный 18" xfId="11" xr:uid="{00000000-0005-0000-0000-000064000000}"/>
    <cellStyle name="Обычный 19" xfId="182" xr:uid="{00000000-0005-0000-0000-000065000000}"/>
    <cellStyle name="Обычный 2" xfId="12" xr:uid="{00000000-0005-0000-0000-000066000000}"/>
    <cellStyle name="Обычный 2 2" xfId="15" xr:uid="{00000000-0005-0000-0000-000067000000}"/>
    <cellStyle name="Обычный 2 2 2" xfId="91" xr:uid="{00000000-0005-0000-0000-000068000000}"/>
    <cellStyle name="Обычный 2 2 3" xfId="92" xr:uid="{00000000-0005-0000-0000-000069000000}"/>
    <cellStyle name="Обычный 2 3" xfId="93" xr:uid="{00000000-0005-0000-0000-00006A000000}"/>
    <cellStyle name="Обычный 2 4" xfId="94" xr:uid="{00000000-0005-0000-0000-00006B000000}"/>
    <cellStyle name="Обычный 2 4 2" xfId="95" xr:uid="{00000000-0005-0000-0000-00006C000000}"/>
    <cellStyle name="Обычный 2 5" xfId="1" xr:uid="{00000000-0005-0000-0000-00006D000000}"/>
    <cellStyle name="Обычный 2 5 2" xfId="161" xr:uid="{00000000-0005-0000-0000-00006E000000}"/>
    <cellStyle name="Обычный 2 5 3" xfId="227" xr:uid="{00000000-0005-0000-0000-00006F000000}"/>
    <cellStyle name="Обычный 3" xfId="14" xr:uid="{00000000-0005-0000-0000-000070000000}"/>
    <cellStyle name="Обычный 3 2" xfId="22" xr:uid="{00000000-0005-0000-0000-000071000000}"/>
    <cellStyle name="Обычный 3 2 2" xfId="96" xr:uid="{00000000-0005-0000-0000-000072000000}"/>
    <cellStyle name="Обычный 3 2 2 2" xfId="97" xr:uid="{00000000-0005-0000-0000-000073000000}"/>
    <cellStyle name="Обычный 3 2 2 2 2" xfId="196" xr:uid="{00000000-0005-0000-0000-000074000000}"/>
    <cellStyle name="Обычный 3 2 2 3" xfId="195" xr:uid="{00000000-0005-0000-0000-000075000000}"/>
    <cellStyle name="Обычный 3 2 3" xfId="98" xr:uid="{00000000-0005-0000-0000-000076000000}"/>
    <cellStyle name="Обычный 3 2 3 2" xfId="197" xr:uid="{00000000-0005-0000-0000-000077000000}"/>
    <cellStyle name="Обычный 3 2 4" xfId="99" xr:uid="{00000000-0005-0000-0000-000078000000}"/>
    <cellStyle name="Обычный 3 2 4 2" xfId="198" xr:uid="{00000000-0005-0000-0000-000079000000}"/>
    <cellStyle name="Обычный 3 2 5" xfId="185" xr:uid="{00000000-0005-0000-0000-00007A000000}"/>
    <cellStyle name="Обычный 3 3" xfId="18" xr:uid="{00000000-0005-0000-0000-00007B000000}"/>
    <cellStyle name="Обычный 3 3 2" xfId="100" xr:uid="{00000000-0005-0000-0000-00007C000000}"/>
    <cellStyle name="Обычный 3 3 2 2" xfId="199" xr:uid="{00000000-0005-0000-0000-00007D000000}"/>
    <cellStyle name="Обычный 3 3 3" xfId="154" xr:uid="{00000000-0005-0000-0000-00007E000000}"/>
    <cellStyle name="Обычный 3 4" xfId="10" xr:uid="{00000000-0005-0000-0000-00007F000000}"/>
    <cellStyle name="Обычный 3 4 2" xfId="101" xr:uid="{00000000-0005-0000-0000-000080000000}"/>
    <cellStyle name="Обычный 3 4 2 2" xfId="200" xr:uid="{00000000-0005-0000-0000-000081000000}"/>
    <cellStyle name="Обычный 3 4 3" xfId="102" xr:uid="{00000000-0005-0000-0000-000082000000}"/>
    <cellStyle name="Обычный 3 5" xfId="103" xr:uid="{00000000-0005-0000-0000-000083000000}"/>
    <cellStyle name="Обычный 3 5 2" xfId="104" xr:uid="{00000000-0005-0000-0000-000084000000}"/>
    <cellStyle name="Обычный 3 5 2 2" xfId="202" xr:uid="{00000000-0005-0000-0000-000085000000}"/>
    <cellStyle name="Обычный 3 5 3" xfId="201" xr:uid="{00000000-0005-0000-0000-000086000000}"/>
    <cellStyle name="Обычный 3 6" xfId="105" xr:uid="{00000000-0005-0000-0000-000087000000}"/>
    <cellStyle name="Обычный 3 6 2" xfId="203" xr:uid="{00000000-0005-0000-0000-000088000000}"/>
    <cellStyle name="Обычный 3 7" xfId="106" xr:uid="{00000000-0005-0000-0000-000089000000}"/>
    <cellStyle name="Обычный 3 7 2" xfId="204" xr:uid="{00000000-0005-0000-0000-00008A000000}"/>
    <cellStyle name="Обычный 4" xfId="16" xr:uid="{00000000-0005-0000-0000-00008B000000}"/>
    <cellStyle name="Обычный 4 2" xfId="7" xr:uid="{00000000-0005-0000-0000-00008C000000}"/>
    <cellStyle name="Обычный 4 2 2" xfId="107" xr:uid="{00000000-0005-0000-0000-00008D000000}"/>
    <cellStyle name="Обычный 4 3" xfId="108" xr:uid="{00000000-0005-0000-0000-00008E000000}"/>
    <cellStyle name="Обычный 4 3 2" xfId="109" xr:uid="{00000000-0005-0000-0000-00008F000000}"/>
    <cellStyle name="Обычный 4 3 2 2" xfId="206" xr:uid="{00000000-0005-0000-0000-000090000000}"/>
    <cellStyle name="Обычный 4 3 3" xfId="205" xr:uid="{00000000-0005-0000-0000-000091000000}"/>
    <cellStyle name="Обычный 4 4" xfId="110" xr:uid="{00000000-0005-0000-0000-000092000000}"/>
    <cellStyle name="Обычный 5" xfId="20" xr:uid="{00000000-0005-0000-0000-000093000000}"/>
    <cellStyle name="Обычный 5 2" xfId="111" xr:uid="{00000000-0005-0000-0000-000094000000}"/>
    <cellStyle name="Обычный 6" xfId="4" xr:uid="{00000000-0005-0000-0000-000095000000}"/>
    <cellStyle name="Обычный 6 2" xfId="112" xr:uid="{00000000-0005-0000-0000-000096000000}"/>
    <cellStyle name="Обычный 6 2 2" xfId="113" xr:uid="{00000000-0005-0000-0000-000097000000}"/>
    <cellStyle name="Обычный 6 2 2 2" xfId="114" xr:uid="{00000000-0005-0000-0000-000098000000}"/>
    <cellStyle name="Обычный 6 2 3" xfId="115" xr:uid="{00000000-0005-0000-0000-000099000000}"/>
    <cellStyle name="Обычный 6 3" xfId="116" xr:uid="{00000000-0005-0000-0000-00009A000000}"/>
    <cellStyle name="Обычный 6 3 2" xfId="207" xr:uid="{00000000-0005-0000-0000-00009B000000}"/>
    <cellStyle name="Обычный 6 4" xfId="117" xr:uid="{00000000-0005-0000-0000-00009C000000}"/>
    <cellStyle name="Обычный 7" xfId="118" xr:uid="{00000000-0005-0000-0000-00009D000000}"/>
    <cellStyle name="Обычный 7 2" xfId="119" xr:uid="{00000000-0005-0000-0000-00009E000000}"/>
    <cellStyle name="Обычный 7 3" xfId="120" xr:uid="{00000000-0005-0000-0000-00009F000000}"/>
    <cellStyle name="Обычный 7 3 2" xfId="208" xr:uid="{00000000-0005-0000-0000-0000A0000000}"/>
    <cellStyle name="Обычный 7 4" xfId="121" xr:uid="{00000000-0005-0000-0000-0000A1000000}"/>
    <cellStyle name="Обычный 8" xfId="122" xr:uid="{00000000-0005-0000-0000-0000A2000000}"/>
    <cellStyle name="Обычный 8 2" xfId="209" xr:uid="{00000000-0005-0000-0000-0000A3000000}"/>
    <cellStyle name="Обычный 9" xfId="123" xr:uid="{00000000-0005-0000-0000-0000A4000000}"/>
    <cellStyle name="Обычный 9 2" xfId="124" xr:uid="{00000000-0005-0000-0000-0000A5000000}"/>
    <cellStyle name="Процентный" xfId="6" builtinId="5"/>
    <cellStyle name="Процентный 2" xfId="125" xr:uid="{00000000-0005-0000-0000-0000A7000000}"/>
    <cellStyle name="Процентный 2 2" xfId="17" xr:uid="{00000000-0005-0000-0000-0000A8000000}"/>
    <cellStyle name="Процентный 2 3" xfId="126" xr:uid="{00000000-0005-0000-0000-0000A9000000}"/>
    <cellStyle name="Процентный 3" xfId="127" xr:uid="{00000000-0005-0000-0000-0000AA000000}"/>
    <cellStyle name="Процентный 4" xfId="128" xr:uid="{00000000-0005-0000-0000-0000AB000000}"/>
    <cellStyle name="Процентный 5" xfId="158" xr:uid="{00000000-0005-0000-0000-0000AC000000}"/>
    <cellStyle name="Процентный 6" xfId="226" xr:uid="{00000000-0005-0000-0000-0000AD000000}"/>
    <cellStyle name="Тысячи [0]_Братеево (2)" xfId="129" xr:uid="{00000000-0005-0000-0000-0000AE000000}"/>
    <cellStyle name="Тысячи_Братеево (2)" xfId="130" xr:uid="{00000000-0005-0000-0000-0000AF000000}"/>
    <cellStyle name="Финансовый 10" xfId="2" xr:uid="{00000000-0005-0000-0000-0000B0000000}"/>
    <cellStyle name="Финансовый 10 2" xfId="3" xr:uid="{00000000-0005-0000-0000-0000B1000000}"/>
    <cellStyle name="Финансовый 10 2 2" xfId="163" xr:uid="{00000000-0005-0000-0000-0000B2000000}"/>
    <cellStyle name="Финансовый 10 2 3" xfId="229" xr:uid="{00000000-0005-0000-0000-0000B3000000}"/>
    <cellStyle name="Финансовый 10 3" xfId="164" xr:uid="{00000000-0005-0000-0000-0000B4000000}"/>
    <cellStyle name="Финансовый 10 3 2" xfId="230" xr:uid="{00000000-0005-0000-0000-0000B5000000}"/>
    <cellStyle name="Финансовый 10 4" xfId="162" xr:uid="{00000000-0005-0000-0000-0000B6000000}"/>
    <cellStyle name="Финансовый 10 5" xfId="228" xr:uid="{00000000-0005-0000-0000-0000B7000000}"/>
    <cellStyle name="Финансовый 11" xfId="155" xr:uid="{00000000-0005-0000-0000-0000B8000000}"/>
    <cellStyle name="Финансовый 12" xfId="224" xr:uid="{00000000-0005-0000-0000-0000B9000000}"/>
    <cellStyle name="Финансовый 2" xfId="21" xr:uid="{00000000-0005-0000-0000-0000BA000000}"/>
    <cellStyle name="Финансовый 2 2" xfId="131" xr:uid="{00000000-0005-0000-0000-0000BB000000}"/>
    <cellStyle name="Финансовый 2 2 2" xfId="132" xr:uid="{00000000-0005-0000-0000-0000BC000000}"/>
    <cellStyle name="Финансовый 2 2 2 2" xfId="210" xr:uid="{00000000-0005-0000-0000-0000BD000000}"/>
    <cellStyle name="Финансовый 2 3" xfId="133" xr:uid="{00000000-0005-0000-0000-0000BE000000}"/>
    <cellStyle name="Финансовый 2 3 2" xfId="134" xr:uid="{00000000-0005-0000-0000-0000BF000000}"/>
    <cellStyle name="Финансовый 2 3 3" xfId="211" xr:uid="{00000000-0005-0000-0000-0000C0000000}"/>
    <cellStyle name="Финансовый 2 4" xfId="5" xr:uid="{00000000-0005-0000-0000-0000C1000000}"/>
    <cellStyle name="Финансовый 2 4 2" xfId="157" xr:uid="{00000000-0005-0000-0000-0000C2000000}"/>
    <cellStyle name="Финансовый 2 4 3" xfId="225" xr:uid="{00000000-0005-0000-0000-0000C3000000}"/>
    <cellStyle name="Финансовый 3" xfId="23" xr:uid="{00000000-0005-0000-0000-0000C4000000}"/>
    <cellStyle name="Финансовый 3 2" xfId="135" xr:uid="{00000000-0005-0000-0000-0000C5000000}"/>
    <cellStyle name="Финансовый 3 2 2" xfId="136" xr:uid="{00000000-0005-0000-0000-0000C6000000}"/>
    <cellStyle name="Финансовый 3 2 2 2" xfId="212" xr:uid="{00000000-0005-0000-0000-0000C7000000}"/>
    <cellStyle name="Финансовый 3 3" xfId="137" xr:uid="{00000000-0005-0000-0000-0000C8000000}"/>
    <cellStyle name="Финансовый 3 3 2" xfId="138" xr:uid="{00000000-0005-0000-0000-0000C9000000}"/>
    <cellStyle name="Финансовый 3 3 2 2" xfId="214" xr:uid="{00000000-0005-0000-0000-0000CA000000}"/>
    <cellStyle name="Финансовый 3 3 3" xfId="213" xr:uid="{00000000-0005-0000-0000-0000CB000000}"/>
    <cellStyle name="Финансовый 3 4" xfId="139" xr:uid="{00000000-0005-0000-0000-0000CC000000}"/>
    <cellStyle name="Финансовый 3 4 2" xfId="140" xr:uid="{00000000-0005-0000-0000-0000CD000000}"/>
    <cellStyle name="Финансовый 3 4 2 2" xfId="216" xr:uid="{00000000-0005-0000-0000-0000CE000000}"/>
    <cellStyle name="Финансовый 3 4 3" xfId="215" xr:uid="{00000000-0005-0000-0000-0000CF000000}"/>
    <cellStyle name="Финансовый 3 5" xfId="141" xr:uid="{00000000-0005-0000-0000-0000D0000000}"/>
    <cellStyle name="Финансовый 3 5 2" xfId="142" xr:uid="{00000000-0005-0000-0000-0000D1000000}"/>
    <cellStyle name="Финансовый 3 5 2 2" xfId="218" xr:uid="{00000000-0005-0000-0000-0000D2000000}"/>
    <cellStyle name="Финансовый 3 5 3" xfId="217" xr:uid="{00000000-0005-0000-0000-0000D3000000}"/>
    <cellStyle name="Финансовый 3 6" xfId="143" xr:uid="{00000000-0005-0000-0000-0000D4000000}"/>
    <cellStyle name="Финансовый 3 6 2" xfId="219" xr:uid="{00000000-0005-0000-0000-0000D5000000}"/>
    <cellStyle name="Финансовый 3 7" xfId="144" xr:uid="{00000000-0005-0000-0000-0000D6000000}"/>
    <cellStyle name="Финансовый 3 7 2" xfId="220" xr:uid="{00000000-0005-0000-0000-0000D7000000}"/>
    <cellStyle name="Финансовый 3 8" xfId="145" xr:uid="{00000000-0005-0000-0000-0000D8000000}"/>
    <cellStyle name="Финансовый 3 8 2" xfId="221" xr:uid="{00000000-0005-0000-0000-0000D9000000}"/>
    <cellStyle name="Финансовый 4" xfId="146" xr:uid="{00000000-0005-0000-0000-0000DA000000}"/>
    <cellStyle name="Финансовый 5" xfId="147" xr:uid="{00000000-0005-0000-0000-0000DB000000}"/>
    <cellStyle name="Финансовый 5 2" xfId="148" xr:uid="{00000000-0005-0000-0000-0000DC000000}"/>
    <cellStyle name="Финансовый 6" xfId="149" xr:uid="{00000000-0005-0000-0000-0000DD000000}"/>
    <cellStyle name="Финансовый 7" xfId="150" xr:uid="{00000000-0005-0000-0000-0000DE000000}"/>
    <cellStyle name="Финансовый 8" xfId="9" xr:uid="{00000000-0005-0000-0000-0000DF000000}"/>
    <cellStyle name="Финансовый 8 2" xfId="152" xr:uid="{00000000-0005-0000-0000-0000E0000000}"/>
    <cellStyle name="Финансовый 8 2 2" xfId="223" xr:uid="{00000000-0005-0000-0000-0000E1000000}"/>
    <cellStyle name="Финансовый 8 3" xfId="151" xr:uid="{00000000-0005-0000-0000-0000E2000000}"/>
    <cellStyle name="Финансовый 8 4" xfId="222" xr:uid="{00000000-0005-0000-0000-0000E3000000}"/>
    <cellStyle name="Финансовый 9" xfId="24" xr:uid="{00000000-0005-0000-0000-0000E4000000}"/>
    <cellStyle name="Финансовый 9 2" xfId="153" xr:uid="{00000000-0005-0000-0000-0000E5000000}"/>
    <cellStyle name="Финансовый 9 3" xfId="186" xr:uid="{00000000-0005-0000-0000-0000E6000000}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1057;&#1084;&#1077;&#1090;&#1085;&#1086;&#1077;%20&#1091;&#1087;&#1088;&#1072;&#1074;&#1083;&#1077;&#1085;&#1080;&#1077;\&#1046;&#1080;&#1083;&#1099;&#1077;%20&#1076;&#1086;&#1084;&#1072;\&#1057;&#1042;&#1040;&#1054;%20(&#1041;&#1077;&#1083;&#1080;&#1085;&#1072;,%20&#1071;&#1085;&#1080;&#1081;)\&#1050;&#1054;&#1052;&#1052;&#1045;&#1056;&#1063;&#1045;&#1057;&#1050;&#1048;&#1045;%20&#1054;&#1041;&#1066;&#1045;&#1050;&#1058;&#1067;\&#1051;&#1105;&#1090;&#1095;&#1080;&#1082;&#1072;%20&#1041;&#1072;&#1073;&#1091;&#1096;&#1082;&#1080;&#1085;&#1072;%20&#1091;&#1083;.,%20&#1041;&#1072;&#1073;&#1091;&#1096;&#1082;&#1080;&#1085;&#1089;&#1082;&#1080;&#1081;,%20&#1074;&#1083;%2039\160512%20&#1055;&#1053;&#1062;%20&#1043;&#1055;%20&#1051;&#1077;&#1090;&#1095;&#1080;&#1082;&#1072;%20&#1041;&#1072;&#1073;&#1091;&#1096;&#1082;&#1080;&#1085;&#1072;,&#1074;&#1083;%2039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povev\&#1073;&#1072;&#1079;&#1072;%20&#1076;&#1072;&#1085;&#1085;&#1099;&#1093;\&#1055;&#1086;&#1103;&#1089;&#1085;&#1080;&#1090;&#1077;&#1083;&#1100;&#1085;&#1099;&#1077;%20&#1079;&#1072;&#1087;&#1080;&#1089;&#1082;&#1080;\4%20&#1072;&#1074;&#1075;&#1091;&#1089;&#1090;&#1072;%202006\Documents%20and%20Settings\Ustinov\Local%20Settings\Temporary%20Internet%20Files\OLK2B0\&#1054;&#1090;&#1087;&#1088;&#1072;&#1074;&#1083;&#1077;&#1085;&#1086;\brp\&#1043;&#1059;&#1060;&#1050;\GUFK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povev\&#1073;&#1072;&#1079;&#1072;%20&#1076;&#1072;&#1085;&#1085;&#1099;&#1093;\&#1044;&#1086;&#1093;&#1086;&#1076;&#1099;\&#1053;&#1072;&#1083;&#1086;&#1075;&#1086;&#1074;&#1099;&#1077;%20&#1076;&#1086;&#1093;&#1086;&#1076;&#1099;\&#1053;&#1044;&#1057;\&#1054;&#1090;&#1087;&#1088;&#1072;&#1074;&#1083;&#1077;&#1085;&#1086;\27_03_06\Documents%20and%20Settings\&#1040;&#1076;&#1084;&#1080;&#1085;&#1080;&#1089;&#1090;&#1088;&#1072;&#1090;&#1086;&#1088;\&#1052;&#1086;&#1080;%20&#1076;&#1086;&#1082;&#1091;&#1084;&#1077;&#1085;&#1090;&#1099;\&#1043;.&#1052;.&#1043;&#1088;&#1077;&#1073;&#1077;&#1085;&#1100;\&#1044;&#1086;&#1093;&#1086;&#1076;&#1099;\&#1092;&#1077;&#1074;&#1088;06\DOCUME~1\Admin\LOCALS~1\Temp\OutPutReports\Media\TablesYearToYea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ushinaon\Documents%20and%20Settings\Ievleva\Local%20Settings\Temporary%20Internet%20Files\Content.Outlook\XTAUZLZV\&#1072;&#1074;&#1075;-&#1089;&#1077;&#1085;&#1090;2011\&#1089;&#1088;&#1072;&#1074;&#1085;&#1077;&#1085;&#1080;&#1077;%20&#1080;&#1085;&#1074;&#1077;&#1089;&#1090;&#1087;&#1083;&#1072;&#1085;&#1086;&#1074;%20&#1082;&#1086;&#1084;&#1087;&#1072;&#1085;&#1080;&#1081;%20&#1058;&#1069;&#1050;&#1072;_10&#1072;&#1074;&#1075;201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dep03n\&#1057;&#1077;&#1090;&#1077;&#1074;&#1086;&#1081;%20&#1076;&#1080;&#1089;&#1082;%20Z\portachev\&#1057;&#1090;&#1072;&#1090;&#1080;&#1089;&#1090;&#1080;&#1082;&#1072;%20&#1094;&#1077;&#1085;%20&#1080;%20&#1092;&#1080;&#1085;&#1072;&#1085;&#1089;&#1086;&#1074;\&#1052;&#1086;&#1080;%20&#1076;&#1086;&#1082;&#1091;&#1084;&#1077;&#1085;&#1090;&#1099;\&#1052;&#1054;&#1041;\06-03-06\Var2.7%20(version%201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dis-taab\TAAB\&#1060;&#1054;&#1050;&#1048;%202007\&#1048;&#1089;&#1087;&#1086;&#1083;&#1085;&#1080;&#1090;&#1077;&#1083;&#1100;&#1085;&#1099;&#1077;%20&#1089;&#1084;&#1077;&#1090;&#1099;%20&#1055;&#1088;&#1086;&#1082;&#1083;&#1072;&#1076;&#1082;&#1072;\&#1056;&#1040;&#1047;&#1041;&#1048;&#1042;&#1050;&#1040;\&#1052;&#1086;&#1080;%20&#1076;&#1086;&#1082;&#1091;&#1084;&#1077;&#1085;&#1090;&#1099;\&#1040;&#1088;&#1093;&#1080;&#1074;%202000\&#1042;&#1067;&#1055;&#1054;&#1051;&#1053;&#1045;&#1053;&#1048;&#1045;-2000\&#1055;&#1048;&#1056;&#1057;-&#1057;&#1080;&#1088;&#1080;&#1091;&#108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dis-taab\TAAB\Documents%20and%20Settings\Natali\Local%20Settings\Temporary%20Internet%20Files\Content.IE5\2XUN4ZAJ\&#1057;&#1084;&#1077;&#1090;&#1072;%20&#1057;&#1052;&#105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povev\&#1073;&#1072;&#1079;&#1072;%20&#1076;&#1072;&#1085;&#1085;&#1099;&#1093;\&#1044;&#1086;&#1093;&#1086;&#1076;&#1099;\&#1053;&#1072;&#1083;&#1086;&#1075;&#1086;&#1074;&#1099;&#1077;%20&#1076;&#1086;&#1093;&#1086;&#1076;&#1099;\&#1054;&#1090;&#1087;&#1088;&#1072;&#1074;&#1083;&#1077;&#1085;&#1086;\27_03_06\Documents%20and%20Settings\&#1040;&#1076;&#1084;&#1080;&#1085;&#1080;&#1089;&#1090;&#1088;&#1072;&#1090;&#1086;&#1088;\&#1052;&#1086;&#1080;%20&#1076;&#1086;&#1082;&#1091;&#1084;&#1077;&#1085;&#1090;&#1099;\&#1043;.&#1052;.&#1043;&#1088;&#1077;&#1073;&#1077;&#1085;&#1100;\&#1044;&#1086;&#1093;&#1086;&#1076;&#1099;\&#1092;&#1077;&#1074;&#1088;06\DOCUME~1\Admin\LOCALS~1\Temp\OutPutReports\Media\TablesYearToYear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1060;&#1054;&#1050;&#1048;%202008&#1043;\&#1048;&#1057;&#1055;&#1054;&#1051;&#1053;&#1048;&#1058;&#1045;&#1051;&#1068;&#1053;&#1067;&#1045;%20&#1057;&#1052;&#1045;&#1058;&#1067;\&#1052;&#1086;&#1080;%20&#1076;&#1086;&#1082;&#1091;&#1084;&#1077;&#1085;&#1090;&#1099;\&#1040;&#1088;&#1093;&#1080;&#1074;%202000\&#1042;&#1067;&#1055;&#1054;&#1051;&#1053;&#1045;&#1053;&#1048;&#1045;-2000\&#1055;&#1048;&#1056;&#1057;-&#1057;&#1080;&#1088;&#1080;&#1091;&#108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dis-taab\TAAB\&#1060;&#1054;&#1050;&#1048;%202008&#1043;\&#1048;&#1057;&#1055;&#1054;&#1051;&#1053;&#1048;&#1058;&#1045;&#1051;&#1068;&#1053;&#1067;&#1045;%20&#1057;&#1052;&#1045;&#1058;&#1067;\&#1052;&#1086;&#1080;%20&#1076;&#1086;&#1082;&#1091;&#1084;&#1077;&#1085;&#1090;&#1099;\&#1040;&#1088;&#1093;&#1080;&#1074;%202000\&#1042;&#1067;&#1055;&#1054;&#1051;&#1053;&#1045;&#1053;&#1048;&#1045;-2000\&#1055;&#1048;&#1056;&#1057;-&#1057;&#1080;&#1088;&#1080;&#1091;&#108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rtachev\Analitzapiska\Documents%20and%20Settings\Nahimovskay\Local%20Settings\Temporary%20Internet%20Files\OLK35\&#1050;&#1086;&#1087;&#1080;&#1103;%20V2.200721&#1072;&#1087;&#1088;&#1077;&#1083;&#1103;&#1091;&#1090;&#1086;&#1095;&#1085;.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povev\&#1073;&#1072;&#1079;&#1072;%20&#1076;&#1072;&#1085;&#1085;&#1099;&#1093;\&#1054;&#1090;&#1087;&#1088;&#1072;&#1074;&#1083;&#1077;&#1085;&#1086;\&#1086;&#1090;&#1087;&#1088;&#1072;&#1074;&#1083;&#1077;&#1085;&#1086;_14_03_2006\FIN\&#1044;&#1086;&#1093;&#1086;&#1076;&#1099;%20&#1073;&#1102;&#1076;&#1078;&#1077;&#1090;&#1085;&#1086;&#1081;%20&#1089;&#1080;&#1089;&#1090;&#1077;&#1084;&#1099;\&#1055;&#1088;&#1086;&#1075;&#1085;&#1086;&#1079;\&#1089;&#1074;&#1086;&#1076;%20&#1076;&#1086;&#1093;&#1086;&#1076;&#1086;&#1074;\2005-2007\&#1072;&#1074;&#1075;&#1091;&#1089;&#1090;%2004\OutPutReports\Media\TablesYearToYear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1;&#1072;&#1079;&#1072;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1060;&#1054;&#1050;&#1048;%202007\&#1048;&#1089;&#1087;&#1086;&#1083;&#1085;&#1080;&#1090;&#1077;&#1083;&#1100;&#1085;&#1099;&#1077;%20&#1089;&#1084;&#1077;&#1090;&#1099;%20&#1055;&#1088;&#1086;&#1082;&#1083;&#1072;&#1076;&#1082;&#1072;\&#1056;&#1040;&#1047;&#1041;&#1048;&#1042;&#1050;&#1040;\&#1052;&#1086;&#1080;%20&#1076;&#1086;&#1082;&#1091;&#1084;&#1077;&#1085;&#1090;&#1099;\&#1040;&#1088;&#1093;&#1080;&#1074;%202000\&#1042;&#1067;&#1055;&#1054;&#1051;&#1053;&#1045;&#1053;&#1048;&#1045;-2000\&#1055;&#1048;&#1056;&#1057;-&#1057;&#1080;&#1088;&#1080;&#1091;&#10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струкция"/>
      <sheetName val="ЗП"/>
      <sheetName val="Ввод"/>
      <sheetName val="ВводТЗ"/>
      <sheetName val="ПНЦ ГП"/>
      <sheetName val="ПНЦ ТЗ"/>
      <sheetName val="ПНЦ УК"/>
      <sheetName val="Расчет"/>
      <sheetName val="Печать"/>
      <sheetName val="РасчТЗ"/>
      <sheetName val="ПечатьТЗ"/>
      <sheetName val="РасчУК"/>
      <sheetName val="ПечатьУК"/>
      <sheetName val="ТаблКоэф"/>
      <sheetName val="ИТОГОУК"/>
      <sheetName val="Prot"/>
      <sheetName val="ZHS"/>
      <sheetName val="ZDS"/>
      <sheetName val="CPR"/>
      <sheetName val="CMS"/>
      <sheetName val="OBR"/>
      <sheetName val="STR"/>
      <sheetName val="TRS"/>
      <sheetName val="ИТОГО"/>
      <sheetName val="КПИР"/>
      <sheetName val="НормСК"/>
      <sheetName val="ИТОГОТЗ"/>
      <sheetName val="м2"/>
      <sheetName val="База"/>
      <sheetName val="Лист2"/>
      <sheetName val="Лист3"/>
      <sheetName val="БДР_2023 (план)"/>
    </sheetNames>
    <sheetDataSet>
      <sheetData sheetId="0"/>
      <sheetData sheetId="1"/>
      <sheetData sheetId="2">
        <row r="54">
          <cell r="D54">
            <v>15194.24</v>
          </cell>
        </row>
      </sheetData>
      <sheetData sheetId="3">
        <row r="39">
          <cell r="D39">
            <v>0</v>
          </cell>
        </row>
        <row r="45">
          <cell r="C45">
            <v>1.0619000000000001</v>
          </cell>
        </row>
        <row r="46">
          <cell r="C46">
            <v>1.01</v>
          </cell>
        </row>
        <row r="47">
          <cell r="C47">
            <v>0</v>
          </cell>
        </row>
        <row r="48">
          <cell r="C48">
            <v>1</v>
          </cell>
        </row>
        <row r="49">
          <cell r="C49">
            <v>0</v>
          </cell>
        </row>
        <row r="53">
          <cell r="C53">
            <v>2.14</v>
          </cell>
        </row>
      </sheetData>
      <sheetData sheetId="4"/>
      <sheetData sheetId="5"/>
      <sheetData sheetId="6"/>
      <sheetData sheetId="7">
        <row r="38">
          <cell r="H38">
            <v>1.0619000000000001</v>
          </cell>
        </row>
        <row r="47">
          <cell r="H47">
            <v>1.032</v>
          </cell>
        </row>
        <row r="48">
          <cell r="H48">
            <v>1.0609999999999999</v>
          </cell>
        </row>
      </sheetData>
      <sheetData sheetId="8"/>
      <sheetData sheetId="9">
        <row r="52">
          <cell r="G52">
            <v>0.94540000000000002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онД"/>
      <sheetName val="ФедД"/>
      <sheetName val="РегД"/>
      <sheetName val="КонР"/>
      <sheetName val="ФедР"/>
      <sheetName val="РегР"/>
      <sheetName val="ФедИ"/>
      <sheetName val="РегИ"/>
      <sheetName val="Гр5(о)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Управление"/>
      <sheetName val="Итоги1"/>
      <sheetName val="Структура1"/>
      <sheetName val="Доходы (исполнение)1"/>
      <sheetName val="Расходы (исполнение)1"/>
      <sheetName val="Доходы (динамика)1"/>
      <sheetName val="Расходы (динамика)1"/>
      <sheetName val="Источники1"/>
      <sheetName val="Диаграммы1"/>
      <sheetName val="Итоги2"/>
      <sheetName val="Структура2"/>
      <sheetName val="Доходы (исполнение)2"/>
      <sheetName val="Расходы (исполнение)2"/>
      <sheetName val="Доходы (динамика)2"/>
      <sheetName val="Расходы (динамика)2"/>
      <sheetName val="Источники2"/>
      <sheetName val="Диаграммы2"/>
      <sheetName val="Итоги3"/>
      <sheetName val="Структура3"/>
      <sheetName val="Доходы (динамика)3"/>
      <sheetName val="Расходы (динамика)3"/>
      <sheetName val="Источники3"/>
      <sheetName val="ПРОГНОЗ_1"/>
      <sheetName val="ФедД"/>
      <sheetName val="Гр5(о)"/>
    </sheetNames>
    <sheetDataSet>
      <sheetData sheetId="0" refreshError="1">
        <row r="17">
          <cell r="AE17">
            <v>8</v>
          </cell>
          <cell r="AF17">
            <v>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ЭК было-стало"/>
      <sheetName val="сравнение инвестпланов компаний"/>
    </sheetNames>
    <definedNames>
      <definedName name="short" refersTo="#ССЫЛКА!"/>
      <definedName name="суда" refersTo="#ССЫЛКА!"/>
      <definedName name="ыяпр" refersTo="#ССЫЛКА!"/>
    </defined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екущие цены"/>
      <sheetName val="рабочий"/>
      <sheetName val="окраска"/>
      <sheetName val="Огл. Графиков"/>
      <sheetName val="Var2.7 (version 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войс"/>
      <sheetName val="База"/>
      <sheetName val="МТСН-98"/>
      <sheetName val="ПНР-МТСН-цена"/>
      <sheetName val="Сист контр"/>
      <sheetName val="Форма 2"/>
      <sheetName val="СФСС"/>
      <sheetName val="Форма 3"/>
      <sheetName val="Смет. ДЦ"/>
      <sheetName val="СК=ресурс"/>
      <sheetName val="Лист1"/>
      <sheetName val="Модуль1"/>
      <sheetName val="Модуль1 (2)"/>
      <sheetName val="Сист_контр"/>
      <sheetName val="Форма_2"/>
      <sheetName val="Форма_3"/>
      <sheetName val="Смет__ДЦ"/>
      <sheetName val="Модуль1_(2)"/>
      <sheetName val="Пояснение к расчету - ЖД ПИР"/>
      <sheetName val="Свод_подробно"/>
      <sheetName val="Коэффициенты"/>
      <sheetName val="Other software VCR"/>
      <sheetName val="автоматизация РД"/>
      <sheetName val="ПИРС-Сириус"/>
      <sheetName val="Структура себестоимости (9  (2)"/>
      <sheetName val="план"/>
      <sheetName val="Лист4"/>
      <sheetName val="Смета 7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ороги"/>
      <sheetName val="Сети"/>
      <sheetName val="Площадки"/>
      <sheetName val="база"/>
      <sheetName val="Коэффициенты"/>
      <sheetName val="обслед 1"/>
      <sheetName val="Лист1"/>
      <sheetName val="вл.30к.2"/>
      <sheetName val="вл.30с.19"/>
      <sheetName val="вл.28 к.2"/>
      <sheetName val="вл.28к.3"/>
      <sheetName val="вл.30 к.1"/>
      <sheetName val="Смета СМР"/>
      <sheetName val="support"/>
    </sheetNames>
    <sheetDataSet>
      <sheetData sheetId="0" refreshError="1"/>
      <sheetData sheetId="1">
        <row r="1">
          <cell r="A1" t="str">
            <v xml:space="preserve"> </v>
          </cell>
        </row>
      </sheetData>
      <sheetData sheetId="2" refreshError="1"/>
      <sheetData sheetId="3">
        <row r="1">
          <cell r="A1" t="str">
            <v xml:space="preserve"> </v>
          </cell>
          <cell r="E1" t="str">
            <v xml:space="preserve"> </v>
          </cell>
        </row>
        <row r="2">
          <cell r="A2" t="str">
            <v>ООО "Институт Каналстройпроект"</v>
          </cell>
          <cell r="E2" t="str">
            <v>Моськин В.А.</v>
          </cell>
          <cell r="G2" t="str">
            <v>Исполнительная смета № 1</v>
          </cell>
          <cell r="J2" t="str">
            <v>стадия П</v>
          </cell>
        </row>
        <row r="3">
          <cell r="A3" t="str">
            <v>ЗАО "Капстройпроект"</v>
          </cell>
          <cell r="E3" t="str">
            <v>Лысов А.Е.</v>
          </cell>
          <cell r="G3" t="str">
            <v>Cмета № 1</v>
          </cell>
          <cell r="J3" t="str">
            <v>стадия РД</v>
          </cell>
        </row>
        <row r="4">
          <cell r="A4" t="str">
            <v>ООО "Каналсетьпроект"</v>
          </cell>
          <cell r="E4" t="str">
            <v>Четыркина Г.В.</v>
          </cell>
          <cell r="G4" t="str">
            <v>Исполнительная смета № 2</v>
          </cell>
        </row>
        <row r="5">
          <cell r="A5" t="str">
            <v>ЗАО "Гендирекция Центр"</v>
          </cell>
          <cell r="E5" t="str">
            <v>Шлячков Д.</v>
          </cell>
          <cell r="G5" t="str">
            <v>Cмета № 2</v>
          </cell>
        </row>
        <row r="6">
          <cell r="A6" t="str">
            <v>ЗАО "ТУКС - 4"</v>
          </cell>
          <cell r="E6" t="str">
            <v>Шувалов Д.Ю.</v>
          </cell>
          <cell r="G6" t="str">
            <v>Исполнительная смета № 3</v>
          </cell>
        </row>
        <row r="7">
          <cell r="A7" t="str">
            <v>ЗАО "ТУКС - 2"</v>
          </cell>
          <cell r="E7" t="str">
            <v>Сагаев Р.Б.</v>
          </cell>
          <cell r="G7" t="str">
            <v>Cмета № 3</v>
          </cell>
        </row>
        <row r="8">
          <cell r="A8" t="str">
            <v>ЗАО "ТУКС - 1"</v>
          </cell>
        </row>
        <row r="9">
          <cell r="A9" t="str">
            <v>ЗАО "ТУКС - 3"</v>
          </cell>
        </row>
        <row r="10">
          <cell r="A10" t="str">
            <v>ЗАО "ТУКС № 7 ЮВ"</v>
          </cell>
        </row>
        <row r="11">
          <cell r="A11" t="str">
            <v>ГУП "Моссвет"</v>
          </cell>
        </row>
        <row r="12">
          <cell r="A12" t="str">
            <v>ЗАО "Альстрой"</v>
          </cell>
        </row>
        <row r="13">
          <cell r="A13" t="str">
            <v>ООО "Архинж"</v>
          </cell>
        </row>
        <row r="14">
          <cell r="A14" t="str">
            <v>МГУП "Мосводоканал УКС ГТС"</v>
          </cell>
        </row>
        <row r="15">
          <cell r="A15" t="str">
            <v>ПУНС МГП "Мосводоканал"</v>
          </cell>
        </row>
        <row r="16">
          <cell r="A16" t="str">
            <v>ЗАО "УКС"</v>
          </cell>
        </row>
        <row r="17">
          <cell r="A17" t="str">
            <v>ЗАО "УКС объектов здравоохранения"</v>
          </cell>
        </row>
        <row r="18">
          <cell r="A18" t="str">
            <v>ООО "Зеленоградкапстрой"</v>
          </cell>
        </row>
        <row r="19">
          <cell r="A19" t="str">
            <v>ГУП МНИИП "Моспроект-4"</v>
          </cell>
        </row>
        <row r="20">
          <cell r="A20" t="str">
            <v>ЗАО "Дон-строй"</v>
          </cell>
        </row>
        <row r="21">
          <cell r="A21" t="str">
            <v>ООО "Региональная финансово-строительная компания"</v>
          </cell>
        </row>
        <row r="22">
          <cell r="A22" t="str">
            <v>ООО "ПИК Инвест"</v>
          </cell>
        </row>
        <row r="23">
          <cell r="A23" t="str">
            <v>ЗАО "Инвестстрой"</v>
          </cell>
        </row>
        <row r="24">
          <cell r="A24" t="str">
            <v>ООО  ОКС "СУ-155"</v>
          </cell>
        </row>
        <row r="25">
          <cell r="A25" t="str">
            <v>ООО "Фирма Вершина"</v>
          </cell>
        </row>
        <row r="26">
          <cell r="A26" t="str">
            <v>ООО "АПЦ "Проспроект"</v>
          </cell>
        </row>
        <row r="27">
          <cell r="A27" t="str">
            <v>ОАО "Метрогипротранс"</v>
          </cell>
        </row>
        <row r="28">
          <cell r="A28" t="str">
            <v>ООО ПСФ "КРОСТ"</v>
          </cell>
        </row>
        <row r="29">
          <cell r="A29" t="str">
            <v>УКС ГУП "Мосгаз"</v>
          </cell>
        </row>
        <row r="30">
          <cell r="A30" t="str">
            <v>ООО "Межрегиональный союз строителей"</v>
          </cell>
        </row>
        <row r="31">
          <cell r="A31" t="str">
            <v>ООО "Жилкапстрой"</v>
          </cell>
        </row>
        <row r="32">
          <cell r="A32" t="str">
            <v>ЗАО "УКС ИКС и Д"</v>
          </cell>
        </row>
        <row r="33">
          <cell r="A33" t="str">
            <v>ГУП "Мосинжпроект"</v>
          </cell>
        </row>
        <row r="34">
          <cell r="A34" t="str">
            <v>ООО "Жилкапстрой"</v>
          </cell>
        </row>
        <row r="35">
          <cell r="A35" t="str">
            <v>ООО "СветоСервиС"</v>
          </cell>
        </row>
        <row r="36">
          <cell r="A36" t="str">
            <v>ООО "МНПП СВЭН"</v>
          </cell>
        </row>
        <row r="37">
          <cell r="A37" t="str">
            <v>ЗАО "СОРВиК"</v>
          </cell>
        </row>
        <row r="38">
          <cell r="A38" t="str">
            <v>ЗАО "ИНЖПРОЕКТСЕРВИС"</v>
          </cell>
        </row>
        <row r="39">
          <cell r="A39" t="str">
            <v>ЗАО "ИНСТИТУТ ПРОМОС"</v>
          </cell>
        </row>
        <row r="40">
          <cell r="A40" t="str">
            <v>ЗАО "УКС КБН"</v>
          </cell>
        </row>
        <row r="41">
          <cell r="A41" t="str">
            <v>ЗАО "ГЕОТОК"</v>
          </cell>
        </row>
        <row r="42">
          <cell r="A42" t="str">
            <v>ЗАО "ММА + Фицрой Робинсон Интернэшенл"</v>
          </cell>
        </row>
        <row r="43">
          <cell r="A43" t="str">
            <v>ЗАО "МОСПРОМСТРОЙ" ФИРМА "АРС"</v>
          </cell>
        </row>
        <row r="44">
          <cell r="A44" t="str">
            <v>Архитектурно-проектная мастерская ООО "Малая Студия"</v>
          </cell>
        </row>
        <row r="45">
          <cell r="A45" t="str">
            <v>ООО "ТУКС МОСПРОМСТРОЙ"</v>
          </cell>
        </row>
        <row r="46">
          <cell r="A46" t="str">
            <v>ГУП "МНИИТЭП"</v>
          </cell>
        </row>
        <row r="47">
          <cell r="A47" t="str">
            <v>НПО "КОСМОС"</v>
          </cell>
        </row>
        <row r="48">
          <cell r="A48" t="str">
            <v>ООО "ПРОК - энерго 2001"</v>
          </cell>
        </row>
        <row r="49">
          <cell r="A49" t="str">
            <v>ОАО "УКС НАУКА"</v>
          </cell>
        </row>
        <row r="50">
          <cell r="A50" t="str">
            <v>ГУП "МосводоканалНИИпроект"</v>
          </cell>
        </row>
        <row r="51">
          <cell r="A51" t="str">
            <v>ФГУП «Институт общественных зданий»</v>
          </cell>
        </row>
        <row r="52">
          <cell r="A52" t="str">
            <v>ОАО "СТРОЙПРОЕКТ"</v>
          </cell>
        </row>
        <row r="53">
          <cell r="A53" t="str">
            <v>ЗАО "ИНВЕСТСТРОЙ"</v>
          </cell>
        </row>
        <row r="54">
          <cell r="A54" t="str">
            <v>ЗАО "СТРОЙИНДУСТРИЯ"</v>
          </cell>
        </row>
      </sheetData>
      <sheetData sheetId="4">
        <row r="1">
          <cell r="A1" t="str">
            <v xml:space="preserve"> </v>
          </cell>
        </row>
        <row r="2">
          <cell r="A2" t="str">
            <v>1,1</v>
          </cell>
        </row>
        <row r="3">
          <cell r="A3" t="str">
            <v>1,25</v>
          </cell>
        </row>
        <row r="4">
          <cell r="A4" t="str">
            <v>1,43</v>
          </cell>
        </row>
        <row r="5">
          <cell r="A5" t="str">
            <v>1,67</v>
          </cell>
        </row>
        <row r="6">
          <cell r="A6" t="str">
            <v>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Управление"/>
      <sheetName val="Итоги1"/>
      <sheetName val="Структура1"/>
      <sheetName val="Доходы (исполнение)1"/>
      <sheetName val="Расходы (исполнение)1"/>
      <sheetName val="Доходы (динамика)1"/>
      <sheetName val="Расходы (динамика)1"/>
      <sheetName val="Источники1"/>
      <sheetName val="Диаграммы1"/>
      <sheetName val="Итоги2"/>
      <sheetName val="Структура2"/>
      <sheetName val="Доходы (исполнение)2"/>
      <sheetName val="Расходы (исполнение)2"/>
      <sheetName val="Доходы (динамика)2"/>
      <sheetName val="Расходы (динамика)2"/>
      <sheetName val="Источники2"/>
      <sheetName val="Диаграммы2"/>
      <sheetName val="Итоги3"/>
      <sheetName val="Структура3"/>
      <sheetName val="Доходы (динамика)3"/>
      <sheetName val="Расходы (динамика)3"/>
      <sheetName val="Источники3"/>
      <sheetName val="ПРОГНОЗ_1"/>
      <sheetName val="ФедД"/>
      <sheetName val="Гр5(о)"/>
      <sheetName val="Огл. Графиков"/>
      <sheetName val="рабочий"/>
      <sheetName val="Текущие цены"/>
      <sheetName val="окраска"/>
    </sheetNames>
    <sheetDataSet>
      <sheetData sheetId="0" refreshError="1">
        <row r="17">
          <cell r="AE17">
            <v>8</v>
          </cell>
        </row>
        <row r="20">
          <cell r="AF20" t="str">
            <v>10 месяцев 2002 года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войс"/>
      <sheetName val="База"/>
      <sheetName val="МТСН-98"/>
      <sheetName val="ПНР-МТСН-цена"/>
      <sheetName val="Сист контр"/>
      <sheetName val="Форма 2"/>
      <sheetName val="СФСС"/>
      <sheetName val="Форма 3"/>
      <sheetName val="Смет. ДЦ"/>
      <sheetName val="СК=ресурс"/>
      <sheetName val="Лист1"/>
      <sheetName val="Модуль1"/>
      <sheetName val="Модуль1 (2)"/>
      <sheetName val="Пояснение к расчету - ЖД ПИР"/>
      <sheetName val="Сист_контр"/>
      <sheetName val="Форма_2"/>
      <sheetName val="Форма_3"/>
      <sheetName val="Смет__ДЦ"/>
      <sheetName val="Модуль1_(2)"/>
      <sheetName val="Свод_подробно"/>
      <sheetName val="Коэффициенты"/>
      <sheetName val="Other software VCR"/>
      <sheetName val="автоматизация РД"/>
      <sheetName val="ПИРС-Сириус"/>
      <sheetName val="Структура себестоимости (9  (2)"/>
      <sheetName val="план"/>
      <sheetName val="Лист4"/>
      <sheetName val="Смета 7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войс"/>
      <sheetName val="База"/>
      <sheetName val="МТСН-98"/>
      <sheetName val="ПНР-МТСН-цена"/>
      <sheetName val="Сист контр"/>
      <sheetName val="Форма 2"/>
      <sheetName val="СФСС"/>
      <sheetName val="Форма 3"/>
      <sheetName val="Смет. ДЦ"/>
      <sheetName val="СК=ресурс"/>
      <sheetName val="Лист1"/>
      <sheetName val="Модуль1"/>
      <sheetName val="Модуль1 (2)"/>
      <sheetName val="Сист_контр"/>
      <sheetName val="Форма_2"/>
      <sheetName val="Форма_3"/>
      <sheetName val="Смет__ДЦ"/>
      <sheetName val="Модуль1_(2)"/>
      <sheetName val="ПИРС-Сириус"/>
      <sheetName val="Структура себестоимости (9  (2)"/>
      <sheetName val="Пояснение к расчету - ЖД ПИР"/>
      <sheetName val="Свод_подробно"/>
      <sheetName val="Коэффициенты"/>
      <sheetName val="Other software VCR"/>
      <sheetName val="автоматизация РД"/>
      <sheetName val="план"/>
      <sheetName val="Лист4"/>
      <sheetName val="Смета 7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ф99"/>
      <sheetName val="2002(v2)"/>
      <sheetName val="2004(2,3)"/>
      <sheetName val="2009(2,3) (2)"/>
      <sheetName val="Печ40"/>
      <sheetName val="2002-03(2,3)"/>
      <sheetName val="I"/>
      <sheetName val="2002_v2_"/>
      <sheetName val="Гр5(о)"/>
      <sheetName val="Управление"/>
      <sheetName val="2009(2,3)_(2)"/>
      <sheetName val="Оценка DCF"/>
      <sheetName val="GKN (2)"/>
      <sheetName val="ПЕРЕЧЕНЬ"/>
      <sheetName val="Программа"/>
      <sheetName val="Лист2"/>
      <sheetName val="Предпр.-взвеш. оценка"/>
      <sheetName val="база_сво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Управление"/>
      <sheetName val="Итоги1"/>
      <sheetName val="Структура1"/>
      <sheetName val="Доходы (исполнение)1"/>
      <sheetName val="Расходы (исполнение)1"/>
      <sheetName val="Доходы (динамика)1"/>
      <sheetName val="Расходы (динамика)1"/>
      <sheetName val="Источники1"/>
      <sheetName val="Диаграммы1"/>
      <sheetName val="Итоги2"/>
      <sheetName val="Структура2"/>
      <sheetName val="Доходы (исполнение)2"/>
      <sheetName val="Расходы (исполнение)2"/>
      <sheetName val="Доходы (динамика)2"/>
      <sheetName val="Расходы (динамика)2"/>
      <sheetName val="Источники2"/>
      <sheetName val="Диаграммы2"/>
      <sheetName val="Итоги3"/>
      <sheetName val="Структура3"/>
      <sheetName val="Доходы (динамика)3"/>
      <sheetName val="Расходы (динамика)3"/>
      <sheetName val="Источники3"/>
      <sheetName val="ПРОГНОЗ_1"/>
    </sheetNames>
    <sheetDataSet>
      <sheetData sheetId="0" refreshError="1">
        <row r="17">
          <cell r="AE17">
            <v>8</v>
          </cell>
        </row>
        <row r="20">
          <cell r="AE20" t="str">
            <v>10 месяцев 2003 года</v>
          </cell>
          <cell r="AF20" t="str">
            <v>10 месяцев 2002 года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аза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войс"/>
      <sheetName val="База"/>
      <sheetName val="МТСН-98"/>
      <sheetName val="ПНР-МТСН-цена"/>
      <sheetName val="Сист контр"/>
      <sheetName val="Форма 2"/>
      <sheetName val="СФСС"/>
      <sheetName val="Форма 3"/>
      <sheetName val="Смет. ДЦ"/>
      <sheetName val="СК=ресурс"/>
      <sheetName val="Лист1"/>
      <sheetName val="Модуль1"/>
      <sheetName val="Модуль1 (2)"/>
      <sheetName val="Сист_контр"/>
      <sheetName val="Форма_2"/>
      <sheetName val="Форма_3"/>
      <sheetName val="Смет__ДЦ"/>
      <sheetName val="Модуль1_(2)"/>
      <sheetName val="Пояснение к расчету - ЖД ПИР"/>
      <sheetName val="план"/>
      <sheetName val="Лист4"/>
      <sheetName val="Смета 7"/>
      <sheetName val="Свод_подробно"/>
      <sheetName val="Коэффициенты"/>
      <sheetName val="Other software VCR"/>
      <sheetName val="автоматизация РД"/>
      <sheetName val="ПИРС-Сириус"/>
      <sheetName val="Структура себестоимости (9  (2)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11"/>
  <sheetViews>
    <sheetView tabSelected="1" view="pageBreakPreview" topLeftCell="A10" zoomScaleNormal="100" zoomScaleSheetLayoutView="100" workbookViewId="0">
      <selection activeCell="G28" sqref="G28"/>
    </sheetView>
  </sheetViews>
  <sheetFormatPr defaultColWidth="8.85546875" defaultRowHeight="15"/>
  <cols>
    <col min="1" max="1" width="45.140625" style="1" customWidth="1"/>
    <col min="2" max="2" width="23.140625" style="1" customWidth="1"/>
    <col min="3" max="3" width="26.7109375" style="1" customWidth="1"/>
    <col min="4" max="4" width="18.5703125" style="1" customWidth="1"/>
    <col min="5" max="5" width="27.140625" style="1" customWidth="1"/>
    <col min="6" max="6" width="16.85546875" style="1" customWidth="1"/>
    <col min="7" max="7" width="20.7109375" style="1" customWidth="1"/>
    <col min="8" max="8" width="17.5703125" style="1" customWidth="1"/>
    <col min="9" max="9" width="16.28515625" style="1" customWidth="1"/>
    <col min="10" max="10" width="15.28515625" style="1" customWidth="1"/>
    <col min="11" max="16384" width="8.85546875" style="1"/>
  </cols>
  <sheetData>
    <row r="1" spans="1:7" ht="16.5" customHeight="1">
      <c r="A1" s="93" t="s">
        <v>1</v>
      </c>
      <c r="B1" s="93"/>
      <c r="C1" s="93"/>
      <c r="D1" s="93"/>
      <c r="E1" s="93"/>
    </row>
    <row r="2" spans="1:7" ht="15.75" customHeight="1">
      <c r="A2" s="93" t="s">
        <v>2</v>
      </c>
      <c r="B2" s="93"/>
      <c r="C2" s="93"/>
      <c r="D2" s="93"/>
      <c r="E2" s="93"/>
    </row>
    <row r="3" spans="1:7" ht="61.5" customHeight="1">
      <c r="A3" s="84" t="s">
        <v>35</v>
      </c>
      <c r="B3" s="84"/>
      <c r="C3" s="84"/>
      <c r="D3" s="84"/>
      <c r="E3" s="84"/>
    </row>
    <row r="4" spans="1:7" ht="21.75" customHeight="1">
      <c r="A4" s="48"/>
      <c r="B4" s="48"/>
      <c r="C4" s="48"/>
      <c r="D4" s="48"/>
      <c r="E4" s="48"/>
    </row>
    <row r="5" spans="1:7" s="9" customFormat="1" ht="20.25" customHeight="1">
      <c r="A5" s="37" t="s">
        <v>0</v>
      </c>
      <c r="B5" s="36"/>
      <c r="C5" s="36"/>
      <c r="D5" s="36"/>
      <c r="E5" s="36"/>
    </row>
    <row r="6" spans="1:7" s="9" customFormat="1" ht="19.5" customHeight="1">
      <c r="A6" s="94" t="s">
        <v>26</v>
      </c>
      <c r="B6" s="94"/>
      <c r="C6" s="94"/>
      <c r="D6" s="94"/>
      <c r="E6" s="94"/>
    </row>
    <row r="7" spans="1:7" s="9" customFormat="1" ht="56.25" customHeight="1">
      <c r="A7" s="94" t="s">
        <v>23</v>
      </c>
      <c r="B7" s="94"/>
      <c r="C7" s="94"/>
      <c r="D7" s="94"/>
      <c r="E7" s="94"/>
    </row>
    <row r="8" spans="1:7" ht="20.25" customHeight="1">
      <c r="A8" s="94" t="s">
        <v>25</v>
      </c>
      <c r="B8" s="94"/>
      <c r="C8" s="94"/>
      <c r="D8" s="94"/>
      <c r="E8" s="94"/>
    </row>
    <row r="9" spans="1:7" ht="22.5" customHeight="1">
      <c r="A9" s="46"/>
      <c r="B9" s="46"/>
      <c r="C9" s="46"/>
      <c r="D9" s="46"/>
      <c r="E9" s="46"/>
    </row>
    <row r="10" spans="1:7" ht="75.75" customHeight="1">
      <c r="A10" s="84" t="s">
        <v>121</v>
      </c>
      <c r="B10" s="84"/>
      <c r="C10" s="84"/>
      <c r="D10" s="84"/>
      <c r="E10" s="84"/>
      <c r="F10" s="35"/>
    </row>
    <row r="11" spans="1:7" ht="91.15" customHeight="1">
      <c r="A11" s="47" t="s">
        <v>4</v>
      </c>
      <c r="B11" s="47" t="s">
        <v>27</v>
      </c>
      <c r="C11" s="47" t="s">
        <v>36</v>
      </c>
      <c r="D11" s="15" t="s">
        <v>5</v>
      </c>
      <c r="E11" s="15" t="s">
        <v>22</v>
      </c>
    </row>
    <row r="12" spans="1:7" ht="18.75" customHeight="1">
      <c r="A12" s="47">
        <v>1</v>
      </c>
      <c r="B12" s="47">
        <v>2</v>
      </c>
      <c r="C12" s="47">
        <v>3</v>
      </c>
      <c r="D12" s="47">
        <v>4</v>
      </c>
      <c r="E12" s="20">
        <v>5</v>
      </c>
    </row>
    <row r="13" spans="1:7" s="2" customFormat="1" ht="31.5" customHeight="1">
      <c r="A13" s="10" t="s">
        <v>7</v>
      </c>
      <c r="B13" s="22">
        <v>514775987</v>
      </c>
      <c r="C13" s="22">
        <v>524144910</v>
      </c>
      <c r="D13" s="31">
        <v>1.046</v>
      </c>
      <c r="E13" s="22">
        <v>548255576</v>
      </c>
      <c r="F13" s="78">
        <v>7.4300000000000005E-2</v>
      </c>
      <c r="G13" s="78">
        <v>4.9399999999999999E-2</v>
      </c>
    </row>
    <row r="14" spans="1:7" s="2" customFormat="1" ht="31.5" customHeight="1">
      <c r="A14" s="10"/>
      <c r="B14" s="22"/>
      <c r="C14" s="22"/>
      <c r="D14" s="31"/>
      <c r="E14" s="80">
        <f>F15*F13/1.22</f>
        <v>414362300</v>
      </c>
      <c r="F14" s="77">
        <f>179.64*1000</f>
        <v>179640</v>
      </c>
      <c r="G14" s="77"/>
    </row>
    <row r="15" spans="1:7" s="2" customFormat="1" ht="19.899999999999999" customHeight="1">
      <c r="A15" s="10" t="s">
        <v>6</v>
      </c>
      <c r="B15" s="22">
        <v>6688733333</v>
      </c>
      <c r="C15" s="22">
        <v>6810468280</v>
      </c>
      <c r="D15" s="31">
        <v>1.0871</v>
      </c>
      <c r="E15" s="22">
        <v>7403660067</v>
      </c>
      <c r="F15" s="77">
        <f>E22*F14+F23*E23</f>
        <v>6803795507.5</v>
      </c>
    </row>
    <row r="16" spans="1:7" ht="18.75" customHeight="1">
      <c r="A16" s="65" t="s">
        <v>28</v>
      </c>
      <c r="B16" s="22">
        <v>7203509320</v>
      </c>
      <c r="C16" s="22">
        <v>7334613190</v>
      </c>
      <c r="D16" s="11"/>
      <c r="E16" s="22">
        <v>7951915643</v>
      </c>
    </row>
    <row r="17" spans="1:7" ht="18.75" customHeight="1">
      <c r="A17" s="21" t="s">
        <v>30</v>
      </c>
      <c r="B17" s="22">
        <v>6002924433</v>
      </c>
      <c r="C17" s="22">
        <v>6112177658</v>
      </c>
      <c r="D17" s="22"/>
      <c r="E17" s="22">
        <v>6626596369</v>
      </c>
    </row>
    <row r="18" spans="1:7" ht="18.75" customHeight="1">
      <c r="A18" s="21" t="s">
        <v>29</v>
      </c>
      <c r="B18" s="22">
        <v>7323567808</v>
      </c>
      <c r="C18" s="22">
        <v>7456856743</v>
      </c>
      <c r="D18" s="22"/>
      <c r="E18" s="22">
        <v>8084447570</v>
      </c>
    </row>
    <row r="19" spans="1:7" ht="21" customHeight="1">
      <c r="A19" s="21" t="s">
        <v>31</v>
      </c>
      <c r="B19" s="22">
        <v>1320643375</v>
      </c>
      <c r="C19" s="22">
        <v>1344679085</v>
      </c>
      <c r="D19" s="22"/>
      <c r="E19" s="22">
        <v>1457851200</v>
      </c>
    </row>
    <row r="20" spans="1:7" ht="27" customHeight="1">
      <c r="A20" s="5"/>
      <c r="B20" s="6"/>
      <c r="C20" s="7"/>
      <c r="D20" s="8"/>
      <c r="E20" s="7"/>
    </row>
    <row r="21" spans="1:7" ht="18.75" customHeight="1">
      <c r="A21" s="44" t="s">
        <v>8</v>
      </c>
      <c r="B21" s="6"/>
      <c r="C21" s="7"/>
      <c r="D21" s="8"/>
      <c r="E21" s="7"/>
    </row>
    <row r="22" spans="1:7" ht="18.75" customHeight="1">
      <c r="A22" s="34" t="s">
        <v>9</v>
      </c>
      <c r="B22" s="6"/>
      <c r="C22" s="7"/>
      <c r="D22" s="8"/>
      <c r="E22" s="24">
        <v>34834</v>
      </c>
      <c r="F22" s="83">
        <f>E14*1.22/E22</f>
        <v>14512.32</v>
      </c>
      <c r="G22" s="82">
        <f>E13*1.22/(E22+E23)</f>
        <v>18171.79</v>
      </c>
    </row>
    <row r="23" spans="1:7">
      <c r="A23" s="34" t="s">
        <v>123</v>
      </c>
      <c r="B23" s="6"/>
      <c r="C23" s="7"/>
      <c r="D23" s="8"/>
      <c r="E23" s="7">
        <f>13.25*149</f>
        <v>1974.25</v>
      </c>
      <c r="F23" s="77">
        <f>276.67*1000</f>
        <v>276670</v>
      </c>
    </row>
    <row r="24" spans="1:7">
      <c r="A24" s="34"/>
      <c r="B24" s="6"/>
      <c r="C24" s="7"/>
      <c r="D24" s="8"/>
      <c r="E24" s="7"/>
    </row>
    <row r="25" spans="1:7" ht="18.75" customHeight="1">
      <c r="A25" s="33" t="s">
        <v>10</v>
      </c>
      <c r="B25" s="6"/>
      <c r="C25" s="7"/>
      <c r="D25" s="8"/>
      <c r="E25" s="43">
        <v>45870</v>
      </c>
    </row>
    <row r="26" spans="1:7" ht="16.899999999999999" customHeight="1">
      <c r="A26" s="33" t="s">
        <v>11</v>
      </c>
      <c r="B26" s="6"/>
      <c r="C26" s="7"/>
      <c r="D26" s="8"/>
      <c r="E26" s="43">
        <v>45992</v>
      </c>
    </row>
    <row r="27" spans="1:7">
      <c r="A27" s="5"/>
      <c r="B27" s="6"/>
      <c r="C27" s="7"/>
      <c r="D27" s="8"/>
      <c r="E27" s="7"/>
    </row>
    <row r="28" spans="1:7" ht="18.75" customHeight="1">
      <c r="A28" s="85" t="s">
        <v>37</v>
      </c>
      <c r="B28" s="85"/>
      <c r="C28" s="7"/>
      <c r="D28" s="8"/>
      <c r="E28" s="30">
        <v>1.0182</v>
      </c>
    </row>
    <row r="29" spans="1:7">
      <c r="A29" s="52"/>
      <c r="B29" s="52"/>
      <c r="C29" s="7"/>
      <c r="D29" s="8"/>
      <c r="E29" s="24"/>
    </row>
    <row r="30" spans="1:7" ht="15" customHeight="1">
      <c r="A30" s="86" t="s">
        <v>38</v>
      </c>
      <c r="B30" s="86"/>
      <c r="C30" s="86"/>
      <c r="D30" s="86"/>
      <c r="E30" s="86"/>
    </row>
    <row r="31" spans="1:7" ht="18.75" customHeight="1">
      <c r="A31" s="44"/>
      <c r="B31" s="44"/>
      <c r="C31" s="44"/>
      <c r="D31" s="44"/>
      <c r="E31" s="44"/>
    </row>
    <row r="32" spans="1:7" ht="18.75" customHeight="1">
      <c r="A32" s="52" t="s">
        <v>12</v>
      </c>
      <c r="B32" s="6"/>
      <c r="C32" s="7"/>
      <c r="D32" s="8"/>
      <c r="E32" s="29">
        <v>18</v>
      </c>
    </row>
    <row r="33" spans="1:6" ht="16.899999999999999" customHeight="1">
      <c r="A33" s="33" t="s">
        <v>13</v>
      </c>
      <c r="B33" s="6"/>
      <c r="C33" s="7"/>
      <c r="D33" s="8"/>
      <c r="E33" s="28">
        <v>46082</v>
      </c>
      <c r="F33" s="26"/>
    </row>
    <row r="34" spans="1:6" ht="18" customHeight="1">
      <c r="A34" s="33" t="s">
        <v>14</v>
      </c>
      <c r="B34" s="6"/>
      <c r="C34" s="7"/>
      <c r="D34" s="8"/>
      <c r="E34" s="28">
        <v>46630</v>
      </c>
      <c r="F34" s="26"/>
    </row>
    <row r="35" spans="1:6">
      <c r="A35" s="5"/>
      <c r="B35" s="6"/>
      <c r="C35" s="7"/>
      <c r="D35" s="32" t="s">
        <v>15</v>
      </c>
      <c r="E35" s="7"/>
    </row>
    <row r="36" spans="1:6" ht="18.75" customHeight="1">
      <c r="A36" s="85" t="s">
        <v>124</v>
      </c>
      <c r="B36" s="85"/>
      <c r="C36" s="7"/>
      <c r="D36" s="25">
        <v>10</v>
      </c>
      <c r="E36" s="23">
        <v>0.56000000000000005</v>
      </c>
    </row>
    <row r="37" spans="1:6" ht="18.75" customHeight="1">
      <c r="A37" s="85" t="s">
        <v>125</v>
      </c>
      <c r="B37" s="85"/>
      <c r="C37" s="7"/>
      <c r="D37" s="25">
        <v>8</v>
      </c>
      <c r="E37" s="23">
        <v>0.44</v>
      </c>
    </row>
    <row r="38" spans="1:6" ht="18.75" customHeight="1">
      <c r="A38" s="33" t="s">
        <v>39</v>
      </c>
      <c r="B38" s="6"/>
      <c r="C38" s="7"/>
      <c r="D38" s="8"/>
      <c r="E38" s="30">
        <v>1.0309999999999999</v>
      </c>
    </row>
    <row r="39" spans="1:6" ht="18.75" customHeight="1">
      <c r="A39" s="33" t="s">
        <v>40</v>
      </c>
      <c r="B39" s="6"/>
      <c r="C39" s="7"/>
      <c r="D39" s="8"/>
      <c r="E39" s="30">
        <v>1.0651999999999999</v>
      </c>
    </row>
    <row r="40" spans="1:6">
      <c r="A40" s="33" t="s">
        <v>126</v>
      </c>
      <c r="B40" s="6"/>
      <c r="C40" s="7"/>
      <c r="D40" s="8"/>
      <c r="E40" s="30">
        <v>1.046</v>
      </c>
      <c r="F40" s="53"/>
    </row>
    <row r="41" spans="1:6">
      <c r="A41" s="5"/>
      <c r="B41" s="6"/>
      <c r="C41" s="7"/>
      <c r="D41" s="8"/>
      <c r="E41" s="7"/>
    </row>
    <row r="42" spans="1:6">
      <c r="A42" s="52" t="s">
        <v>16</v>
      </c>
      <c r="B42" s="6"/>
      <c r="C42" s="7"/>
      <c r="D42" s="8"/>
      <c r="E42" s="29">
        <v>25</v>
      </c>
      <c r="F42" s="18"/>
    </row>
    <row r="43" spans="1:6">
      <c r="A43" s="33" t="s">
        <v>17</v>
      </c>
      <c r="B43" s="6"/>
      <c r="C43" s="7"/>
      <c r="D43" s="8"/>
      <c r="E43" s="28">
        <v>46266</v>
      </c>
      <c r="F43" s="26"/>
    </row>
    <row r="44" spans="1:6">
      <c r="A44" s="33" t="s">
        <v>18</v>
      </c>
      <c r="B44" s="6"/>
      <c r="C44" s="7"/>
      <c r="D44" s="8"/>
      <c r="E44" s="28">
        <v>47007</v>
      </c>
      <c r="F44" s="26"/>
    </row>
    <row r="45" spans="1:6">
      <c r="A45" s="5"/>
      <c r="B45" s="6"/>
      <c r="C45" s="7"/>
      <c r="D45" s="32" t="s">
        <v>15</v>
      </c>
      <c r="E45" s="7"/>
    </row>
    <row r="46" spans="1:6" ht="18.75" customHeight="1">
      <c r="A46" s="85" t="s">
        <v>127</v>
      </c>
      <c r="B46" s="85"/>
      <c r="C46" s="7"/>
      <c r="D46" s="25">
        <v>4</v>
      </c>
      <c r="E46" s="23">
        <v>0.16</v>
      </c>
    </row>
    <row r="47" spans="1:6" ht="18.75" customHeight="1">
      <c r="A47" s="85" t="s">
        <v>128</v>
      </c>
      <c r="B47" s="85"/>
      <c r="C47" s="7"/>
      <c r="D47" s="25">
        <v>12</v>
      </c>
      <c r="E47" s="23">
        <v>0.48</v>
      </c>
    </row>
    <row r="48" spans="1:6" ht="18.75" customHeight="1">
      <c r="A48" s="85" t="s">
        <v>129</v>
      </c>
      <c r="B48" s="85"/>
      <c r="C48" s="7"/>
      <c r="D48" s="25">
        <v>9</v>
      </c>
      <c r="E48" s="23">
        <v>0.36</v>
      </c>
    </row>
    <row r="49" spans="1:10" ht="18.75" customHeight="1">
      <c r="A49" s="33" t="s">
        <v>41</v>
      </c>
      <c r="B49" s="6"/>
      <c r="C49" s="7"/>
      <c r="D49" s="8"/>
      <c r="E49" s="30">
        <v>1.0435000000000001</v>
      </c>
      <c r="F49" s="55"/>
    </row>
    <row r="50" spans="1:10" ht="18.75" customHeight="1">
      <c r="A50" s="33" t="s">
        <v>42</v>
      </c>
      <c r="B50" s="6"/>
      <c r="C50" s="7"/>
      <c r="D50" s="8"/>
      <c r="E50" s="30">
        <v>1.0763</v>
      </c>
      <c r="F50" s="55"/>
    </row>
    <row r="51" spans="1:10" ht="20.25" customHeight="1">
      <c r="A51" s="33" t="s">
        <v>43</v>
      </c>
      <c r="B51" s="6"/>
      <c r="C51" s="7"/>
      <c r="D51" s="8"/>
      <c r="E51" s="30">
        <v>1.1208</v>
      </c>
    </row>
    <row r="52" spans="1:10" ht="18" customHeight="1">
      <c r="A52" s="33" t="s">
        <v>130</v>
      </c>
      <c r="B52" s="6"/>
      <c r="C52" s="7"/>
      <c r="D52" s="8"/>
      <c r="E52" s="30">
        <v>1.0871</v>
      </c>
      <c r="F52" s="53"/>
    </row>
    <row r="53" spans="1:10" ht="20.25" customHeight="1">
      <c r="A53" s="5"/>
      <c r="B53" s="6"/>
      <c r="C53" s="7"/>
      <c r="D53" s="8"/>
      <c r="E53" s="7"/>
    </row>
    <row r="54" spans="1:10" ht="78" customHeight="1">
      <c r="A54" s="84" t="s">
        <v>103</v>
      </c>
      <c r="B54" s="84"/>
      <c r="C54" s="84"/>
      <c r="D54" s="84"/>
      <c r="E54" s="84"/>
      <c r="F54" s="35"/>
    </row>
    <row r="55" spans="1:10" ht="91.15" customHeight="1">
      <c r="A55" s="47" t="s">
        <v>4</v>
      </c>
      <c r="B55" s="47" t="s">
        <v>27</v>
      </c>
      <c r="C55" s="47" t="s">
        <v>36</v>
      </c>
      <c r="D55" s="15" t="s">
        <v>5</v>
      </c>
      <c r="E55" s="15" t="s">
        <v>22</v>
      </c>
    </row>
    <row r="56" spans="1:10" ht="18.75" customHeight="1">
      <c r="A56" s="47">
        <v>1</v>
      </c>
      <c r="B56" s="47">
        <v>2</v>
      </c>
      <c r="C56" s="47">
        <v>3</v>
      </c>
      <c r="D56" s="47">
        <v>4</v>
      </c>
      <c r="E56" s="20">
        <v>5</v>
      </c>
      <c r="I56" s="81"/>
    </row>
    <row r="57" spans="1:10" s="2" customFormat="1" ht="27" customHeight="1">
      <c r="A57" s="10" t="s">
        <v>7</v>
      </c>
      <c r="B57" s="22">
        <v>1153522496</v>
      </c>
      <c r="C57" s="22">
        <v>1174516605</v>
      </c>
      <c r="D57" s="31">
        <v>1.1045</v>
      </c>
      <c r="E57" s="22">
        <v>1297253590</v>
      </c>
      <c r="F57" s="78">
        <v>7.4300000000000005E-2</v>
      </c>
      <c r="G57" s="79"/>
      <c r="J57" s="79"/>
    </row>
    <row r="58" spans="1:10" s="2" customFormat="1" ht="27" customHeight="1">
      <c r="A58" s="10"/>
      <c r="B58" s="22"/>
      <c r="C58" s="22"/>
      <c r="D58" s="31"/>
      <c r="E58" s="80">
        <f>F59*F57/1.22</f>
        <v>923459308</v>
      </c>
      <c r="F58" s="77">
        <f>179.64*1000</f>
        <v>179640</v>
      </c>
      <c r="G58" s="77"/>
      <c r="H58" s="78"/>
      <c r="I58" s="79"/>
      <c r="J58" s="79"/>
    </row>
    <row r="59" spans="1:10" s="2" customFormat="1" ht="25.9" customHeight="1">
      <c r="A59" s="10" t="s">
        <v>6</v>
      </c>
      <c r="B59" s="22">
        <v>14881729683</v>
      </c>
      <c r="C59" s="22">
        <v>15152577163</v>
      </c>
      <c r="D59" s="31">
        <v>1.1560999999999999</v>
      </c>
      <c r="E59" s="22">
        <v>17517894458</v>
      </c>
      <c r="F59" s="77">
        <f>E66*F58+F67*E67</f>
        <v>15163127260</v>
      </c>
    </row>
    <row r="60" spans="1:10" ht="18.75" customHeight="1">
      <c r="A60" s="65" t="s">
        <v>28</v>
      </c>
      <c r="B60" s="22">
        <v>16035252179</v>
      </c>
      <c r="C60" s="22">
        <v>16327093768</v>
      </c>
      <c r="D60" s="11"/>
      <c r="E60" s="22">
        <v>18815148048</v>
      </c>
    </row>
    <row r="61" spans="1:10" ht="18.75" customHeight="1">
      <c r="A61" s="21" t="s">
        <v>30</v>
      </c>
      <c r="B61" s="22">
        <v>13362710149</v>
      </c>
      <c r="C61" s="22">
        <v>13605911473</v>
      </c>
      <c r="D61" s="22"/>
      <c r="E61" s="22">
        <v>15679290040</v>
      </c>
    </row>
    <row r="62" spans="1:10" ht="18.75" customHeight="1">
      <c r="A62" s="21" t="s">
        <v>29</v>
      </c>
      <c r="B62" s="22">
        <v>16302506382</v>
      </c>
      <c r="C62" s="22">
        <v>16599211997</v>
      </c>
      <c r="D62" s="22"/>
      <c r="E62" s="22">
        <v>19128733849</v>
      </c>
    </row>
    <row r="63" spans="1:10" ht="21" customHeight="1">
      <c r="A63" s="21" t="s">
        <v>31</v>
      </c>
      <c r="B63" s="22">
        <v>2939796233</v>
      </c>
      <c r="C63" s="22">
        <v>2993300524</v>
      </c>
      <c r="D63" s="22"/>
      <c r="E63" s="22">
        <v>3449443808</v>
      </c>
    </row>
    <row r="64" spans="1:10" ht="12.75" customHeight="1">
      <c r="A64" s="5"/>
      <c r="B64" s="6"/>
      <c r="C64" s="7"/>
      <c r="D64" s="8"/>
      <c r="E64" s="7"/>
    </row>
    <row r="65" spans="1:7" ht="18.75" customHeight="1">
      <c r="A65" s="44" t="s">
        <v>8</v>
      </c>
      <c r="B65" s="6"/>
      <c r="C65" s="7"/>
      <c r="D65" s="8"/>
      <c r="E65" s="7"/>
    </row>
    <row r="66" spans="1:7" ht="18.75" customHeight="1">
      <c r="A66" s="34" t="s">
        <v>9</v>
      </c>
      <c r="B66" s="6"/>
      <c r="C66" s="7"/>
      <c r="D66" s="8"/>
      <c r="E66" s="24">
        <v>78368</v>
      </c>
      <c r="F66" s="83">
        <f>E58*1.22/E66</f>
        <v>14376.03</v>
      </c>
      <c r="G66" s="82">
        <f>E57*1.22/(E66+E67)</f>
        <v>19232.580000000002</v>
      </c>
    </row>
    <row r="67" spans="1:7">
      <c r="A67" s="34" t="s">
        <v>131</v>
      </c>
      <c r="B67" s="6"/>
      <c r="C67" s="7"/>
      <c r="D67" s="8"/>
      <c r="E67" s="7">
        <f>13.25*296</f>
        <v>3922</v>
      </c>
      <c r="F67" s="77">
        <f>276.67*1000</f>
        <v>276670</v>
      </c>
    </row>
    <row r="68" spans="1:7">
      <c r="A68" s="34"/>
      <c r="B68" s="6"/>
      <c r="C68" s="7"/>
      <c r="D68" s="8"/>
      <c r="E68" s="7"/>
    </row>
    <row r="69" spans="1:7">
      <c r="A69" s="33" t="s">
        <v>10</v>
      </c>
      <c r="B69" s="6"/>
      <c r="C69" s="7"/>
      <c r="D69" s="8"/>
      <c r="E69" s="43">
        <v>45870</v>
      </c>
    </row>
    <row r="70" spans="1:7">
      <c r="A70" s="33" t="s">
        <v>11</v>
      </c>
      <c r="B70" s="6"/>
      <c r="C70" s="7"/>
      <c r="D70" s="8"/>
      <c r="E70" s="43">
        <v>45992</v>
      </c>
    </row>
    <row r="71" spans="1:7">
      <c r="A71" s="5"/>
      <c r="B71" s="6"/>
      <c r="C71" s="7"/>
      <c r="D71" s="8"/>
      <c r="E71" s="7"/>
    </row>
    <row r="72" spans="1:7" ht="15" customHeight="1">
      <c r="A72" s="85" t="s">
        <v>37</v>
      </c>
      <c r="B72" s="85"/>
      <c r="C72" s="7"/>
      <c r="D72" s="8"/>
      <c r="E72" s="30">
        <v>1.0182</v>
      </c>
    </row>
    <row r="73" spans="1:7">
      <c r="A73" s="52"/>
      <c r="B73" s="52"/>
      <c r="C73" s="7"/>
      <c r="D73" s="8"/>
      <c r="E73" s="24"/>
    </row>
    <row r="74" spans="1:7" ht="15" customHeight="1">
      <c r="A74" s="86" t="s">
        <v>38</v>
      </c>
      <c r="B74" s="86"/>
      <c r="C74" s="86"/>
      <c r="D74" s="86"/>
      <c r="E74" s="86"/>
    </row>
    <row r="75" spans="1:7">
      <c r="A75" s="44"/>
      <c r="B75" s="44"/>
      <c r="C75" s="44"/>
      <c r="D75" s="44"/>
      <c r="E75" s="44"/>
    </row>
    <row r="76" spans="1:7" ht="18.75" customHeight="1">
      <c r="A76" s="52" t="s">
        <v>12</v>
      </c>
      <c r="B76" s="6"/>
      <c r="C76" s="7"/>
      <c r="D76" s="8"/>
      <c r="E76" s="29">
        <v>18</v>
      </c>
    </row>
    <row r="77" spans="1:7" ht="16.899999999999999" customHeight="1">
      <c r="A77" s="33" t="s">
        <v>13</v>
      </c>
      <c r="B77" s="6"/>
      <c r="C77" s="7"/>
      <c r="D77" s="8"/>
      <c r="E77" s="28">
        <v>46508</v>
      </c>
      <c r="F77" s="26"/>
    </row>
    <row r="78" spans="1:7" ht="18" customHeight="1">
      <c r="A78" s="33" t="s">
        <v>14</v>
      </c>
      <c r="B78" s="6"/>
      <c r="C78" s="7"/>
      <c r="D78" s="8"/>
      <c r="E78" s="28">
        <v>47057</v>
      </c>
      <c r="F78" s="26"/>
    </row>
    <row r="79" spans="1:7">
      <c r="A79" s="5"/>
      <c r="B79" s="6"/>
      <c r="C79" s="7"/>
      <c r="D79" s="32" t="s">
        <v>15</v>
      </c>
      <c r="E79" s="7"/>
    </row>
    <row r="80" spans="1:7" ht="18.75" customHeight="1">
      <c r="A80" s="85" t="s">
        <v>132</v>
      </c>
      <c r="B80" s="85"/>
      <c r="C80" s="7"/>
      <c r="D80" s="25">
        <v>8</v>
      </c>
      <c r="E80" s="23">
        <v>0.44</v>
      </c>
    </row>
    <row r="81" spans="1:6" ht="18.75" customHeight="1">
      <c r="A81" s="85" t="s">
        <v>133</v>
      </c>
      <c r="B81" s="85"/>
      <c r="C81" s="7"/>
      <c r="D81" s="25">
        <v>10</v>
      </c>
      <c r="E81" s="23">
        <v>0.56000000000000005</v>
      </c>
    </row>
    <row r="82" spans="1:6" ht="18.75" customHeight="1">
      <c r="A82" s="33" t="s">
        <v>44</v>
      </c>
      <c r="B82" s="6"/>
      <c r="C82" s="7"/>
      <c r="D82" s="8"/>
      <c r="E82" s="30">
        <v>1.0831</v>
      </c>
    </row>
    <row r="83" spans="1:6" ht="18.75" customHeight="1">
      <c r="A83" s="33" t="s">
        <v>45</v>
      </c>
      <c r="B83" s="6"/>
      <c r="C83" s="7"/>
      <c r="D83" s="8"/>
      <c r="E83" s="30">
        <v>1.1213</v>
      </c>
    </row>
    <row r="84" spans="1:6">
      <c r="A84" s="33" t="s">
        <v>134</v>
      </c>
      <c r="B84" s="6"/>
      <c r="C84" s="7"/>
      <c r="D84" s="8"/>
      <c r="E84" s="30">
        <v>1.1045</v>
      </c>
      <c r="F84" s="53"/>
    </row>
    <row r="85" spans="1:6">
      <c r="A85" s="5"/>
      <c r="B85" s="6"/>
      <c r="C85" s="7"/>
      <c r="D85" s="8"/>
      <c r="E85" s="7"/>
    </row>
    <row r="86" spans="1:6" ht="18.75" customHeight="1">
      <c r="A86" s="52" t="s">
        <v>16</v>
      </c>
      <c r="B86" s="6"/>
      <c r="C86" s="7"/>
      <c r="D86" s="8"/>
      <c r="E86" s="29">
        <v>29</v>
      </c>
      <c r="F86" s="18"/>
    </row>
    <row r="87" spans="1:6">
      <c r="A87" s="33" t="s">
        <v>17</v>
      </c>
      <c r="B87" s="6"/>
      <c r="C87" s="7"/>
      <c r="D87" s="8"/>
      <c r="E87" s="54">
        <v>46692</v>
      </c>
      <c r="F87" s="26"/>
    </row>
    <row r="88" spans="1:6">
      <c r="A88" s="33" t="s">
        <v>18</v>
      </c>
      <c r="B88" s="6"/>
      <c r="C88" s="7"/>
      <c r="D88" s="8"/>
      <c r="E88" s="28">
        <v>47554</v>
      </c>
      <c r="F88" s="26"/>
    </row>
    <row r="89" spans="1:6">
      <c r="A89" s="5"/>
      <c r="B89" s="6"/>
      <c r="C89" s="7"/>
      <c r="D89" s="32" t="s">
        <v>15</v>
      </c>
      <c r="E89" s="7"/>
    </row>
    <row r="90" spans="1:6" ht="18.75" customHeight="1">
      <c r="A90" s="85" t="s">
        <v>135</v>
      </c>
      <c r="B90" s="85"/>
      <c r="C90" s="7"/>
      <c r="D90" s="25">
        <v>2</v>
      </c>
      <c r="E90" s="66">
        <v>6.9000000000000006E-2</v>
      </c>
    </row>
    <row r="91" spans="1:6" ht="15" customHeight="1">
      <c r="A91" s="85" t="s">
        <v>136</v>
      </c>
      <c r="B91" s="85"/>
      <c r="C91" s="7"/>
      <c r="D91" s="25">
        <v>12</v>
      </c>
      <c r="E91" s="66">
        <v>0.41399999999999998</v>
      </c>
    </row>
    <row r="92" spans="1:6" ht="18.75" customHeight="1">
      <c r="A92" s="85" t="s">
        <v>137</v>
      </c>
      <c r="B92" s="85"/>
      <c r="C92" s="7"/>
      <c r="D92" s="25">
        <v>12</v>
      </c>
      <c r="E92" s="66">
        <v>0.41399999999999998</v>
      </c>
    </row>
    <row r="93" spans="1:6" ht="18.75" customHeight="1">
      <c r="A93" s="85" t="s">
        <v>138</v>
      </c>
      <c r="B93" s="85"/>
      <c r="C93" s="7"/>
      <c r="D93" s="25">
        <v>3</v>
      </c>
      <c r="E93" s="66">
        <v>0.10299999999999999</v>
      </c>
    </row>
    <row r="94" spans="1:6" ht="18.75" customHeight="1">
      <c r="A94" s="33" t="s">
        <v>46</v>
      </c>
      <c r="B94" s="6"/>
      <c r="C94" s="7"/>
      <c r="D94" s="8"/>
      <c r="E94" s="30">
        <v>1.0956999999999999</v>
      </c>
    </row>
    <row r="95" spans="1:6" ht="18.75" customHeight="1">
      <c r="A95" s="33" t="s">
        <v>47</v>
      </c>
      <c r="B95" s="6"/>
      <c r="C95" s="7"/>
      <c r="D95" s="8"/>
      <c r="E95" s="30">
        <v>1.1274</v>
      </c>
    </row>
    <row r="96" spans="1:6" ht="18.75" customHeight="1">
      <c r="A96" s="33" t="s">
        <v>48</v>
      </c>
      <c r="B96" s="6"/>
      <c r="C96" s="7"/>
      <c r="D96" s="8"/>
      <c r="E96" s="30">
        <v>1.1802999999999999</v>
      </c>
    </row>
    <row r="97" spans="1:7" ht="18.75" customHeight="1">
      <c r="A97" s="33" t="s">
        <v>49</v>
      </c>
      <c r="B97" s="6"/>
      <c r="C97" s="7"/>
      <c r="D97" s="8"/>
      <c r="E97" s="30">
        <v>1.2146999999999999</v>
      </c>
    </row>
    <row r="98" spans="1:7">
      <c r="A98" s="33" t="s">
        <v>139</v>
      </c>
      <c r="B98" s="6"/>
      <c r="C98" s="7"/>
      <c r="D98" s="8"/>
      <c r="E98" s="30">
        <v>1.1560999999999999</v>
      </c>
      <c r="F98" s="53"/>
    </row>
    <row r="99" spans="1:7" ht="18.75" customHeight="1">
      <c r="A99" s="5"/>
      <c r="B99" s="6"/>
      <c r="C99" s="7"/>
      <c r="D99" s="8"/>
      <c r="E99" s="7"/>
    </row>
    <row r="100" spans="1:7" ht="72" customHeight="1">
      <c r="A100" s="84" t="s">
        <v>104</v>
      </c>
      <c r="B100" s="84"/>
      <c r="C100" s="84"/>
      <c r="D100" s="84"/>
      <c r="E100" s="84"/>
      <c r="F100" s="35"/>
    </row>
    <row r="101" spans="1:7" ht="91.15" customHeight="1">
      <c r="A101" s="47" t="s">
        <v>4</v>
      </c>
      <c r="B101" s="47" t="s">
        <v>27</v>
      </c>
      <c r="C101" s="47" t="s">
        <v>36</v>
      </c>
      <c r="D101" s="15" t="s">
        <v>5</v>
      </c>
      <c r="E101" s="15" t="s">
        <v>22</v>
      </c>
    </row>
    <row r="102" spans="1:7" ht="18.75" customHeight="1">
      <c r="A102" s="47">
        <v>1</v>
      </c>
      <c r="B102" s="47">
        <v>2</v>
      </c>
      <c r="C102" s="47">
        <v>3</v>
      </c>
      <c r="D102" s="47">
        <v>4</v>
      </c>
      <c r="E102" s="20">
        <v>5</v>
      </c>
    </row>
    <row r="103" spans="1:7" s="2" customFormat="1" ht="27" customHeight="1">
      <c r="A103" s="10" t="s">
        <v>7</v>
      </c>
      <c r="B103" s="22">
        <v>164905588</v>
      </c>
      <c r="C103" s="22">
        <v>167906870</v>
      </c>
      <c r="D103" s="31">
        <v>1.046</v>
      </c>
      <c r="E103" s="22">
        <v>175630586</v>
      </c>
      <c r="F103" s="78">
        <v>7.4300000000000005E-2</v>
      </c>
      <c r="G103" s="79"/>
    </row>
    <row r="104" spans="1:7" s="2" customFormat="1" ht="27" customHeight="1">
      <c r="A104" s="10"/>
      <c r="B104" s="22"/>
      <c r="C104" s="22"/>
      <c r="D104" s="31"/>
      <c r="E104" s="80">
        <f>F105*F103/1.22</f>
        <v>121538256</v>
      </c>
      <c r="F104" s="77">
        <f>179.64*1000</f>
        <v>179640</v>
      </c>
      <c r="G104" s="77"/>
    </row>
    <row r="105" spans="1:7" s="2" customFormat="1" ht="25.9" customHeight="1">
      <c r="A105" s="10" t="s">
        <v>6</v>
      </c>
      <c r="B105" s="22">
        <v>2029788114</v>
      </c>
      <c r="C105" s="22">
        <v>2066730258</v>
      </c>
      <c r="D105" s="31">
        <v>1.0780000000000001</v>
      </c>
      <c r="E105" s="22">
        <v>2227935218</v>
      </c>
      <c r="F105" s="77">
        <f>E112*F104+F113*E113</f>
        <v>1995648350</v>
      </c>
    </row>
    <row r="106" spans="1:7" ht="18.75" customHeight="1">
      <c r="A106" s="65" t="s">
        <v>28</v>
      </c>
      <c r="B106" s="22">
        <v>2194693702</v>
      </c>
      <c r="C106" s="22">
        <v>2234637128</v>
      </c>
      <c r="D106" s="11"/>
      <c r="E106" s="22">
        <v>2403565804</v>
      </c>
    </row>
    <row r="107" spans="1:7" ht="18.75" customHeight="1">
      <c r="A107" s="21" t="s">
        <v>30</v>
      </c>
      <c r="B107" s="22">
        <v>1828911418</v>
      </c>
      <c r="C107" s="22">
        <v>1862197607</v>
      </c>
      <c r="D107" s="22"/>
      <c r="E107" s="22">
        <v>2002971503</v>
      </c>
    </row>
    <row r="108" spans="1:7" ht="18.75" customHeight="1">
      <c r="A108" s="21" t="s">
        <v>29</v>
      </c>
      <c r="B108" s="22">
        <v>2231271930</v>
      </c>
      <c r="C108" s="22">
        <v>2271881081</v>
      </c>
      <c r="D108" s="22"/>
      <c r="E108" s="22">
        <v>2443625234</v>
      </c>
    </row>
    <row r="109" spans="1:7" ht="21" customHeight="1">
      <c r="A109" s="21" t="s">
        <v>31</v>
      </c>
      <c r="B109" s="22">
        <v>402360512</v>
      </c>
      <c r="C109" s="22">
        <v>409683474</v>
      </c>
      <c r="D109" s="22"/>
      <c r="E109" s="22">
        <v>440653730</v>
      </c>
    </row>
    <row r="110" spans="1:7">
      <c r="A110" s="5"/>
      <c r="B110" s="6"/>
      <c r="C110" s="7"/>
      <c r="D110" s="8"/>
      <c r="E110" s="7"/>
    </row>
    <row r="111" spans="1:7" ht="18.75" customHeight="1">
      <c r="A111" s="44" t="s">
        <v>8</v>
      </c>
      <c r="B111" s="6"/>
      <c r="C111" s="7"/>
      <c r="D111" s="8"/>
      <c r="E111" s="7"/>
    </row>
    <row r="112" spans="1:7">
      <c r="A112" s="34" t="s">
        <v>9</v>
      </c>
      <c r="B112" s="6"/>
      <c r="C112" s="7"/>
      <c r="D112" s="8"/>
      <c r="E112" s="24">
        <v>10048</v>
      </c>
      <c r="F112" s="83">
        <f>E104*1.22/E112</f>
        <v>14756.83</v>
      </c>
      <c r="G112" s="82">
        <f>E103*1.22/(E112+E113)</f>
        <v>19956.16</v>
      </c>
    </row>
    <row r="113" spans="1:6">
      <c r="A113" s="34" t="s">
        <v>140</v>
      </c>
      <c r="B113" s="6"/>
      <c r="C113" s="7"/>
      <c r="D113" s="8"/>
      <c r="E113" s="7">
        <f>13.25*52</f>
        <v>689</v>
      </c>
      <c r="F113" s="77">
        <f>276.67*1000</f>
        <v>276670</v>
      </c>
    </row>
    <row r="114" spans="1:6">
      <c r="A114" s="34"/>
      <c r="B114" s="6"/>
      <c r="C114" s="7"/>
      <c r="D114" s="8"/>
      <c r="E114" s="7"/>
    </row>
    <row r="115" spans="1:6">
      <c r="A115" s="33" t="s">
        <v>10</v>
      </c>
      <c r="B115" s="6"/>
      <c r="C115" s="7"/>
      <c r="D115" s="8"/>
      <c r="E115" s="43">
        <v>45870</v>
      </c>
    </row>
    <row r="116" spans="1:6">
      <c r="A116" s="33" t="s">
        <v>11</v>
      </c>
      <c r="B116" s="6"/>
      <c r="C116" s="7"/>
      <c r="D116" s="8"/>
      <c r="E116" s="43">
        <v>45992</v>
      </c>
    </row>
    <row r="117" spans="1:6">
      <c r="A117" s="5"/>
      <c r="B117" s="6"/>
      <c r="C117" s="7"/>
      <c r="D117" s="8"/>
      <c r="E117" s="7"/>
    </row>
    <row r="118" spans="1:6" ht="15" customHeight="1">
      <c r="A118" s="85" t="s">
        <v>37</v>
      </c>
      <c r="B118" s="85"/>
      <c r="C118" s="7"/>
      <c r="D118" s="8"/>
      <c r="E118" s="30">
        <v>1.0182</v>
      </c>
    </row>
    <row r="119" spans="1:6">
      <c r="A119" s="52"/>
      <c r="B119" s="52"/>
      <c r="C119" s="7"/>
      <c r="D119" s="8"/>
      <c r="E119" s="24"/>
    </row>
    <row r="120" spans="1:6" ht="15" customHeight="1">
      <c r="A120" s="86" t="s">
        <v>38</v>
      </c>
      <c r="B120" s="86"/>
      <c r="C120" s="86"/>
      <c r="D120" s="86"/>
      <c r="E120" s="86"/>
    </row>
    <row r="121" spans="1:6">
      <c r="A121" s="44"/>
      <c r="B121" s="44"/>
      <c r="C121" s="44"/>
      <c r="D121" s="44"/>
      <c r="E121" s="44"/>
    </row>
    <row r="122" spans="1:6">
      <c r="A122" s="52" t="s">
        <v>12</v>
      </c>
      <c r="B122" s="6"/>
      <c r="C122" s="7"/>
      <c r="D122" s="8"/>
      <c r="E122" s="29">
        <v>18</v>
      </c>
    </row>
    <row r="123" spans="1:6" ht="16.899999999999999" customHeight="1">
      <c r="A123" s="33" t="s">
        <v>13</v>
      </c>
      <c r="B123" s="6"/>
      <c r="C123" s="7"/>
      <c r="D123" s="8"/>
      <c r="E123" s="28">
        <v>46082</v>
      </c>
      <c r="F123" s="26"/>
    </row>
    <row r="124" spans="1:6" ht="18" customHeight="1">
      <c r="A124" s="33" t="s">
        <v>14</v>
      </c>
      <c r="B124" s="6"/>
      <c r="C124" s="7"/>
      <c r="D124" s="8"/>
      <c r="E124" s="28">
        <v>46630</v>
      </c>
      <c r="F124" s="26"/>
    </row>
    <row r="125" spans="1:6">
      <c r="A125" s="5"/>
      <c r="B125" s="6"/>
      <c r="C125" s="7"/>
      <c r="D125" s="32" t="s">
        <v>15</v>
      </c>
      <c r="E125" s="7"/>
    </row>
    <row r="126" spans="1:6">
      <c r="A126" s="85" t="s">
        <v>124</v>
      </c>
      <c r="B126" s="85"/>
      <c r="C126" s="7"/>
      <c r="D126" s="25">
        <v>10</v>
      </c>
      <c r="E126" s="23">
        <v>0.56000000000000005</v>
      </c>
    </row>
    <row r="127" spans="1:6">
      <c r="A127" s="85" t="s">
        <v>125</v>
      </c>
      <c r="B127" s="85"/>
      <c r="C127" s="7"/>
      <c r="D127" s="25">
        <v>8</v>
      </c>
      <c r="E127" s="23">
        <v>0.44</v>
      </c>
    </row>
    <row r="128" spans="1:6" ht="18.75" customHeight="1">
      <c r="A128" s="33" t="s">
        <v>39</v>
      </c>
      <c r="B128" s="6"/>
      <c r="C128" s="7"/>
      <c r="D128" s="8"/>
      <c r="E128" s="30">
        <v>1.0309999999999999</v>
      </c>
    </row>
    <row r="129" spans="1:6" ht="18.75" customHeight="1">
      <c r="A129" s="33" t="s">
        <v>40</v>
      </c>
      <c r="B129" s="6"/>
      <c r="C129" s="7"/>
      <c r="D129" s="8"/>
      <c r="E129" s="30">
        <v>1.0651999999999999</v>
      </c>
    </row>
    <row r="130" spans="1:6" ht="18.75" customHeight="1">
      <c r="A130" s="33" t="s">
        <v>126</v>
      </c>
      <c r="B130" s="6"/>
      <c r="C130" s="7"/>
      <c r="D130" s="8"/>
      <c r="E130" s="30">
        <v>1.046</v>
      </c>
      <c r="F130" s="53"/>
    </row>
    <row r="131" spans="1:6">
      <c r="A131" s="5"/>
      <c r="B131" s="6"/>
      <c r="C131" s="7"/>
      <c r="D131" s="8"/>
      <c r="E131" s="7"/>
    </row>
    <row r="132" spans="1:6" ht="18.75" customHeight="1">
      <c r="A132" s="52" t="s">
        <v>16</v>
      </c>
      <c r="B132" s="6"/>
      <c r="C132" s="7"/>
      <c r="D132" s="8"/>
      <c r="E132" s="29">
        <v>21</v>
      </c>
      <c r="F132" s="18"/>
    </row>
    <row r="133" spans="1:6" ht="16.899999999999999" customHeight="1">
      <c r="A133" s="33" t="s">
        <v>17</v>
      </c>
      <c r="B133" s="6"/>
      <c r="C133" s="7"/>
      <c r="D133" s="8"/>
      <c r="E133" s="28">
        <v>46266</v>
      </c>
      <c r="F133" s="26"/>
    </row>
    <row r="134" spans="1:6" ht="18" customHeight="1">
      <c r="A134" s="33" t="s">
        <v>18</v>
      </c>
      <c r="B134" s="6"/>
      <c r="C134" s="7"/>
      <c r="D134" s="8"/>
      <c r="E134" s="28">
        <v>46884</v>
      </c>
      <c r="F134" s="26"/>
    </row>
    <row r="135" spans="1:6">
      <c r="A135" s="5"/>
      <c r="B135" s="6"/>
      <c r="C135" s="7"/>
      <c r="D135" s="32" t="s">
        <v>15</v>
      </c>
      <c r="E135" s="7"/>
    </row>
    <row r="136" spans="1:6" ht="18.75" customHeight="1">
      <c r="A136" s="85" t="s">
        <v>141</v>
      </c>
      <c r="B136" s="85"/>
      <c r="C136" s="7"/>
      <c r="D136" s="25">
        <v>4</v>
      </c>
      <c r="E136" s="23">
        <v>0.19</v>
      </c>
    </row>
    <row r="137" spans="1:6" ht="18.75" customHeight="1">
      <c r="A137" s="85" t="s">
        <v>142</v>
      </c>
      <c r="B137" s="85"/>
      <c r="C137" s="7"/>
      <c r="D137" s="25">
        <v>12</v>
      </c>
      <c r="E137" s="23">
        <v>0.56999999999999995</v>
      </c>
    </row>
    <row r="138" spans="1:6" ht="18.75" customHeight="1">
      <c r="A138" s="85" t="s">
        <v>143</v>
      </c>
      <c r="B138" s="85"/>
      <c r="C138" s="7"/>
      <c r="D138" s="25">
        <v>5</v>
      </c>
      <c r="E138" s="23">
        <v>0.24</v>
      </c>
    </row>
    <row r="139" spans="1:6" ht="18.75" customHeight="1">
      <c r="A139" s="33" t="s">
        <v>41</v>
      </c>
      <c r="B139" s="6"/>
      <c r="C139" s="7"/>
      <c r="D139" s="8"/>
      <c r="E139" s="30">
        <v>1.0435000000000001</v>
      </c>
    </row>
    <row r="140" spans="1:6" ht="18.75" customHeight="1">
      <c r="A140" s="33" t="s">
        <v>42</v>
      </c>
      <c r="B140" s="6"/>
      <c r="C140" s="7"/>
      <c r="D140" s="8"/>
      <c r="E140" s="30">
        <v>1.0763</v>
      </c>
    </row>
    <row r="141" spans="1:6" ht="18.75" customHeight="1">
      <c r="A141" s="33" t="s">
        <v>50</v>
      </c>
      <c r="B141" s="6"/>
      <c r="C141" s="7"/>
      <c r="D141" s="8"/>
      <c r="E141" s="30">
        <v>1.1092</v>
      </c>
    </row>
    <row r="142" spans="1:6" ht="18.75" customHeight="1">
      <c r="A142" s="33" t="s">
        <v>144</v>
      </c>
      <c r="B142" s="6"/>
      <c r="C142" s="7"/>
      <c r="D142" s="8"/>
      <c r="E142" s="30">
        <v>1.0780000000000001</v>
      </c>
      <c r="F142" s="53"/>
    </row>
    <row r="143" spans="1:6" ht="18.75" customHeight="1">
      <c r="A143" s="5"/>
      <c r="B143" s="6"/>
      <c r="C143" s="7"/>
      <c r="D143" s="8"/>
      <c r="E143" s="7"/>
    </row>
    <row r="144" spans="1:6" ht="72" customHeight="1">
      <c r="A144" s="84" t="s">
        <v>32</v>
      </c>
      <c r="B144" s="84"/>
      <c r="C144" s="84"/>
      <c r="D144" s="84"/>
      <c r="E144" s="84"/>
      <c r="F144" s="35"/>
    </row>
    <row r="145" spans="1:7" ht="85.5" customHeight="1">
      <c r="A145" s="47" t="s">
        <v>4</v>
      </c>
      <c r="B145" s="47" t="s">
        <v>27</v>
      </c>
      <c r="C145" s="47" t="s">
        <v>36</v>
      </c>
      <c r="D145" s="15" t="s">
        <v>5</v>
      </c>
      <c r="E145" s="15" t="s">
        <v>22</v>
      </c>
    </row>
    <row r="146" spans="1:7" ht="18.75" customHeight="1">
      <c r="A146" s="47">
        <v>1</v>
      </c>
      <c r="B146" s="47">
        <v>2</v>
      </c>
      <c r="C146" s="47">
        <v>3</v>
      </c>
      <c r="D146" s="47">
        <v>4</v>
      </c>
      <c r="E146" s="20">
        <v>5</v>
      </c>
    </row>
    <row r="147" spans="1:7" s="2" customFormat="1" ht="34.5" customHeight="1">
      <c r="A147" s="10" t="s">
        <v>7</v>
      </c>
      <c r="B147" s="22">
        <v>171605375</v>
      </c>
      <c r="C147" s="22">
        <v>174728593</v>
      </c>
      <c r="D147" s="31">
        <v>1.046</v>
      </c>
      <c r="E147" s="22">
        <v>182766108</v>
      </c>
      <c r="F147" s="78">
        <v>7.4300000000000005E-2</v>
      </c>
      <c r="G147" s="79"/>
    </row>
    <row r="148" spans="1:7" s="2" customFormat="1" ht="34.5" customHeight="1">
      <c r="A148" s="10"/>
      <c r="B148" s="22"/>
      <c r="C148" s="22"/>
      <c r="D148" s="31"/>
      <c r="E148" s="80">
        <f>F149*F147/1.22</f>
        <v>133800000</v>
      </c>
      <c r="F148" s="77">
        <f>179.64*1000</f>
        <v>179640</v>
      </c>
      <c r="G148" s="77"/>
    </row>
    <row r="149" spans="1:7" s="2" customFormat="1" ht="25.9" customHeight="1">
      <c r="A149" s="10" t="s">
        <v>6</v>
      </c>
      <c r="B149" s="22">
        <v>2185784823</v>
      </c>
      <c r="C149" s="22">
        <v>2225566107</v>
      </c>
      <c r="D149" s="31">
        <v>1.0780000000000001</v>
      </c>
      <c r="E149" s="22">
        <v>2399160263</v>
      </c>
      <c r="F149" s="77">
        <f>E156*F148+F157*E157</f>
        <v>2196985197.5</v>
      </c>
    </row>
    <row r="150" spans="1:7" ht="18.75" customHeight="1">
      <c r="A150" s="65" t="s">
        <v>28</v>
      </c>
      <c r="B150" s="22">
        <v>2357390198</v>
      </c>
      <c r="C150" s="22">
        <v>2400294700</v>
      </c>
      <c r="D150" s="11"/>
      <c r="E150" s="22">
        <v>2581926371</v>
      </c>
    </row>
    <row r="151" spans="1:7" ht="18.75" customHeight="1">
      <c r="A151" s="21" t="s">
        <v>30</v>
      </c>
      <c r="B151" s="22">
        <v>1964491832</v>
      </c>
      <c r="C151" s="22">
        <v>2000245583</v>
      </c>
      <c r="D151" s="22"/>
      <c r="E151" s="22">
        <v>2151605309</v>
      </c>
    </row>
    <row r="152" spans="1:7" ht="18.75" customHeight="1">
      <c r="A152" s="21" t="s">
        <v>29</v>
      </c>
      <c r="B152" s="22">
        <v>2396680035</v>
      </c>
      <c r="C152" s="22">
        <v>2440299611</v>
      </c>
      <c r="D152" s="22"/>
      <c r="E152" s="22">
        <v>2624958477</v>
      </c>
    </row>
    <row r="153" spans="1:7" ht="21" customHeight="1">
      <c r="A153" s="21" t="s">
        <v>31</v>
      </c>
      <c r="B153" s="22">
        <v>432188203</v>
      </c>
      <c r="C153" s="22">
        <v>440054028</v>
      </c>
      <c r="D153" s="22"/>
      <c r="E153" s="22">
        <v>473353168</v>
      </c>
    </row>
    <row r="154" spans="1:7">
      <c r="A154" s="5"/>
      <c r="B154" s="6"/>
      <c r="C154" s="7"/>
      <c r="D154" s="8"/>
      <c r="E154" s="7"/>
    </row>
    <row r="155" spans="1:7" ht="18.75" customHeight="1">
      <c r="A155" s="44" t="s">
        <v>8</v>
      </c>
      <c r="B155" s="6"/>
      <c r="C155" s="7"/>
      <c r="D155" s="8"/>
      <c r="E155" s="7"/>
    </row>
    <row r="156" spans="1:7" ht="18.75" customHeight="1">
      <c r="A156" s="34" t="s">
        <v>9</v>
      </c>
      <c r="B156" s="6"/>
      <c r="C156" s="7"/>
      <c r="D156" s="8"/>
      <c r="E156" s="24">
        <v>11230</v>
      </c>
      <c r="F156" s="83">
        <f>E148*1.22/E156</f>
        <v>14535.71</v>
      </c>
      <c r="G156" s="82">
        <f>E147*1.22/(E156+E157)</f>
        <v>18770.099999999999</v>
      </c>
    </row>
    <row r="157" spans="1:7">
      <c r="A157" s="34" t="s">
        <v>145</v>
      </c>
      <c r="B157" s="6"/>
      <c r="C157" s="7"/>
      <c r="D157" s="8"/>
      <c r="E157" s="7">
        <f>13.25*49</f>
        <v>649.25</v>
      </c>
      <c r="F157" s="77">
        <f>276.67*1000</f>
        <v>276670</v>
      </c>
    </row>
    <row r="158" spans="1:7">
      <c r="A158" s="34"/>
      <c r="B158" s="6"/>
      <c r="C158" s="7"/>
      <c r="D158" s="8"/>
      <c r="E158" s="7"/>
    </row>
    <row r="159" spans="1:7" ht="18.75" customHeight="1">
      <c r="A159" s="33" t="s">
        <v>10</v>
      </c>
      <c r="B159" s="6"/>
      <c r="C159" s="7"/>
      <c r="D159" s="8"/>
      <c r="E159" s="43">
        <v>45870</v>
      </c>
    </row>
    <row r="160" spans="1:7" ht="16.899999999999999" customHeight="1">
      <c r="A160" s="33" t="s">
        <v>11</v>
      </c>
      <c r="B160" s="6"/>
      <c r="C160" s="7"/>
      <c r="D160" s="8"/>
      <c r="E160" s="43">
        <v>45992</v>
      </c>
    </row>
    <row r="161" spans="1:6">
      <c r="A161" s="5"/>
      <c r="B161" s="6"/>
      <c r="C161" s="7"/>
      <c r="D161" s="8"/>
      <c r="E161" s="7"/>
    </row>
    <row r="162" spans="1:6" ht="15" customHeight="1">
      <c r="A162" s="85" t="s">
        <v>37</v>
      </c>
      <c r="B162" s="85"/>
      <c r="C162" s="7"/>
      <c r="D162" s="8"/>
      <c r="E162" s="30">
        <v>1.0182</v>
      </c>
    </row>
    <row r="163" spans="1:6">
      <c r="A163" s="52"/>
      <c r="B163" s="52"/>
      <c r="C163" s="7"/>
      <c r="D163" s="8"/>
      <c r="E163" s="24"/>
    </row>
    <row r="164" spans="1:6" ht="15" customHeight="1">
      <c r="A164" s="86" t="s">
        <v>38</v>
      </c>
      <c r="B164" s="86"/>
      <c r="C164" s="86"/>
      <c r="D164" s="86"/>
      <c r="E164" s="86"/>
    </row>
    <row r="165" spans="1:6">
      <c r="A165" s="44"/>
      <c r="B165" s="44"/>
      <c r="C165" s="44"/>
      <c r="D165" s="44"/>
      <c r="E165" s="44"/>
    </row>
    <row r="166" spans="1:6" ht="18.75" customHeight="1">
      <c r="A166" s="52" t="s">
        <v>12</v>
      </c>
      <c r="B166" s="6"/>
      <c r="C166" s="7"/>
      <c r="D166" s="8"/>
      <c r="E166" s="64">
        <v>18</v>
      </c>
    </row>
    <row r="167" spans="1:6" ht="16.899999999999999" customHeight="1">
      <c r="A167" s="33" t="s">
        <v>13</v>
      </c>
      <c r="B167" s="6"/>
      <c r="C167" s="7"/>
      <c r="D167" s="8"/>
      <c r="E167" s="28">
        <v>46082</v>
      </c>
      <c r="F167" s="26"/>
    </row>
    <row r="168" spans="1:6" ht="18" customHeight="1">
      <c r="A168" s="33" t="s">
        <v>14</v>
      </c>
      <c r="B168" s="6"/>
      <c r="C168" s="7"/>
      <c r="D168" s="8"/>
      <c r="E168" s="28">
        <v>46630</v>
      </c>
      <c r="F168" s="26"/>
    </row>
    <row r="169" spans="1:6">
      <c r="A169" s="5"/>
      <c r="B169" s="6"/>
      <c r="C169" s="7"/>
      <c r="D169" s="32" t="s">
        <v>15</v>
      </c>
      <c r="E169" s="7"/>
    </row>
    <row r="170" spans="1:6" ht="18.75" customHeight="1">
      <c r="A170" s="85" t="s">
        <v>124</v>
      </c>
      <c r="B170" s="85"/>
      <c r="C170" s="7"/>
      <c r="D170" s="25">
        <v>10</v>
      </c>
      <c r="E170" s="23">
        <v>0.56000000000000005</v>
      </c>
    </row>
    <row r="171" spans="1:6" ht="18.75" customHeight="1">
      <c r="A171" s="85" t="s">
        <v>125</v>
      </c>
      <c r="B171" s="85"/>
      <c r="C171" s="7"/>
      <c r="D171" s="25">
        <v>8</v>
      </c>
      <c r="E171" s="23">
        <v>0.44</v>
      </c>
    </row>
    <row r="172" spans="1:6" ht="18.75" customHeight="1">
      <c r="A172" s="33" t="s">
        <v>39</v>
      </c>
      <c r="B172" s="6"/>
      <c r="C172" s="7"/>
      <c r="D172" s="8"/>
      <c r="E172" s="30">
        <v>1.0309999999999999</v>
      </c>
    </row>
    <row r="173" spans="1:6" ht="18.75" customHeight="1">
      <c r="A173" s="33" t="s">
        <v>40</v>
      </c>
      <c r="B173" s="6"/>
      <c r="C173" s="7"/>
      <c r="D173" s="8"/>
      <c r="E173" s="30">
        <v>1.0651999999999999</v>
      </c>
    </row>
    <row r="174" spans="1:6" ht="18.75" customHeight="1">
      <c r="A174" s="33" t="s">
        <v>126</v>
      </c>
      <c r="B174" s="6"/>
      <c r="C174" s="7"/>
      <c r="D174" s="8"/>
      <c r="E174" s="30">
        <v>1.046</v>
      </c>
      <c r="F174" s="53"/>
    </row>
    <row r="175" spans="1:6">
      <c r="A175" s="5"/>
      <c r="B175" s="6"/>
      <c r="C175" s="7"/>
      <c r="D175" s="8"/>
      <c r="E175" s="7"/>
    </row>
    <row r="176" spans="1:6" ht="18.75" customHeight="1">
      <c r="A176" s="52" t="s">
        <v>16</v>
      </c>
      <c r="B176" s="6"/>
      <c r="C176" s="7"/>
      <c r="D176" s="8"/>
      <c r="E176" s="29">
        <v>21</v>
      </c>
      <c r="F176" s="18"/>
    </row>
    <row r="177" spans="1:7" ht="16.899999999999999" customHeight="1">
      <c r="A177" s="33" t="s">
        <v>17</v>
      </c>
      <c r="B177" s="6"/>
      <c r="C177" s="7"/>
      <c r="D177" s="8"/>
      <c r="E177" s="28">
        <v>46266</v>
      </c>
      <c r="F177" s="26"/>
    </row>
    <row r="178" spans="1:7" ht="18" customHeight="1">
      <c r="A178" s="33" t="s">
        <v>18</v>
      </c>
      <c r="B178" s="6"/>
      <c r="C178" s="7"/>
      <c r="D178" s="8"/>
      <c r="E178" s="28">
        <v>46884</v>
      </c>
      <c r="F178" s="26"/>
    </row>
    <row r="179" spans="1:7">
      <c r="A179" s="5"/>
      <c r="B179" s="6"/>
      <c r="C179" s="7"/>
      <c r="D179" s="32" t="s">
        <v>15</v>
      </c>
      <c r="E179" s="7"/>
    </row>
    <row r="180" spans="1:7">
      <c r="A180" s="85" t="s">
        <v>141</v>
      </c>
      <c r="B180" s="85"/>
      <c r="C180" s="7"/>
      <c r="D180" s="25">
        <v>4</v>
      </c>
      <c r="E180" s="23">
        <v>0.19</v>
      </c>
    </row>
    <row r="181" spans="1:7">
      <c r="A181" s="85" t="s">
        <v>142</v>
      </c>
      <c r="B181" s="85"/>
      <c r="C181" s="7"/>
      <c r="D181" s="25">
        <v>12</v>
      </c>
      <c r="E181" s="23">
        <v>0.56999999999999995</v>
      </c>
    </row>
    <row r="182" spans="1:7">
      <c r="A182" s="85" t="s">
        <v>143</v>
      </c>
      <c r="B182" s="85"/>
      <c r="C182" s="7"/>
      <c r="D182" s="25">
        <v>5</v>
      </c>
      <c r="E182" s="23">
        <v>0.24</v>
      </c>
    </row>
    <row r="183" spans="1:7">
      <c r="A183" s="33" t="s">
        <v>41</v>
      </c>
      <c r="B183" s="6"/>
      <c r="C183" s="7"/>
      <c r="D183" s="8"/>
      <c r="E183" s="30">
        <v>1.0435000000000001</v>
      </c>
    </row>
    <row r="184" spans="1:7">
      <c r="A184" s="33" t="s">
        <v>42</v>
      </c>
      <c r="B184" s="6"/>
      <c r="C184" s="7"/>
      <c r="D184" s="8"/>
      <c r="E184" s="30">
        <v>1.0763</v>
      </c>
    </row>
    <row r="185" spans="1:7">
      <c r="A185" s="33" t="s">
        <v>50</v>
      </c>
      <c r="B185" s="6"/>
      <c r="C185" s="7"/>
      <c r="D185" s="8"/>
      <c r="E185" s="30">
        <v>1.1092</v>
      </c>
    </row>
    <row r="186" spans="1:7" ht="18.75" customHeight="1">
      <c r="A186" s="33" t="s">
        <v>144</v>
      </c>
      <c r="B186" s="6"/>
      <c r="C186" s="7"/>
      <c r="D186" s="8"/>
      <c r="E186" s="30">
        <v>1.0780000000000001</v>
      </c>
      <c r="F186" s="53"/>
    </row>
    <row r="187" spans="1:7" ht="19.5" customHeight="1">
      <c r="A187" s="33"/>
      <c r="B187" s="6"/>
      <c r="C187" s="7"/>
      <c r="D187" s="8"/>
      <c r="E187" s="30"/>
    </row>
    <row r="188" spans="1:7" ht="73.5" customHeight="1">
      <c r="A188" s="87" t="s">
        <v>105</v>
      </c>
      <c r="B188" s="87"/>
      <c r="C188" s="87"/>
      <c r="D188" s="87"/>
      <c r="E188" s="87"/>
      <c r="F188" s="35"/>
    </row>
    <row r="189" spans="1:7" ht="93" customHeight="1">
      <c r="A189" s="47" t="s">
        <v>4</v>
      </c>
      <c r="B189" s="47" t="s">
        <v>27</v>
      </c>
      <c r="C189" s="47" t="s">
        <v>36</v>
      </c>
      <c r="D189" s="15" t="s">
        <v>5</v>
      </c>
      <c r="E189" s="15" t="s">
        <v>22</v>
      </c>
    </row>
    <row r="190" spans="1:7" ht="18.75" customHeight="1">
      <c r="A190" s="47">
        <v>1</v>
      </c>
      <c r="B190" s="47">
        <v>2</v>
      </c>
      <c r="C190" s="47">
        <v>3</v>
      </c>
      <c r="D190" s="47">
        <v>4</v>
      </c>
      <c r="E190" s="20">
        <v>5</v>
      </c>
    </row>
    <row r="191" spans="1:7" s="2" customFormat="1" ht="33.75" customHeight="1">
      <c r="A191" s="10" t="s">
        <v>7</v>
      </c>
      <c r="B191" s="22">
        <v>153208220</v>
      </c>
      <c r="C191" s="22">
        <v>155996610</v>
      </c>
      <c r="D191" s="31">
        <v>1.046</v>
      </c>
      <c r="E191" s="22">
        <v>163172454</v>
      </c>
      <c r="F191" s="78">
        <v>7.4300000000000005E-2</v>
      </c>
      <c r="G191" s="79"/>
    </row>
    <row r="192" spans="1:7" s="2" customFormat="1" ht="33.75" customHeight="1">
      <c r="A192" s="10"/>
      <c r="B192" s="22"/>
      <c r="C192" s="22"/>
      <c r="D192" s="31"/>
      <c r="E192" s="80">
        <f>F193*F191/1.22</f>
        <v>122603179</v>
      </c>
      <c r="F192" s="77">
        <f>179.64*1000</f>
        <v>179640</v>
      </c>
      <c r="G192" s="77"/>
    </row>
    <row r="193" spans="1:7" s="2" customFormat="1" ht="25.9" customHeight="1">
      <c r="A193" s="10" t="s">
        <v>6</v>
      </c>
      <c r="B193" s="22">
        <v>1983196048</v>
      </c>
      <c r="C193" s="22">
        <v>2019290216</v>
      </c>
      <c r="D193" s="31">
        <v>1.0780000000000001</v>
      </c>
      <c r="E193" s="22">
        <v>2176794853</v>
      </c>
      <c r="F193" s="77">
        <f>E200*F192+F201*E201</f>
        <v>2013134292.5</v>
      </c>
    </row>
    <row r="194" spans="1:7" ht="18.75" customHeight="1">
      <c r="A194" s="65" t="s">
        <v>28</v>
      </c>
      <c r="B194" s="22">
        <v>2136404268</v>
      </c>
      <c r="C194" s="22">
        <v>2175286826</v>
      </c>
      <c r="D194" s="11"/>
      <c r="E194" s="22">
        <v>2339967307</v>
      </c>
    </row>
    <row r="195" spans="1:7" ht="18.75" customHeight="1">
      <c r="A195" s="21" t="s">
        <v>30</v>
      </c>
      <c r="B195" s="22">
        <v>1780336890</v>
      </c>
      <c r="C195" s="22">
        <v>1812739022</v>
      </c>
      <c r="D195" s="22"/>
      <c r="E195" s="22">
        <v>1949972756</v>
      </c>
    </row>
    <row r="196" spans="1:7" ht="18.75" customHeight="1">
      <c r="A196" s="21" t="s">
        <v>29</v>
      </c>
      <c r="B196" s="22">
        <v>2172011006</v>
      </c>
      <c r="C196" s="22">
        <v>2211541607</v>
      </c>
      <c r="D196" s="22"/>
      <c r="E196" s="22">
        <v>2378966762</v>
      </c>
    </row>
    <row r="197" spans="1:7" ht="21" customHeight="1">
      <c r="A197" s="21" t="s">
        <v>31</v>
      </c>
      <c r="B197" s="22">
        <v>391674116</v>
      </c>
      <c r="C197" s="22">
        <v>398802585</v>
      </c>
      <c r="D197" s="22"/>
      <c r="E197" s="22">
        <v>428994006</v>
      </c>
    </row>
    <row r="198" spans="1:7">
      <c r="A198" s="5"/>
      <c r="B198" s="6"/>
      <c r="C198" s="7"/>
      <c r="D198" s="8"/>
      <c r="E198" s="7"/>
    </row>
    <row r="199" spans="1:7">
      <c r="A199" s="44" t="s">
        <v>8</v>
      </c>
      <c r="B199" s="6"/>
      <c r="C199" s="7"/>
      <c r="D199" s="8"/>
      <c r="E199" s="7"/>
    </row>
    <row r="200" spans="1:7" ht="20.25" customHeight="1">
      <c r="A200" s="34" t="s">
        <v>9</v>
      </c>
      <c r="B200" s="6"/>
      <c r="C200" s="7"/>
      <c r="D200" s="8"/>
      <c r="E200" s="24">
        <v>10329</v>
      </c>
      <c r="F200" s="83">
        <f>E192*1.22/E200</f>
        <v>14481.16</v>
      </c>
      <c r="G200" s="82">
        <f>E191*1.22/(E200+E201)</f>
        <v>18265.43</v>
      </c>
    </row>
    <row r="201" spans="1:7" ht="22.5" customHeight="1">
      <c r="A201" s="34" t="s">
        <v>146</v>
      </c>
      <c r="B201" s="6"/>
      <c r="C201" s="7"/>
      <c r="D201" s="8"/>
      <c r="E201" s="7">
        <f>13.25*43</f>
        <v>569.75</v>
      </c>
      <c r="F201" s="77">
        <f>276.67*1000</f>
        <v>276670</v>
      </c>
    </row>
    <row r="202" spans="1:7">
      <c r="A202" s="34"/>
      <c r="B202" s="6"/>
      <c r="C202" s="7"/>
      <c r="D202" s="8"/>
      <c r="E202" s="7"/>
    </row>
    <row r="203" spans="1:7" ht="18.75" customHeight="1">
      <c r="A203" s="33" t="s">
        <v>10</v>
      </c>
      <c r="B203" s="6"/>
      <c r="C203" s="7"/>
      <c r="D203" s="8"/>
      <c r="E203" s="43">
        <v>45870</v>
      </c>
    </row>
    <row r="204" spans="1:7" ht="16.899999999999999" customHeight="1">
      <c r="A204" s="33" t="s">
        <v>11</v>
      </c>
      <c r="B204" s="6"/>
      <c r="C204" s="7"/>
      <c r="D204" s="8"/>
      <c r="E204" s="43">
        <v>45992</v>
      </c>
    </row>
    <row r="205" spans="1:7">
      <c r="A205" s="5"/>
      <c r="B205" s="6"/>
      <c r="C205" s="7"/>
      <c r="D205" s="8"/>
      <c r="E205" s="7"/>
    </row>
    <row r="206" spans="1:7" ht="15" customHeight="1">
      <c r="A206" s="85" t="s">
        <v>37</v>
      </c>
      <c r="B206" s="85"/>
      <c r="C206" s="7"/>
      <c r="D206" s="8"/>
      <c r="E206" s="30">
        <v>1.0182</v>
      </c>
    </row>
    <row r="207" spans="1:7">
      <c r="A207" s="52"/>
      <c r="B207" s="52"/>
      <c r="C207" s="7"/>
      <c r="D207" s="8"/>
      <c r="E207" s="24"/>
    </row>
    <row r="208" spans="1:7" ht="15" customHeight="1">
      <c r="A208" s="86" t="s">
        <v>38</v>
      </c>
      <c r="B208" s="86"/>
      <c r="C208" s="86"/>
      <c r="D208" s="86"/>
      <c r="E208" s="86"/>
    </row>
    <row r="209" spans="1:6">
      <c r="A209" s="44"/>
      <c r="B209" s="44"/>
      <c r="C209" s="44"/>
      <c r="D209" s="44"/>
      <c r="E209" s="44"/>
    </row>
    <row r="210" spans="1:6" ht="18.75" customHeight="1">
      <c r="A210" s="52" t="s">
        <v>12</v>
      </c>
      <c r="B210" s="6"/>
      <c r="C210" s="7"/>
      <c r="D210" s="8"/>
      <c r="E210" s="29">
        <v>18</v>
      </c>
    </row>
    <row r="211" spans="1:6" ht="16.899999999999999" customHeight="1">
      <c r="A211" s="33" t="s">
        <v>13</v>
      </c>
      <c r="B211" s="6"/>
      <c r="C211" s="7"/>
      <c r="D211" s="8"/>
      <c r="E211" s="28">
        <v>46082</v>
      </c>
      <c r="F211" s="26"/>
    </row>
    <row r="212" spans="1:6" ht="18" customHeight="1">
      <c r="A212" s="33" t="s">
        <v>14</v>
      </c>
      <c r="B212" s="6"/>
      <c r="C212" s="7"/>
      <c r="D212" s="8"/>
      <c r="E212" s="28">
        <v>46630</v>
      </c>
      <c r="F212" s="26"/>
    </row>
    <row r="213" spans="1:6" ht="20.25" customHeight="1">
      <c r="A213" s="5"/>
      <c r="B213" s="6"/>
      <c r="C213" s="7"/>
      <c r="D213" s="32" t="s">
        <v>15</v>
      </c>
      <c r="E213" s="7"/>
    </row>
    <row r="214" spans="1:6" ht="23.25" customHeight="1">
      <c r="A214" s="85" t="s">
        <v>124</v>
      </c>
      <c r="B214" s="85"/>
      <c r="C214" s="7"/>
      <c r="D214" s="25">
        <v>10</v>
      </c>
      <c r="E214" s="23">
        <v>0.56000000000000005</v>
      </c>
    </row>
    <row r="215" spans="1:6" ht="23.25" customHeight="1">
      <c r="A215" s="85" t="s">
        <v>125</v>
      </c>
      <c r="B215" s="85"/>
      <c r="C215" s="7"/>
      <c r="D215" s="25">
        <v>8</v>
      </c>
      <c r="E215" s="23">
        <v>0.44</v>
      </c>
    </row>
    <row r="216" spans="1:6" ht="19.5" customHeight="1">
      <c r="A216" s="33" t="s">
        <v>39</v>
      </c>
      <c r="B216" s="6"/>
      <c r="C216" s="7"/>
      <c r="D216" s="8"/>
      <c r="E216" s="30">
        <v>1.0309999999999999</v>
      </c>
    </row>
    <row r="217" spans="1:6" ht="21" customHeight="1">
      <c r="A217" s="33" t="s">
        <v>40</v>
      </c>
      <c r="B217" s="6"/>
      <c r="C217" s="7"/>
      <c r="D217" s="8"/>
      <c r="E217" s="30">
        <v>1.0651999999999999</v>
      </c>
    </row>
    <row r="218" spans="1:6">
      <c r="A218" s="33" t="s">
        <v>126</v>
      </c>
      <c r="B218" s="6"/>
      <c r="C218" s="7"/>
      <c r="D218" s="8"/>
      <c r="E218" s="30">
        <v>1.046</v>
      </c>
      <c r="F218" s="53"/>
    </row>
    <row r="219" spans="1:6">
      <c r="A219" s="5"/>
      <c r="B219" s="6"/>
      <c r="C219" s="7"/>
      <c r="D219" s="8"/>
      <c r="E219" s="7"/>
    </row>
    <row r="220" spans="1:6" ht="18.75" customHeight="1">
      <c r="A220" s="52" t="s">
        <v>16</v>
      </c>
      <c r="B220" s="6"/>
      <c r="C220" s="7"/>
      <c r="D220" s="8"/>
      <c r="E220" s="29">
        <v>21</v>
      </c>
      <c r="F220" s="18"/>
    </row>
    <row r="221" spans="1:6" ht="16.899999999999999" customHeight="1">
      <c r="A221" s="33" t="s">
        <v>17</v>
      </c>
      <c r="B221" s="6"/>
      <c r="C221" s="7"/>
      <c r="D221" s="8"/>
      <c r="E221" s="28">
        <v>46266</v>
      </c>
      <c r="F221" s="26"/>
    </row>
    <row r="222" spans="1:6" ht="18" customHeight="1">
      <c r="A222" s="33" t="s">
        <v>18</v>
      </c>
      <c r="B222" s="6"/>
      <c r="C222" s="7"/>
      <c r="D222" s="8"/>
      <c r="E222" s="28">
        <v>46884</v>
      </c>
      <c r="F222" s="26"/>
    </row>
    <row r="223" spans="1:6">
      <c r="A223" s="5"/>
      <c r="B223" s="6"/>
      <c r="C223" s="7"/>
      <c r="D223" s="32" t="s">
        <v>15</v>
      </c>
      <c r="E223" s="7"/>
    </row>
    <row r="224" spans="1:6" ht="18.75" customHeight="1">
      <c r="A224" s="85" t="s">
        <v>141</v>
      </c>
      <c r="B224" s="85"/>
      <c r="C224" s="7"/>
      <c r="D224" s="25">
        <v>4</v>
      </c>
      <c r="E224" s="23">
        <v>0.19</v>
      </c>
    </row>
    <row r="225" spans="1:7" ht="18.75" customHeight="1">
      <c r="A225" s="85" t="s">
        <v>142</v>
      </c>
      <c r="B225" s="85"/>
      <c r="C225" s="7"/>
      <c r="D225" s="25">
        <v>12</v>
      </c>
      <c r="E225" s="23">
        <v>0.56999999999999995</v>
      </c>
    </row>
    <row r="226" spans="1:7" ht="18.75" customHeight="1">
      <c r="A226" s="85" t="s">
        <v>143</v>
      </c>
      <c r="B226" s="85"/>
      <c r="C226" s="7"/>
      <c r="D226" s="25">
        <v>5</v>
      </c>
      <c r="E226" s="23">
        <v>0.24</v>
      </c>
    </row>
    <row r="227" spans="1:7" ht="26.25" customHeight="1">
      <c r="A227" s="33" t="s">
        <v>41</v>
      </c>
      <c r="B227" s="6"/>
      <c r="C227" s="7"/>
      <c r="D227" s="8"/>
      <c r="E227" s="30">
        <v>1.0435000000000001</v>
      </c>
    </row>
    <row r="228" spans="1:7" ht="23.25" customHeight="1">
      <c r="A228" s="33" t="s">
        <v>42</v>
      </c>
      <c r="B228" s="6"/>
      <c r="C228" s="7"/>
      <c r="D228" s="8"/>
      <c r="E228" s="30">
        <v>1.0763</v>
      </c>
    </row>
    <row r="229" spans="1:7" ht="23.25" customHeight="1">
      <c r="A229" s="33" t="s">
        <v>50</v>
      </c>
      <c r="B229" s="6"/>
      <c r="C229" s="7"/>
      <c r="D229" s="8"/>
      <c r="E229" s="30">
        <v>1.1092</v>
      </c>
    </row>
    <row r="230" spans="1:7" ht="21.75" customHeight="1">
      <c r="A230" s="33" t="s">
        <v>144</v>
      </c>
      <c r="B230" s="6"/>
      <c r="C230" s="7"/>
      <c r="D230" s="8"/>
      <c r="E230" s="30">
        <v>1.0780000000000001</v>
      </c>
      <c r="F230" s="53"/>
    </row>
    <row r="231" spans="1:7">
      <c r="A231" s="5"/>
      <c r="B231" s="6"/>
      <c r="C231" s="7"/>
      <c r="D231" s="8"/>
      <c r="E231" s="7"/>
    </row>
    <row r="232" spans="1:7" ht="93.75" customHeight="1">
      <c r="A232" s="84" t="s">
        <v>33</v>
      </c>
      <c r="B232" s="84"/>
      <c r="C232" s="84"/>
      <c r="D232" s="84"/>
      <c r="E232" s="84"/>
      <c r="F232" s="35"/>
    </row>
    <row r="233" spans="1:7" ht="91.15" customHeight="1">
      <c r="A233" s="47" t="s">
        <v>4</v>
      </c>
      <c r="B233" s="47" t="s">
        <v>27</v>
      </c>
      <c r="C233" s="47" t="s">
        <v>36</v>
      </c>
      <c r="D233" s="15" t="s">
        <v>5</v>
      </c>
      <c r="E233" s="15" t="s">
        <v>22</v>
      </c>
    </row>
    <row r="234" spans="1:7" ht="18.75" customHeight="1">
      <c r="A234" s="47">
        <v>1</v>
      </c>
      <c r="B234" s="47">
        <v>2</v>
      </c>
      <c r="C234" s="47">
        <v>3</v>
      </c>
      <c r="D234" s="47">
        <v>4</v>
      </c>
      <c r="E234" s="20">
        <v>5</v>
      </c>
    </row>
    <row r="235" spans="1:7" s="2" customFormat="1" ht="36.75" customHeight="1">
      <c r="A235" s="10" t="s">
        <v>7</v>
      </c>
      <c r="B235" s="22">
        <v>247989382</v>
      </c>
      <c r="C235" s="22">
        <v>252502789</v>
      </c>
      <c r="D235" s="31">
        <v>1.046</v>
      </c>
      <c r="E235" s="22">
        <v>264117917</v>
      </c>
      <c r="F235" s="78">
        <v>7.4300000000000005E-2</v>
      </c>
      <c r="G235" s="79"/>
    </row>
    <row r="236" spans="1:7" s="2" customFormat="1" ht="36.75" customHeight="1">
      <c r="A236" s="10"/>
      <c r="B236" s="22"/>
      <c r="C236" s="22"/>
      <c r="D236" s="31"/>
      <c r="E236" s="80">
        <f>F237*F235/1.22</f>
        <v>196875507</v>
      </c>
      <c r="F236" s="77">
        <f>179.64*1000</f>
        <v>179640</v>
      </c>
      <c r="G236" s="77"/>
    </row>
    <row r="237" spans="1:7" s="2" customFormat="1" ht="25.9" customHeight="1">
      <c r="A237" s="10" t="s">
        <v>6</v>
      </c>
      <c r="B237" s="22">
        <v>3195228163</v>
      </c>
      <c r="C237" s="22">
        <v>3253381316</v>
      </c>
      <c r="D237" s="31">
        <v>1.0780000000000001</v>
      </c>
      <c r="E237" s="22">
        <v>3507145059</v>
      </c>
      <c r="F237" s="77">
        <f>E244*F236+F245*E245</f>
        <v>3232679927.5</v>
      </c>
    </row>
    <row r="238" spans="1:7" ht="18.75" customHeight="1">
      <c r="A238" s="65" t="s">
        <v>28</v>
      </c>
      <c r="B238" s="22">
        <v>3443217545</v>
      </c>
      <c r="C238" s="22">
        <v>3505884105</v>
      </c>
      <c r="D238" s="11"/>
      <c r="E238" s="22">
        <v>3771262976</v>
      </c>
    </row>
    <row r="239" spans="1:7" ht="18.75" customHeight="1">
      <c r="A239" s="21" t="s">
        <v>30</v>
      </c>
      <c r="B239" s="22">
        <v>2869347954</v>
      </c>
      <c r="C239" s="22">
        <v>2921570088</v>
      </c>
      <c r="D239" s="22"/>
      <c r="E239" s="22">
        <v>3142719147</v>
      </c>
    </row>
    <row r="240" spans="1:7" ht="18.75" customHeight="1">
      <c r="A240" s="21" t="s">
        <v>29</v>
      </c>
      <c r="B240" s="22">
        <v>3500604504</v>
      </c>
      <c r="C240" s="22">
        <v>3564315507</v>
      </c>
      <c r="D240" s="22"/>
      <c r="E240" s="22">
        <v>3834117359</v>
      </c>
    </row>
    <row r="241" spans="1:7" ht="21" customHeight="1">
      <c r="A241" s="21" t="s">
        <v>31</v>
      </c>
      <c r="B241" s="22">
        <v>631256550</v>
      </c>
      <c r="C241" s="22">
        <v>642745419</v>
      </c>
      <c r="D241" s="22"/>
      <c r="E241" s="22">
        <v>691398212</v>
      </c>
    </row>
    <row r="242" spans="1:7">
      <c r="A242" s="5"/>
      <c r="B242" s="6"/>
      <c r="C242" s="7"/>
      <c r="D242" s="8"/>
      <c r="E242" s="7"/>
    </row>
    <row r="243" spans="1:7">
      <c r="A243" s="44" t="s">
        <v>8</v>
      </c>
      <c r="B243" s="6"/>
      <c r="C243" s="7"/>
      <c r="D243" s="8"/>
      <c r="E243" s="7"/>
    </row>
    <row r="244" spans="1:7">
      <c r="A244" s="34" t="s">
        <v>9</v>
      </c>
      <c r="B244" s="6"/>
      <c r="C244" s="7"/>
      <c r="D244" s="8"/>
      <c r="E244" s="24">
        <v>16424</v>
      </c>
      <c r="F244" s="83">
        <f>E236*1.22/E244</f>
        <v>14624.22</v>
      </c>
      <c r="G244" s="82">
        <f>E235*1.22/(E244+E245)</f>
        <v>18471.64</v>
      </c>
    </row>
    <row r="245" spans="1:7">
      <c r="A245" s="34" t="s">
        <v>147</v>
      </c>
      <c r="B245" s="6"/>
      <c r="C245" s="7"/>
      <c r="D245" s="8"/>
      <c r="E245" s="7">
        <f>13.25*77</f>
        <v>1020.25</v>
      </c>
      <c r="F245" s="77">
        <f>276.67*1000</f>
        <v>276670</v>
      </c>
    </row>
    <row r="246" spans="1:7">
      <c r="A246" s="34"/>
      <c r="B246" s="6"/>
      <c r="C246" s="7"/>
      <c r="D246" s="8"/>
      <c r="E246" s="7"/>
    </row>
    <row r="247" spans="1:7" ht="18.75" customHeight="1">
      <c r="A247" s="33" t="s">
        <v>10</v>
      </c>
      <c r="B247" s="6"/>
      <c r="C247" s="7"/>
      <c r="D247" s="8"/>
      <c r="E247" s="43">
        <v>45870</v>
      </c>
    </row>
    <row r="248" spans="1:7" ht="16.899999999999999" customHeight="1">
      <c r="A248" s="33" t="s">
        <v>11</v>
      </c>
      <c r="B248" s="6"/>
      <c r="C248" s="7"/>
      <c r="D248" s="8"/>
      <c r="E248" s="43">
        <v>45992</v>
      </c>
    </row>
    <row r="249" spans="1:7">
      <c r="A249" s="5"/>
      <c r="B249" s="6"/>
      <c r="C249" s="7"/>
      <c r="D249" s="8"/>
      <c r="E249" s="7"/>
    </row>
    <row r="250" spans="1:7" ht="15" customHeight="1">
      <c r="A250" s="85" t="s">
        <v>37</v>
      </c>
      <c r="B250" s="85"/>
      <c r="C250" s="7"/>
      <c r="D250" s="8"/>
      <c r="E250" s="30">
        <v>1.0182</v>
      </c>
    </row>
    <row r="251" spans="1:7">
      <c r="A251" s="52"/>
      <c r="B251" s="52"/>
      <c r="C251" s="7"/>
      <c r="D251" s="8"/>
      <c r="E251" s="24"/>
    </row>
    <row r="252" spans="1:7" ht="18.75" customHeight="1">
      <c r="A252" s="86" t="s">
        <v>38</v>
      </c>
      <c r="B252" s="86"/>
      <c r="C252" s="86"/>
      <c r="D252" s="86"/>
      <c r="E252" s="86"/>
    </row>
    <row r="253" spans="1:7">
      <c r="A253" s="44"/>
      <c r="B253" s="44"/>
      <c r="C253" s="44"/>
      <c r="D253" s="44"/>
      <c r="E253" s="44"/>
    </row>
    <row r="254" spans="1:7" ht="18.75" customHeight="1">
      <c r="A254" s="52" t="s">
        <v>12</v>
      </c>
      <c r="B254" s="6"/>
      <c r="C254" s="7"/>
      <c r="D254" s="8"/>
      <c r="E254" s="29">
        <v>18</v>
      </c>
    </row>
    <row r="255" spans="1:7" ht="16.899999999999999" customHeight="1">
      <c r="A255" s="33" t="s">
        <v>13</v>
      </c>
      <c r="B255" s="6"/>
      <c r="C255" s="7"/>
      <c r="D255" s="8"/>
      <c r="E255" s="28">
        <v>46082</v>
      </c>
      <c r="F255" s="26"/>
    </row>
    <row r="256" spans="1:7" ht="18" customHeight="1">
      <c r="A256" s="33" t="s">
        <v>14</v>
      </c>
      <c r="B256" s="6"/>
      <c r="C256" s="7"/>
      <c r="D256" s="8"/>
      <c r="E256" s="28">
        <v>46630</v>
      </c>
      <c r="F256" s="26"/>
    </row>
    <row r="257" spans="1:6">
      <c r="A257" s="5"/>
      <c r="B257" s="6"/>
      <c r="C257" s="7"/>
      <c r="D257" s="32" t="s">
        <v>15</v>
      </c>
      <c r="E257" s="7"/>
    </row>
    <row r="258" spans="1:6" ht="18.75" customHeight="1">
      <c r="A258" s="85" t="s">
        <v>124</v>
      </c>
      <c r="B258" s="85"/>
      <c r="C258" s="7"/>
      <c r="D258" s="25">
        <v>10</v>
      </c>
      <c r="E258" s="23">
        <v>0.56000000000000005</v>
      </c>
    </row>
    <row r="259" spans="1:6" ht="18.75" customHeight="1">
      <c r="A259" s="85" t="s">
        <v>125</v>
      </c>
      <c r="B259" s="85"/>
      <c r="C259" s="7"/>
      <c r="D259" s="25">
        <v>8</v>
      </c>
      <c r="E259" s="23">
        <v>0.44</v>
      </c>
    </row>
    <row r="260" spans="1:6" ht="18.75" customHeight="1">
      <c r="A260" s="33" t="s">
        <v>39</v>
      </c>
      <c r="B260" s="6"/>
      <c r="C260" s="7"/>
      <c r="D260" s="8"/>
      <c r="E260" s="30">
        <v>1.0309999999999999</v>
      </c>
    </row>
    <row r="261" spans="1:6" ht="18.75" customHeight="1">
      <c r="A261" s="33" t="s">
        <v>40</v>
      </c>
      <c r="B261" s="6"/>
      <c r="C261" s="7"/>
      <c r="D261" s="8"/>
      <c r="E261" s="30">
        <v>1.0651999999999999</v>
      </c>
    </row>
    <row r="262" spans="1:6" ht="18.75" customHeight="1">
      <c r="A262" s="33" t="s">
        <v>126</v>
      </c>
      <c r="B262" s="6"/>
      <c r="C262" s="7"/>
      <c r="D262" s="8"/>
      <c r="E262" s="30">
        <v>1.046</v>
      </c>
      <c r="F262" s="53"/>
    </row>
    <row r="263" spans="1:6">
      <c r="A263" s="5"/>
      <c r="B263" s="6"/>
      <c r="C263" s="7"/>
      <c r="D263" s="8"/>
      <c r="E263" s="7"/>
    </row>
    <row r="264" spans="1:6" ht="18.75" customHeight="1">
      <c r="A264" s="52" t="s">
        <v>16</v>
      </c>
      <c r="B264" s="6"/>
      <c r="C264" s="7"/>
      <c r="D264" s="8"/>
      <c r="E264" s="29">
        <v>21</v>
      </c>
      <c r="F264" s="18"/>
    </row>
    <row r="265" spans="1:6" ht="16.899999999999999" customHeight="1">
      <c r="A265" s="33" t="s">
        <v>17</v>
      </c>
      <c r="B265" s="6"/>
      <c r="C265" s="7"/>
      <c r="D265" s="8"/>
      <c r="E265" s="28">
        <v>46266</v>
      </c>
      <c r="F265" s="26"/>
    </row>
    <row r="266" spans="1:6" ht="18" customHeight="1">
      <c r="A266" s="33" t="s">
        <v>18</v>
      </c>
      <c r="B266" s="6"/>
      <c r="C266" s="7"/>
      <c r="D266" s="8"/>
      <c r="E266" s="28">
        <v>46884</v>
      </c>
      <c r="F266" s="26"/>
    </row>
    <row r="267" spans="1:6">
      <c r="A267" s="5"/>
      <c r="B267" s="6"/>
      <c r="C267" s="7"/>
      <c r="D267" s="32" t="s">
        <v>15</v>
      </c>
      <c r="E267" s="7"/>
    </row>
    <row r="268" spans="1:6">
      <c r="A268" s="85" t="s">
        <v>141</v>
      </c>
      <c r="B268" s="85"/>
      <c r="C268" s="7"/>
      <c r="D268" s="25">
        <v>4</v>
      </c>
      <c r="E268" s="23">
        <v>0.19</v>
      </c>
    </row>
    <row r="269" spans="1:6">
      <c r="A269" s="85" t="s">
        <v>142</v>
      </c>
      <c r="B269" s="85"/>
      <c r="C269" s="7"/>
      <c r="D269" s="25">
        <v>12</v>
      </c>
      <c r="E269" s="23">
        <v>0.56999999999999995</v>
      </c>
    </row>
    <row r="270" spans="1:6">
      <c r="A270" s="85" t="s">
        <v>143</v>
      </c>
      <c r="B270" s="85"/>
      <c r="C270" s="7"/>
      <c r="D270" s="25">
        <v>5</v>
      </c>
      <c r="E270" s="23">
        <v>0.24</v>
      </c>
    </row>
    <row r="271" spans="1:6">
      <c r="A271" s="33" t="s">
        <v>41</v>
      </c>
      <c r="B271" s="6"/>
      <c r="C271" s="7"/>
      <c r="D271" s="8"/>
      <c r="E271" s="30">
        <v>1.0435000000000001</v>
      </c>
    </row>
    <row r="272" spans="1:6">
      <c r="A272" s="33" t="s">
        <v>42</v>
      </c>
      <c r="B272" s="6"/>
      <c r="C272" s="7"/>
      <c r="D272" s="8"/>
      <c r="E272" s="30">
        <v>1.0763</v>
      </c>
    </row>
    <row r="273" spans="1:7">
      <c r="A273" s="33" t="s">
        <v>50</v>
      </c>
      <c r="B273" s="6"/>
      <c r="C273" s="7"/>
      <c r="D273" s="8"/>
      <c r="E273" s="30">
        <v>1.1092</v>
      </c>
    </row>
    <row r="274" spans="1:7">
      <c r="A274" s="33" t="s">
        <v>144</v>
      </c>
      <c r="B274" s="6"/>
      <c r="C274" s="7"/>
      <c r="D274" s="8"/>
      <c r="E274" s="30">
        <v>1.0780000000000001</v>
      </c>
      <c r="F274" s="53"/>
    </row>
    <row r="276" spans="1:7" ht="77.25" customHeight="1">
      <c r="A276" s="84" t="s">
        <v>106</v>
      </c>
      <c r="B276" s="84"/>
      <c r="C276" s="84"/>
      <c r="D276" s="84"/>
      <c r="E276" s="84"/>
      <c r="F276" s="35"/>
    </row>
    <row r="277" spans="1:7" ht="99.75">
      <c r="A277" s="47" t="s">
        <v>4</v>
      </c>
      <c r="B277" s="56" t="s">
        <v>27</v>
      </c>
      <c r="C277" s="47" t="s">
        <v>36</v>
      </c>
      <c r="D277" s="15" t="s">
        <v>5</v>
      </c>
      <c r="E277" s="15" t="s">
        <v>22</v>
      </c>
    </row>
    <row r="278" spans="1:7">
      <c r="A278" s="47">
        <v>1</v>
      </c>
      <c r="B278" s="47">
        <v>2</v>
      </c>
      <c r="C278" s="47">
        <v>3</v>
      </c>
      <c r="D278" s="47">
        <v>4</v>
      </c>
      <c r="E278" s="20">
        <v>5</v>
      </c>
    </row>
    <row r="279" spans="1:7" s="2" customFormat="1" ht="30">
      <c r="A279" s="10" t="s">
        <v>7</v>
      </c>
      <c r="B279" s="22">
        <v>638971681</v>
      </c>
      <c r="C279" s="22">
        <v>650600966</v>
      </c>
      <c r="D279" s="31">
        <v>1.1353</v>
      </c>
      <c r="E279" s="22">
        <v>738627277</v>
      </c>
      <c r="F279" s="78">
        <v>7.4300000000000005E-2</v>
      </c>
      <c r="G279" s="79"/>
    </row>
    <row r="280" spans="1:7" s="2" customFormat="1">
      <c r="A280" s="10"/>
      <c r="B280" s="22"/>
      <c r="C280" s="22"/>
      <c r="D280" s="31"/>
      <c r="E280" s="80">
        <f>F281*F279/1.22</f>
        <v>500509753</v>
      </c>
      <c r="F280" s="77">
        <f>179.64*1000</f>
        <v>179640</v>
      </c>
      <c r="G280" s="77"/>
    </row>
    <row r="281" spans="1:7" s="2" customFormat="1">
      <c r="A281" s="10" t="s">
        <v>6</v>
      </c>
      <c r="B281" s="22">
        <v>8162911650</v>
      </c>
      <c r="C281" s="22">
        <v>8311476642</v>
      </c>
      <c r="D281" s="31">
        <v>1.1785000000000001</v>
      </c>
      <c r="E281" s="22">
        <v>9795075223</v>
      </c>
      <c r="F281" s="77">
        <f>E288*F280+F289*E289</f>
        <v>8218329727.5</v>
      </c>
    </row>
    <row r="282" spans="1:7">
      <c r="A282" s="65" t="s">
        <v>28</v>
      </c>
      <c r="B282" s="22">
        <v>8801883331</v>
      </c>
      <c r="C282" s="22">
        <v>8962077608</v>
      </c>
      <c r="D282" s="11"/>
      <c r="E282" s="22">
        <v>10533702500</v>
      </c>
    </row>
    <row r="283" spans="1:7">
      <c r="A283" s="21" t="s">
        <v>30</v>
      </c>
      <c r="B283" s="22">
        <v>7334902776</v>
      </c>
      <c r="C283" s="22">
        <v>7468398007</v>
      </c>
      <c r="D283" s="22"/>
      <c r="E283" s="22">
        <v>8778085417</v>
      </c>
    </row>
    <row r="284" spans="1:7">
      <c r="A284" s="21" t="s">
        <v>29</v>
      </c>
      <c r="B284" s="22">
        <v>8948581387</v>
      </c>
      <c r="C284" s="22">
        <v>9111445569</v>
      </c>
      <c r="D284" s="22"/>
      <c r="E284" s="22">
        <v>10709264209</v>
      </c>
    </row>
    <row r="285" spans="1:7">
      <c r="A285" s="21" t="s">
        <v>31</v>
      </c>
      <c r="B285" s="22">
        <v>1613678611</v>
      </c>
      <c r="C285" s="22">
        <v>1643047562</v>
      </c>
      <c r="D285" s="22"/>
      <c r="E285" s="22">
        <v>1931178792</v>
      </c>
    </row>
    <row r="286" spans="1:7">
      <c r="A286" s="5"/>
      <c r="B286" s="6"/>
      <c r="C286" s="7"/>
      <c r="D286" s="8"/>
      <c r="E286" s="7"/>
    </row>
    <row r="287" spans="1:7">
      <c r="A287" s="44" t="s">
        <v>8</v>
      </c>
      <c r="B287" s="6"/>
      <c r="C287" s="7"/>
      <c r="D287" s="8"/>
      <c r="E287" s="7"/>
    </row>
    <row r="288" spans="1:7">
      <c r="A288" s="34" t="s">
        <v>9</v>
      </c>
      <c r="B288" s="6"/>
      <c r="C288" s="7"/>
      <c r="D288" s="8"/>
      <c r="E288" s="24">
        <v>41892</v>
      </c>
      <c r="F288" s="83">
        <f>E280*1.22/E288</f>
        <v>14576.1</v>
      </c>
      <c r="G288" s="82">
        <f>E279*1.22/(E288+E289)</f>
        <v>20297.330000000002</v>
      </c>
    </row>
    <row r="289" spans="1:6">
      <c r="A289" s="34" t="s">
        <v>148</v>
      </c>
      <c r="B289" s="6"/>
      <c r="C289" s="7"/>
      <c r="D289" s="8"/>
      <c r="E289" s="7">
        <f>13.25*189</f>
        <v>2504.25</v>
      </c>
      <c r="F289" s="77">
        <f>276.67*1000</f>
        <v>276670</v>
      </c>
    </row>
    <row r="290" spans="1:6">
      <c r="A290" s="34"/>
      <c r="B290" s="6"/>
      <c r="C290" s="7"/>
      <c r="D290" s="8"/>
      <c r="E290" s="7"/>
    </row>
    <row r="291" spans="1:6">
      <c r="A291" s="33" t="s">
        <v>10</v>
      </c>
      <c r="B291" s="6"/>
      <c r="C291" s="7"/>
      <c r="D291" s="8"/>
      <c r="E291" s="43">
        <v>45870</v>
      </c>
    </row>
    <row r="292" spans="1:6">
      <c r="A292" s="33" t="s">
        <v>11</v>
      </c>
      <c r="B292" s="6"/>
      <c r="C292" s="7"/>
      <c r="D292" s="8"/>
      <c r="E292" s="43">
        <v>45992</v>
      </c>
    </row>
    <row r="293" spans="1:6">
      <c r="A293" s="5"/>
      <c r="B293" s="6"/>
      <c r="C293" s="7"/>
      <c r="D293" s="8"/>
      <c r="E293" s="7"/>
    </row>
    <row r="294" spans="1:6" ht="15" customHeight="1">
      <c r="A294" s="85" t="s">
        <v>37</v>
      </c>
      <c r="B294" s="85"/>
      <c r="C294" s="7"/>
      <c r="D294" s="8"/>
      <c r="E294" s="30">
        <v>1.0182</v>
      </c>
    </row>
    <row r="295" spans="1:6">
      <c r="A295" s="52"/>
      <c r="B295" s="52"/>
      <c r="C295" s="7"/>
      <c r="D295" s="8"/>
      <c r="E295" s="24"/>
    </row>
    <row r="296" spans="1:6" ht="15" customHeight="1">
      <c r="A296" s="86" t="s">
        <v>38</v>
      </c>
      <c r="B296" s="86"/>
      <c r="C296" s="86"/>
      <c r="D296" s="86"/>
      <c r="E296" s="86"/>
    </row>
    <row r="297" spans="1:6">
      <c r="A297" s="44"/>
      <c r="B297" s="44"/>
      <c r="C297" s="44"/>
      <c r="D297" s="44"/>
      <c r="E297" s="44"/>
    </row>
    <row r="298" spans="1:6">
      <c r="A298" s="52" t="s">
        <v>12</v>
      </c>
      <c r="B298" s="6"/>
      <c r="C298" s="7"/>
      <c r="D298" s="8"/>
      <c r="E298" s="29">
        <v>18</v>
      </c>
    </row>
    <row r="299" spans="1:6">
      <c r="A299" s="33" t="s">
        <v>13</v>
      </c>
      <c r="B299" s="6"/>
      <c r="C299" s="7"/>
      <c r="D299" s="8"/>
      <c r="E299" s="28">
        <v>46722</v>
      </c>
      <c r="F299" s="26"/>
    </row>
    <row r="300" spans="1:6">
      <c r="A300" s="33" t="s">
        <v>14</v>
      </c>
      <c r="B300" s="6"/>
      <c r="C300" s="7"/>
      <c r="D300" s="8"/>
      <c r="E300" s="28">
        <v>47269</v>
      </c>
      <c r="F300" s="26"/>
    </row>
    <row r="301" spans="1:6">
      <c r="A301" s="5"/>
      <c r="B301" s="6"/>
      <c r="C301" s="7"/>
      <c r="D301" s="32" t="s">
        <v>15</v>
      </c>
      <c r="E301" s="7"/>
    </row>
    <row r="302" spans="1:6">
      <c r="A302" s="85" t="s">
        <v>149</v>
      </c>
      <c r="B302" s="85"/>
      <c r="C302" s="7"/>
      <c r="D302" s="25">
        <v>1</v>
      </c>
      <c r="E302" s="27">
        <v>5.5500000000000001E-2</v>
      </c>
    </row>
    <row r="303" spans="1:6">
      <c r="A303" s="85" t="s">
        <v>150</v>
      </c>
      <c r="B303" s="85"/>
      <c r="C303" s="7"/>
      <c r="D303" s="25">
        <v>12</v>
      </c>
      <c r="E303" s="27">
        <v>0.66669999999999996</v>
      </c>
    </row>
    <row r="304" spans="1:6">
      <c r="A304" s="85" t="s">
        <v>151</v>
      </c>
      <c r="B304" s="85"/>
      <c r="C304" s="7"/>
      <c r="D304" s="25">
        <v>5</v>
      </c>
      <c r="E304" s="27">
        <v>0.27779999999999999</v>
      </c>
    </row>
    <row r="305" spans="1:6">
      <c r="A305" s="33" t="s">
        <v>51</v>
      </c>
      <c r="B305" s="6"/>
      <c r="C305" s="7"/>
      <c r="D305" s="8"/>
      <c r="E305" s="30">
        <v>1.1004</v>
      </c>
    </row>
    <row r="306" spans="1:6">
      <c r="A306" s="33" t="s">
        <v>52</v>
      </c>
      <c r="B306" s="6"/>
      <c r="C306" s="7"/>
      <c r="D306" s="8"/>
      <c r="E306" s="30">
        <v>1.1274</v>
      </c>
    </row>
    <row r="307" spans="1:6">
      <c r="A307" s="33" t="s">
        <v>53</v>
      </c>
      <c r="B307" s="6"/>
      <c r="C307" s="7"/>
      <c r="D307" s="8"/>
      <c r="E307" s="30">
        <v>1.1613</v>
      </c>
    </row>
    <row r="308" spans="1:6">
      <c r="A308" s="33" t="s">
        <v>152</v>
      </c>
      <c r="B308" s="6"/>
      <c r="C308" s="7"/>
      <c r="D308" s="8"/>
      <c r="E308" s="30">
        <v>1.1353</v>
      </c>
    </row>
    <row r="309" spans="1:6">
      <c r="A309" s="5"/>
      <c r="B309" s="6"/>
      <c r="C309" s="7"/>
      <c r="D309" s="8"/>
      <c r="E309" s="7"/>
    </row>
    <row r="310" spans="1:6">
      <c r="A310" s="52" t="s">
        <v>16</v>
      </c>
      <c r="B310" s="6"/>
      <c r="C310" s="7"/>
      <c r="D310" s="8"/>
      <c r="E310" s="29">
        <v>25</v>
      </c>
      <c r="F310" s="18"/>
    </row>
    <row r="311" spans="1:6">
      <c r="A311" s="33" t="s">
        <v>17</v>
      </c>
      <c r="B311" s="6"/>
      <c r="C311" s="7"/>
      <c r="D311" s="8"/>
      <c r="E311" s="28">
        <v>46905</v>
      </c>
      <c r="F311" s="26"/>
    </row>
    <row r="312" spans="1:6">
      <c r="A312" s="33" t="s">
        <v>18</v>
      </c>
      <c r="B312" s="6"/>
      <c r="C312" s="7"/>
      <c r="D312" s="8"/>
      <c r="E312" s="28">
        <v>47645</v>
      </c>
      <c r="F312" s="26"/>
    </row>
    <row r="313" spans="1:6">
      <c r="A313" s="5"/>
      <c r="B313" s="6"/>
      <c r="C313" s="7"/>
      <c r="D313" s="32" t="s">
        <v>15</v>
      </c>
      <c r="E313" s="7"/>
    </row>
    <row r="314" spans="1:6">
      <c r="A314" s="85" t="s">
        <v>153</v>
      </c>
      <c r="B314" s="85"/>
      <c r="C314" s="7"/>
      <c r="D314" s="25">
        <v>7</v>
      </c>
      <c r="E314" s="23">
        <v>0.28000000000000003</v>
      </c>
    </row>
    <row r="315" spans="1:6">
      <c r="A315" s="85" t="s">
        <v>154</v>
      </c>
      <c r="B315" s="85"/>
      <c r="C315" s="7"/>
      <c r="D315" s="25">
        <v>12</v>
      </c>
      <c r="E315" s="23">
        <v>0.48</v>
      </c>
    </row>
    <row r="316" spans="1:6">
      <c r="A316" s="85" t="s">
        <v>155</v>
      </c>
      <c r="B316" s="85"/>
      <c r="C316" s="7"/>
      <c r="D316" s="25">
        <v>6</v>
      </c>
      <c r="E316" s="23">
        <v>0.24</v>
      </c>
    </row>
    <row r="317" spans="1:6">
      <c r="A317" s="33" t="s">
        <v>54</v>
      </c>
      <c r="B317" s="6"/>
      <c r="C317" s="7"/>
      <c r="D317" s="8"/>
      <c r="E317" s="30">
        <v>1.1389</v>
      </c>
    </row>
    <row r="318" spans="1:6">
      <c r="A318" s="33" t="s">
        <v>55</v>
      </c>
      <c r="B318" s="6"/>
      <c r="C318" s="7"/>
      <c r="D318" s="8"/>
      <c r="E318" s="30">
        <v>1.1802999999999999</v>
      </c>
    </row>
    <row r="319" spans="1:6">
      <c r="A319" s="33" t="s">
        <v>56</v>
      </c>
      <c r="B319" s="6"/>
      <c r="C319" s="7"/>
      <c r="D319" s="8"/>
      <c r="E319" s="30">
        <v>1.2213000000000001</v>
      </c>
    </row>
    <row r="320" spans="1:6">
      <c r="A320" s="33" t="s">
        <v>156</v>
      </c>
      <c r="B320" s="6"/>
      <c r="C320" s="7"/>
      <c r="D320" s="8"/>
      <c r="E320" s="30">
        <v>1.1785000000000001</v>
      </c>
    </row>
    <row r="321" spans="1:7">
      <c r="A321" s="33"/>
      <c r="B321" s="6"/>
      <c r="C321" s="7"/>
      <c r="D321" s="8"/>
      <c r="E321" s="30"/>
    </row>
    <row r="322" spans="1:7" ht="89.25" customHeight="1">
      <c r="A322" s="84" t="s">
        <v>107</v>
      </c>
      <c r="B322" s="84"/>
      <c r="C322" s="84"/>
      <c r="D322" s="84"/>
      <c r="E322" s="84"/>
      <c r="F322" s="35"/>
    </row>
    <row r="323" spans="1:7" ht="93" customHeight="1">
      <c r="A323" s="47" t="s">
        <v>4</v>
      </c>
      <c r="B323" s="56" t="s">
        <v>27</v>
      </c>
      <c r="C323" s="47" t="s">
        <v>36</v>
      </c>
      <c r="D323" s="15" t="s">
        <v>5</v>
      </c>
      <c r="E323" s="15" t="s">
        <v>22</v>
      </c>
    </row>
    <row r="324" spans="1:7">
      <c r="A324" s="47">
        <v>1</v>
      </c>
      <c r="B324" s="47">
        <v>2</v>
      </c>
      <c r="C324" s="47">
        <v>3</v>
      </c>
      <c r="D324" s="47">
        <v>4</v>
      </c>
      <c r="E324" s="20">
        <v>5</v>
      </c>
    </row>
    <row r="325" spans="1:7" s="2" customFormat="1" ht="30">
      <c r="A325" s="10" t="s">
        <v>7</v>
      </c>
      <c r="B325" s="22">
        <v>1181135366</v>
      </c>
      <c r="C325" s="22">
        <v>1202632030</v>
      </c>
      <c r="D325" s="31">
        <v>1.1564000000000001</v>
      </c>
      <c r="E325" s="22">
        <v>1390723679</v>
      </c>
      <c r="F325" s="78">
        <v>7.4300000000000005E-2</v>
      </c>
      <c r="G325" s="79"/>
    </row>
    <row r="326" spans="1:7" s="2" customFormat="1">
      <c r="A326" s="10"/>
      <c r="B326" s="22"/>
      <c r="C326" s="22"/>
      <c r="D326" s="31"/>
      <c r="E326" s="80">
        <f>F327*F325/1.22</f>
        <v>938217675</v>
      </c>
      <c r="F326" s="77">
        <f>179.64*1000</f>
        <v>179640</v>
      </c>
      <c r="G326" s="77"/>
    </row>
    <row r="327" spans="1:7" s="2" customFormat="1">
      <c r="A327" s="10" t="s">
        <v>6</v>
      </c>
      <c r="B327" s="22">
        <v>15208777189</v>
      </c>
      <c r="C327" s="22">
        <v>15485576934</v>
      </c>
      <c r="D327" s="31">
        <v>1.2103999999999999</v>
      </c>
      <c r="E327" s="22">
        <v>18743742321</v>
      </c>
      <c r="F327" s="77">
        <f>E334*F326+F335*E335</f>
        <v>15405458460</v>
      </c>
    </row>
    <row r="328" spans="1:7" s="2" customFormat="1">
      <c r="A328" s="65" t="s">
        <v>28</v>
      </c>
      <c r="B328" s="22">
        <v>16389912555</v>
      </c>
      <c r="C328" s="22">
        <v>16688208964</v>
      </c>
      <c r="D328" s="11"/>
      <c r="E328" s="22">
        <v>20134466000</v>
      </c>
      <c r="F328" s="1"/>
      <c r="G328" s="1"/>
    </row>
    <row r="329" spans="1:7" s="2" customFormat="1">
      <c r="A329" s="21" t="s">
        <v>30</v>
      </c>
      <c r="B329" s="22">
        <v>13658260463</v>
      </c>
      <c r="C329" s="22">
        <v>13906840803</v>
      </c>
      <c r="D329" s="22"/>
      <c r="E329" s="22">
        <v>16778721667</v>
      </c>
      <c r="F329" s="1"/>
      <c r="G329" s="1"/>
    </row>
    <row r="330" spans="1:7">
      <c r="A330" s="21" t="s">
        <v>29</v>
      </c>
      <c r="B330" s="22">
        <v>16663077765</v>
      </c>
      <c r="C330" s="22">
        <v>16966345780</v>
      </c>
      <c r="D330" s="22"/>
      <c r="E330" s="22">
        <v>20470040434</v>
      </c>
    </row>
    <row r="331" spans="1:7">
      <c r="A331" s="21" t="s">
        <v>31</v>
      </c>
      <c r="B331" s="22">
        <v>3004817302</v>
      </c>
      <c r="C331" s="22">
        <v>3059504977</v>
      </c>
      <c r="D331" s="22"/>
      <c r="E331" s="22">
        <v>3691318767</v>
      </c>
    </row>
    <row r="332" spans="1:7">
      <c r="A332" s="5"/>
      <c r="B332" s="6"/>
      <c r="C332" s="7"/>
      <c r="D332" s="8"/>
      <c r="E332" s="7"/>
    </row>
    <row r="333" spans="1:7">
      <c r="A333" s="44" t="s">
        <v>8</v>
      </c>
      <c r="B333" s="6"/>
      <c r="C333" s="7"/>
      <c r="D333" s="8"/>
      <c r="E333" s="7"/>
    </row>
    <row r="334" spans="1:7">
      <c r="A334" s="34" t="s">
        <v>9</v>
      </c>
      <c r="B334" s="6"/>
      <c r="C334" s="7"/>
      <c r="D334" s="8"/>
      <c r="E334" s="24">
        <v>80370</v>
      </c>
      <c r="F334" s="83">
        <f>E326*1.22/E334</f>
        <v>14241.95</v>
      </c>
      <c r="G334" s="82">
        <f>E325*1.22/(E334+E335)</f>
        <v>20230.400000000001</v>
      </c>
    </row>
    <row r="335" spans="1:7">
      <c r="A335" s="34" t="s">
        <v>157</v>
      </c>
      <c r="B335" s="6"/>
      <c r="C335" s="7"/>
      <c r="D335" s="8"/>
      <c r="E335" s="7">
        <f>13.25*264</f>
        <v>3498</v>
      </c>
      <c r="F335" s="77">
        <f>276.67*1000</f>
        <v>276670</v>
      </c>
    </row>
    <row r="336" spans="1:7">
      <c r="A336" s="34"/>
      <c r="B336" s="6"/>
      <c r="C336" s="7"/>
      <c r="D336" s="8"/>
      <c r="E336" s="7"/>
    </row>
    <row r="337" spans="1:6">
      <c r="A337" s="33" t="s">
        <v>10</v>
      </c>
      <c r="B337" s="6"/>
      <c r="C337" s="7"/>
      <c r="D337" s="8"/>
      <c r="E337" s="43">
        <v>45870</v>
      </c>
    </row>
    <row r="338" spans="1:6">
      <c r="A338" s="33" t="s">
        <v>11</v>
      </c>
      <c r="B338" s="6"/>
      <c r="C338" s="7"/>
      <c r="D338" s="8"/>
      <c r="E338" s="43">
        <v>45992</v>
      </c>
    </row>
    <row r="339" spans="1:6">
      <c r="A339" s="5"/>
      <c r="B339" s="6"/>
      <c r="C339" s="7"/>
      <c r="D339" s="8"/>
      <c r="E339" s="7"/>
    </row>
    <row r="340" spans="1:6" ht="15" customHeight="1">
      <c r="A340" s="85" t="s">
        <v>37</v>
      </c>
      <c r="B340" s="85"/>
      <c r="C340" s="7"/>
      <c r="D340" s="8"/>
      <c r="E340" s="30">
        <v>1.0182</v>
      </c>
    </row>
    <row r="341" spans="1:6">
      <c r="A341" s="52"/>
      <c r="B341" s="52"/>
      <c r="C341" s="7"/>
      <c r="D341" s="8"/>
      <c r="E341" s="24"/>
    </row>
    <row r="342" spans="1:6" ht="15" customHeight="1">
      <c r="A342" s="86" t="s">
        <v>38</v>
      </c>
      <c r="B342" s="86"/>
      <c r="C342" s="86"/>
      <c r="D342" s="86"/>
      <c r="E342" s="86"/>
    </row>
    <row r="343" spans="1:6">
      <c r="A343" s="44"/>
      <c r="B343" s="44"/>
      <c r="C343" s="44"/>
      <c r="D343" s="44"/>
      <c r="E343" s="44"/>
    </row>
    <row r="344" spans="1:6">
      <c r="A344" s="52" t="s">
        <v>12</v>
      </c>
      <c r="B344" s="6"/>
      <c r="C344" s="7"/>
      <c r="D344" s="8"/>
      <c r="E344" s="29">
        <v>18</v>
      </c>
    </row>
    <row r="345" spans="1:6">
      <c r="A345" s="33" t="s">
        <v>13</v>
      </c>
      <c r="B345" s="6"/>
      <c r="C345" s="7"/>
      <c r="D345" s="8"/>
      <c r="E345" s="28">
        <v>46874</v>
      </c>
      <c r="F345" s="26"/>
    </row>
    <row r="346" spans="1:6">
      <c r="A346" s="33" t="s">
        <v>14</v>
      </c>
      <c r="B346" s="6"/>
      <c r="C346" s="7"/>
      <c r="D346" s="8"/>
      <c r="E346" s="28">
        <v>47422</v>
      </c>
      <c r="F346" s="26"/>
    </row>
    <row r="347" spans="1:6">
      <c r="A347" s="5"/>
      <c r="B347" s="6"/>
      <c r="C347" s="7"/>
      <c r="D347" s="32" t="s">
        <v>15</v>
      </c>
      <c r="E347" s="7"/>
    </row>
    <row r="348" spans="1:6">
      <c r="A348" s="85" t="s">
        <v>158</v>
      </c>
      <c r="B348" s="85"/>
      <c r="C348" s="7"/>
      <c r="D348" s="25">
        <v>8</v>
      </c>
      <c r="E348" s="23">
        <v>0.44</v>
      </c>
    </row>
    <row r="349" spans="1:6">
      <c r="A349" s="85" t="s">
        <v>159</v>
      </c>
      <c r="B349" s="85"/>
      <c r="C349" s="7"/>
      <c r="D349" s="25">
        <v>10</v>
      </c>
      <c r="E349" s="23">
        <v>0.56000000000000005</v>
      </c>
    </row>
    <row r="350" spans="1:6">
      <c r="A350" s="33" t="s">
        <v>57</v>
      </c>
      <c r="B350" s="6"/>
      <c r="C350" s="7"/>
      <c r="D350" s="8"/>
      <c r="E350" s="30">
        <v>1.1339999999999999</v>
      </c>
    </row>
    <row r="351" spans="1:6">
      <c r="A351" s="33" t="s">
        <v>58</v>
      </c>
      <c r="B351" s="6"/>
      <c r="C351" s="7"/>
      <c r="D351" s="8"/>
      <c r="E351" s="30">
        <v>1.1739999999999999</v>
      </c>
    </row>
    <row r="352" spans="1:6">
      <c r="A352" s="33" t="s">
        <v>160</v>
      </c>
      <c r="B352" s="6"/>
      <c r="C352" s="7"/>
      <c r="D352" s="8"/>
      <c r="E352" s="30">
        <v>1.1564000000000001</v>
      </c>
    </row>
    <row r="353" spans="1:6">
      <c r="A353" s="5"/>
      <c r="B353" s="6"/>
      <c r="C353" s="7"/>
      <c r="D353" s="8"/>
      <c r="E353" s="7"/>
    </row>
    <row r="354" spans="1:6">
      <c r="A354" s="52" t="s">
        <v>16</v>
      </c>
      <c r="B354" s="6"/>
      <c r="C354" s="7"/>
      <c r="D354" s="8"/>
      <c r="E354" s="29">
        <v>29</v>
      </c>
      <c r="F354" s="18"/>
    </row>
    <row r="355" spans="1:6">
      <c r="A355" s="33" t="s">
        <v>17</v>
      </c>
      <c r="B355" s="6"/>
      <c r="C355" s="7"/>
      <c r="D355" s="8"/>
      <c r="E355" s="28">
        <v>47058</v>
      </c>
      <c r="F355" s="26"/>
    </row>
    <row r="356" spans="1:6">
      <c r="A356" s="33" t="s">
        <v>18</v>
      </c>
      <c r="B356" s="6"/>
      <c r="C356" s="7"/>
      <c r="D356" s="8"/>
      <c r="E356" s="28">
        <v>47919</v>
      </c>
      <c r="F356" s="26"/>
    </row>
    <row r="357" spans="1:6">
      <c r="A357" s="5"/>
      <c r="B357" s="6"/>
      <c r="C357" s="7"/>
      <c r="D357" s="32" t="s">
        <v>15</v>
      </c>
      <c r="E357" s="7"/>
    </row>
    <row r="358" spans="1:6">
      <c r="A358" s="85" t="s">
        <v>161</v>
      </c>
      <c r="B358" s="85"/>
      <c r="C358" s="7"/>
      <c r="D358" s="25">
        <v>2</v>
      </c>
      <c r="E358" s="67">
        <v>6.9000000000000006E-2</v>
      </c>
    </row>
    <row r="359" spans="1:6">
      <c r="A359" s="85" t="s">
        <v>162</v>
      </c>
      <c r="B359" s="85"/>
      <c r="C359" s="7"/>
      <c r="D359" s="25">
        <v>12</v>
      </c>
      <c r="E359" s="67">
        <v>0.41399999999999998</v>
      </c>
    </row>
    <row r="360" spans="1:6">
      <c r="A360" s="85" t="s">
        <v>163</v>
      </c>
      <c r="B360" s="85"/>
      <c r="C360" s="7"/>
      <c r="D360" s="25">
        <v>12</v>
      </c>
      <c r="E360" s="67">
        <v>0.41399999999999998</v>
      </c>
    </row>
    <row r="361" spans="1:6">
      <c r="A361" s="85" t="s">
        <v>164</v>
      </c>
      <c r="B361" s="85"/>
      <c r="C361" s="7"/>
      <c r="D361" s="25">
        <v>3</v>
      </c>
      <c r="E361" s="67">
        <v>0.10299999999999999</v>
      </c>
    </row>
    <row r="362" spans="1:6">
      <c r="A362" s="33" t="s">
        <v>59</v>
      </c>
      <c r="B362" s="6"/>
      <c r="C362" s="7"/>
      <c r="D362" s="8"/>
      <c r="E362" s="30">
        <v>1.1472</v>
      </c>
    </row>
    <row r="363" spans="1:6">
      <c r="A363" s="33" t="s">
        <v>60</v>
      </c>
      <c r="B363" s="6"/>
      <c r="C363" s="7"/>
      <c r="D363" s="8"/>
      <c r="E363" s="30">
        <v>1.1802999999999999</v>
      </c>
    </row>
    <row r="364" spans="1:6">
      <c r="A364" s="33" t="s">
        <v>61</v>
      </c>
      <c r="B364" s="6"/>
      <c r="C364" s="7"/>
      <c r="D364" s="8"/>
      <c r="E364" s="30">
        <v>1.2358</v>
      </c>
    </row>
    <row r="365" spans="1:6">
      <c r="A365" s="33" t="s">
        <v>62</v>
      </c>
      <c r="B365" s="6"/>
      <c r="C365" s="7"/>
      <c r="D365" s="8"/>
      <c r="E365" s="30">
        <v>1.2718</v>
      </c>
    </row>
    <row r="366" spans="1:6">
      <c r="A366" s="33" t="s">
        <v>165</v>
      </c>
      <c r="B366" s="6"/>
      <c r="C366" s="7"/>
      <c r="D366" s="8"/>
      <c r="E366" s="30">
        <v>1.2103999999999999</v>
      </c>
    </row>
    <row r="368" spans="1:6" ht="54.75" customHeight="1">
      <c r="A368" s="84" t="s">
        <v>108</v>
      </c>
      <c r="B368" s="84"/>
      <c r="C368" s="84"/>
      <c r="D368" s="84"/>
      <c r="E368" s="84"/>
      <c r="F368" s="35"/>
    </row>
    <row r="369" spans="1:7" ht="99.75">
      <c r="A369" s="47" t="s">
        <v>4</v>
      </c>
      <c r="B369" s="56" t="s">
        <v>27</v>
      </c>
      <c r="C369" s="47" t="s">
        <v>36</v>
      </c>
      <c r="D369" s="15" t="s">
        <v>5</v>
      </c>
      <c r="E369" s="15" t="s">
        <v>22</v>
      </c>
    </row>
    <row r="370" spans="1:7">
      <c r="A370" s="47">
        <v>1</v>
      </c>
      <c r="B370" s="47">
        <v>2</v>
      </c>
      <c r="C370" s="47">
        <v>3</v>
      </c>
      <c r="D370" s="47">
        <v>4</v>
      </c>
      <c r="E370" s="20">
        <v>5</v>
      </c>
    </row>
    <row r="371" spans="1:7" s="2" customFormat="1" ht="30">
      <c r="A371" s="10" t="s">
        <v>7</v>
      </c>
      <c r="B371" s="22">
        <v>177847273</v>
      </c>
      <c r="C371" s="22">
        <v>181084093</v>
      </c>
      <c r="D371" s="31">
        <v>1.046</v>
      </c>
      <c r="E371" s="22">
        <v>189413961</v>
      </c>
      <c r="F371" s="78">
        <v>7.4300000000000005E-2</v>
      </c>
      <c r="G371" s="79"/>
    </row>
    <row r="372" spans="1:7" s="2" customFormat="1">
      <c r="A372" s="10"/>
      <c r="B372" s="22"/>
      <c r="C372" s="22"/>
      <c r="D372" s="31"/>
      <c r="E372" s="80">
        <f>F373*F371/1.22</f>
        <v>143012523</v>
      </c>
      <c r="F372" s="77">
        <f>179.64*1000</f>
        <v>179640</v>
      </c>
      <c r="G372" s="77"/>
    </row>
    <row r="373" spans="1:7" s="2" customFormat="1">
      <c r="A373" s="10" t="s">
        <v>6</v>
      </c>
      <c r="B373" s="22">
        <v>2301931513</v>
      </c>
      <c r="C373" s="22">
        <v>2343826667</v>
      </c>
      <c r="D373" s="31">
        <v>1.0720000000000001</v>
      </c>
      <c r="E373" s="22">
        <v>2512582187</v>
      </c>
      <c r="F373" s="77">
        <f>E380*F372+F381*E381</f>
        <v>2348254080</v>
      </c>
    </row>
    <row r="374" spans="1:7" s="2" customFormat="1">
      <c r="A374" s="65" t="s">
        <v>28</v>
      </c>
      <c r="B374" s="22">
        <v>2479778786</v>
      </c>
      <c r="C374" s="22">
        <v>2524910760</v>
      </c>
      <c r="D374" s="11"/>
      <c r="E374" s="22">
        <v>2701996148</v>
      </c>
      <c r="F374" s="1"/>
      <c r="G374" s="1"/>
    </row>
    <row r="375" spans="1:7" s="2" customFormat="1">
      <c r="A375" s="21" t="s">
        <v>30</v>
      </c>
      <c r="B375" s="22">
        <v>2066482322</v>
      </c>
      <c r="C375" s="22">
        <v>2104092300</v>
      </c>
      <c r="D375" s="22"/>
      <c r="E375" s="22">
        <v>2251663457</v>
      </c>
      <c r="F375" s="1"/>
      <c r="G375" s="1"/>
    </row>
    <row r="376" spans="1:7">
      <c r="A376" s="21" t="s">
        <v>29</v>
      </c>
      <c r="B376" s="22">
        <v>2521108433</v>
      </c>
      <c r="C376" s="22">
        <v>2566992606</v>
      </c>
      <c r="D376" s="22"/>
      <c r="E376" s="22">
        <v>2747029418</v>
      </c>
    </row>
    <row r="377" spans="1:7">
      <c r="A377" s="21" t="s">
        <v>31</v>
      </c>
      <c r="B377" s="22">
        <v>454626111</v>
      </c>
      <c r="C377" s="22">
        <v>462900306</v>
      </c>
      <c r="D377" s="22"/>
      <c r="E377" s="22">
        <v>495365961</v>
      </c>
    </row>
    <row r="378" spans="1:7">
      <c r="A378" s="5"/>
      <c r="B378" s="6"/>
      <c r="C378" s="7"/>
      <c r="D378" s="8"/>
      <c r="E378" s="7"/>
    </row>
    <row r="379" spans="1:7">
      <c r="A379" s="44" t="s">
        <v>8</v>
      </c>
      <c r="B379" s="6"/>
      <c r="C379" s="7"/>
      <c r="D379" s="8"/>
      <c r="E379" s="7"/>
    </row>
    <row r="380" spans="1:7">
      <c r="A380" s="34" t="s">
        <v>9</v>
      </c>
      <c r="B380" s="6"/>
      <c r="C380" s="7"/>
      <c r="D380" s="8"/>
      <c r="E380" s="24">
        <v>13072</v>
      </c>
      <c r="F380" s="83">
        <f>E372*1.22/E380</f>
        <v>13347.25</v>
      </c>
      <c r="G380" s="82">
        <f>E371*1.22/(E380+E381)</f>
        <v>17677.86</v>
      </c>
    </row>
    <row r="381" spans="1:7" hidden="1">
      <c r="A381" s="34" t="s">
        <v>166</v>
      </c>
      <c r="B381" s="6"/>
      <c r="C381" s="7"/>
      <c r="D381" s="8"/>
      <c r="E381" s="7"/>
      <c r="F381" s="77">
        <f>276.67*1000</f>
        <v>276670</v>
      </c>
    </row>
    <row r="382" spans="1:7">
      <c r="A382" s="34"/>
      <c r="B382" s="6"/>
      <c r="C382" s="7"/>
      <c r="D382" s="8"/>
      <c r="E382" s="7"/>
    </row>
    <row r="383" spans="1:7">
      <c r="A383" s="33" t="s">
        <v>10</v>
      </c>
      <c r="B383" s="6"/>
      <c r="C383" s="7"/>
      <c r="D383" s="8"/>
      <c r="E383" s="43">
        <v>45870</v>
      </c>
    </row>
    <row r="384" spans="1:7">
      <c r="A384" s="33" t="s">
        <v>11</v>
      </c>
      <c r="B384" s="6"/>
      <c r="C384" s="7"/>
      <c r="D384" s="8"/>
      <c r="E384" s="43">
        <v>45992</v>
      </c>
    </row>
    <row r="385" spans="1:6">
      <c r="A385" s="5"/>
      <c r="B385" s="6"/>
      <c r="C385" s="7"/>
      <c r="D385" s="8"/>
      <c r="E385" s="7"/>
    </row>
    <row r="386" spans="1:6" ht="15" customHeight="1">
      <c r="A386" s="85" t="s">
        <v>37</v>
      </c>
      <c r="B386" s="85"/>
      <c r="C386" s="7"/>
      <c r="D386" s="8"/>
      <c r="E386" s="30">
        <v>1.0182</v>
      </c>
    </row>
    <row r="387" spans="1:6">
      <c r="A387" s="52"/>
      <c r="B387" s="52"/>
      <c r="C387" s="7"/>
      <c r="D387" s="8"/>
      <c r="E387" s="24"/>
    </row>
    <row r="388" spans="1:6" ht="15" customHeight="1">
      <c r="A388" s="86" t="s">
        <v>38</v>
      </c>
      <c r="B388" s="86"/>
      <c r="C388" s="86"/>
      <c r="D388" s="86"/>
      <c r="E388" s="86"/>
    </row>
    <row r="389" spans="1:6">
      <c r="A389" s="44"/>
      <c r="B389" s="44"/>
      <c r="C389" s="44"/>
      <c r="D389" s="44"/>
      <c r="E389" s="44"/>
    </row>
    <row r="390" spans="1:6">
      <c r="A390" s="52" t="s">
        <v>12</v>
      </c>
      <c r="B390" s="6"/>
      <c r="C390" s="7"/>
      <c r="D390" s="8"/>
      <c r="E390" s="29">
        <v>18</v>
      </c>
    </row>
    <row r="391" spans="1:6">
      <c r="A391" s="33" t="s">
        <v>13</v>
      </c>
      <c r="B391" s="6"/>
      <c r="C391" s="7"/>
      <c r="D391" s="8"/>
      <c r="E391" s="28">
        <v>46082</v>
      </c>
      <c r="F391" s="26"/>
    </row>
    <row r="392" spans="1:6">
      <c r="A392" s="33" t="s">
        <v>14</v>
      </c>
      <c r="B392" s="6"/>
      <c r="C392" s="7"/>
      <c r="D392" s="8"/>
      <c r="E392" s="28">
        <v>46630</v>
      </c>
      <c r="F392" s="26"/>
    </row>
    <row r="393" spans="1:6">
      <c r="A393" s="5"/>
      <c r="B393" s="6"/>
      <c r="C393" s="7"/>
      <c r="D393" s="32" t="s">
        <v>15</v>
      </c>
      <c r="E393" s="7"/>
    </row>
    <row r="394" spans="1:6" ht="15" customHeight="1">
      <c r="A394" s="85" t="s">
        <v>124</v>
      </c>
      <c r="B394" s="85"/>
      <c r="C394" s="7"/>
      <c r="D394" s="25">
        <v>10</v>
      </c>
      <c r="E394" s="23">
        <v>0.56000000000000005</v>
      </c>
    </row>
    <row r="395" spans="1:6" ht="15" customHeight="1">
      <c r="A395" s="85" t="s">
        <v>125</v>
      </c>
      <c r="B395" s="85"/>
      <c r="C395" s="7"/>
      <c r="D395" s="25">
        <v>8</v>
      </c>
      <c r="E395" s="23">
        <v>0.44</v>
      </c>
    </row>
    <row r="396" spans="1:6">
      <c r="A396" s="33" t="s">
        <v>39</v>
      </c>
      <c r="B396" s="6"/>
      <c r="C396" s="7"/>
      <c r="D396" s="8"/>
      <c r="E396" s="30">
        <v>1.0309999999999999</v>
      </c>
    </row>
    <row r="397" spans="1:6">
      <c r="A397" s="33" t="s">
        <v>40</v>
      </c>
      <c r="B397" s="6"/>
      <c r="C397" s="7"/>
      <c r="D397" s="8"/>
      <c r="E397" s="30">
        <v>1.0651999999999999</v>
      </c>
    </row>
    <row r="398" spans="1:6">
      <c r="A398" s="33" t="s">
        <v>126</v>
      </c>
      <c r="B398" s="6"/>
      <c r="C398" s="7"/>
      <c r="D398" s="8"/>
      <c r="E398" s="30">
        <v>1.046</v>
      </c>
    </row>
    <row r="399" spans="1:6">
      <c r="A399" s="5"/>
      <c r="B399" s="6"/>
      <c r="C399" s="7"/>
      <c r="D399" s="8"/>
      <c r="E399" s="7"/>
    </row>
    <row r="400" spans="1:6">
      <c r="A400" s="52" t="s">
        <v>16</v>
      </c>
      <c r="B400" s="6"/>
      <c r="C400" s="7"/>
      <c r="D400" s="8"/>
      <c r="E400" s="29">
        <v>18</v>
      </c>
      <c r="F400" s="18"/>
    </row>
    <row r="401" spans="1:7">
      <c r="A401" s="33" t="s">
        <v>17</v>
      </c>
      <c r="B401" s="6"/>
      <c r="C401" s="7"/>
      <c r="D401" s="8"/>
      <c r="E401" s="28">
        <v>46266</v>
      </c>
      <c r="F401" s="26"/>
    </row>
    <row r="402" spans="1:7">
      <c r="A402" s="33" t="s">
        <v>18</v>
      </c>
      <c r="B402" s="6"/>
      <c r="C402" s="7"/>
      <c r="D402" s="8"/>
      <c r="E402" s="28">
        <v>46793</v>
      </c>
      <c r="F402" s="26"/>
    </row>
    <row r="403" spans="1:7">
      <c r="A403" s="5"/>
      <c r="B403" s="6"/>
      <c r="C403" s="7"/>
      <c r="D403" s="32" t="s">
        <v>15</v>
      </c>
      <c r="E403" s="7"/>
    </row>
    <row r="404" spans="1:7">
      <c r="A404" s="85" t="s">
        <v>167</v>
      </c>
      <c r="B404" s="85"/>
      <c r="C404" s="7"/>
      <c r="D404" s="25">
        <v>4</v>
      </c>
      <c r="E404" s="23">
        <v>0.22</v>
      </c>
    </row>
    <row r="405" spans="1:7">
      <c r="A405" s="85" t="s">
        <v>168</v>
      </c>
      <c r="B405" s="85"/>
      <c r="C405" s="7"/>
      <c r="D405" s="25">
        <v>12</v>
      </c>
      <c r="E405" s="23">
        <v>0.67</v>
      </c>
    </row>
    <row r="406" spans="1:7">
      <c r="A406" s="85" t="s">
        <v>169</v>
      </c>
      <c r="B406" s="85"/>
      <c r="C406" s="7"/>
      <c r="D406" s="25">
        <v>2</v>
      </c>
      <c r="E406" s="23">
        <v>0.11</v>
      </c>
    </row>
    <row r="407" spans="1:7">
      <c r="A407" s="33" t="s">
        <v>63</v>
      </c>
      <c r="B407" s="6"/>
      <c r="C407" s="7"/>
      <c r="D407" s="8"/>
      <c r="E407" s="30">
        <v>1.0435000000000001</v>
      </c>
    </row>
    <row r="408" spans="1:7">
      <c r="A408" s="33" t="s">
        <v>64</v>
      </c>
      <c r="B408" s="6"/>
      <c r="C408" s="7"/>
      <c r="D408" s="8"/>
      <c r="E408" s="30">
        <v>1.0763</v>
      </c>
    </row>
    <row r="409" spans="1:7">
      <c r="A409" s="33" t="s">
        <v>65</v>
      </c>
      <c r="B409" s="6"/>
      <c r="C409" s="7"/>
      <c r="D409" s="8"/>
      <c r="E409" s="30">
        <v>1.1032</v>
      </c>
    </row>
    <row r="410" spans="1:7">
      <c r="A410" s="33" t="s">
        <v>170</v>
      </c>
      <c r="B410" s="6"/>
      <c r="C410" s="7"/>
      <c r="D410" s="8"/>
      <c r="E410" s="30">
        <v>1.0720000000000001</v>
      </c>
    </row>
    <row r="412" spans="1:7" ht="66.75" customHeight="1">
      <c r="A412" s="84" t="s">
        <v>109</v>
      </c>
      <c r="B412" s="84"/>
      <c r="C412" s="84"/>
      <c r="D412" s="84"/>
      <c r="E412" s="84"/>
      <c r="F412" s="35"/>
    </row>
    <row r="413" spans="1:7" ht="99.75">
      <c r="A413" s="47" t="s">
        <v>4</v>
      </c>
      <c r="B413" s="56" t="s">
        <v>27</v>
      </c>
      <c r="C413" s="47" t="s">
        <v>36</v>
      </c>
      <c r="D413" s="15" t="s">
        <v>5</v>
      </c>
      <c r="E413" s="15" t="s">
        <v>22</v>
      </c>
    </row>
    <row r="414" spans="1:7">
      <c r="A414" s="47">
        <v>1</v>
      </c>
      <c r="B414" s="47">
        <v>2</v>
      </c>
      <c r="C414" s="47">
        <v>3</v>
      </c>
      <c r="D414" s="47">
        <v>4</v>
      </c>
      <c r="E414" s="20">
        <v>5</v>
      </c>
    </row>
    <row r="415" spans="1:7" s="2" customFormat="1" ht="30">
      <c r="A415" s="10" t="s">
        <v>7</v>
      </c>
      <c r="B415" s="22">
        <v>197798185</v>
      </c>
      <c r="C415" s="22">
        <v>201398112</v>
      </c>
      <c r="D415" s="31">
        <v>1.3393999999999999</v>
      </c>
      <c r="E415" s="22">
        <v>269752631</v>
      </c>
      <c r="F415" s="78">
        <v>7.4300000000000005E-2</v>
      </c>
      <c r="G415" s="79"/>
    </row>
    <row r="416" spans="1:7" s="2" customFormat="1">
      <c r="A416" s="10"/>
      <c r="B416" s="22"/>
      <c r="C416" s="22"/>
      <c r="D416" s="31"/>
      <c r="E416" s="80">
        <f>F417*F415/1.22</f>
        <v>112373560</v>
      </c>
      <c r="F416" s="77">
        <f>179.64*1000</f>
        <v>179640</v>
      </c>
      <c r="G416" s="77"/>
    </row>
    <row r="417" spans="1:7" s="2" customFormat="1">
      <c r="A417" s="10" t="s">
        <v>6</v>
      </c>
      <c r="B417" s="22">
        <v>2092591633</v>
      </c>
      <c r="C417" s="22">
        <v>2130676801</v>
      </c>
      <c r="D417" s="31">
        <v>1.3702000000000001</v>
      </c>
      <c r="E417" s="22">
        <v>2919453353</v>
      </c>
      <c r="F417" s="77">
        <f>E424*F416+F425*E425</f>
        <v>1845164785</v>
      </c>
    </row>
    <row r="418" spans="1:7" s="2" customFormat="1">
      <c r="A418" s="65" t="s">
        <v>28</v>
      </c>
      <c r="B418" s="22">
        <v>2290389818</v>
      </c>
      <c r="C418" s="22">
        <v>2332074913</v>
      </c>
      <c r="D418" s="11"/>
      <c r="E418" s="22">
        <v>3189205984</v>
      </c>
      <c r="F418" s="1"/>
      <c r="G418" s="1"/>
    </row>
    <row r="419" spans="1:7" s="2" customFormat="1">
      <c r="A419" s="21" t="s">
        <v>30</v>
      </c>
      <c r="B419" s="22">
        <v>1908658182</v>
      </c>
      <c r="C419" s="22">
        <v>1943395761</v>
      </c>
      <c r="D419" s="22"/>
      <c r="E419" s="22">
        <v>2657671653</v>
      </c>
      <c r="F419" s="1"/>
      <c r="G419" s="1"/>
    </row>
    <row r="420" spans="1:7">
      <c r="A420" s="21" t="s">
        <v>29</v>
      </c>
      <c r="B420" s="22">
        <v>2328562982</v>
      </c>
      <c r="C420" s="22">
        <v>2370942828</v>
      </c>
      <c r="D420" s="22"/>
      <c r="E420" s="22">
        <v>3242359417</v>
      </c>
    </row>
    <row r="421" spans="1:7">
      <c r="A421" s="21" t="s">
        <v>31</v>
      </c>
      <c r="B421" s="22">
        <v>419904800</v>
      </c>
      <c r="C421" s="22">
        <v>427547067</v>
      </c>
      <c r="D421" s="22"/>
      <c r="E421" s="22">
        <v>584687764</v>
      </c>
    </row>
    <row r="422" spans="1:7">
      <c r="A422" s="5"/>
      <c r="B422" s="6"/>
      <c r="C422" s="7"/>
      <c r="D422" s="8"/>
      <c r="E422" s="7"/>
    </row>
    <row r="423" spans="1:7">
      <c r="A423" s="44" t="s">
        <v>8</v>
      </c>
      <c r="B423" s="6"/>
      <c r="C423" s="7"/>
      <c r="D423" s="8"/>
      <c r="E423" s="7"/>
    </row>
    <row r="424" spans="1:7">
      <c r="A424" s="34" t="s">
        <v>9</v>
      </c>
      <c r="B424" s="6"/>
      <c r="C424" s="7"/>
      <c r="D424" s="8"/>
      <c r="E424" s="24">
        <v>9496</v>
      </c>
      <c r="F424" s="83">
        <f>E416*1.22/E424</f>
        <v>14437.21</v>
      </c>
      <c r="G424" s="82">
        <f>E415*1.22/(E424+E425)</f>
        <v>32911.47</v>
      </c>
    </row>
    <row r="425" spans="1:7">
      <c r="A425" s="34" t="s">
        <v>171</v>
      </c>
      <c r="B425" s="6"/>
      <c r="C425" s="7"/>
      <c r="D425" s="8"/>
      <c r="E425" s="7">
        <f>13.25*38</f>
        <v>503.5</v>
      </c>
      <c r="F425" s="77">
        <f>276.67*1000</f>
        <v>276670</v>
      </c>
    </row>
    <row r="426" spans="1:7">
      <c r="A426" s="34"/>
      <c r="B426" s="6"/>
      <c r="C426" s="7"/>
      <c r="D426" s="8"/>
      <c r="E426" s="7"/>
    </row>
    <row r="427" spans="1:7">
      <c r="A427" s="33" t="s">
        <v>10</v>
      </c>
      <c r="B427" s="6"/>
      <c r="C427" s="7"/>
      <c r="D427" s="8"/>
      <c r="E427" s="43">
        <v>45870</v>
      </c>
    </row>
    <row r="428" spans="1:7">
      <c r="A428" s="33" t="s">
        <v>11</v>
      </c>
      <c r="B428" s="6"/>
      <c r="C428" s="7"/>
      <c r="D428" s="8"/>
      <c r="E428" s="43">
        <v>45992</v>
      </c>
    </row>
    <row r="429" spans="1:7">
      <c r="A429" s="5"/>
      <c r="B429" s="6"/>
      <c r="C429" s="7"/>
      <c r="D429" s="8"/>
      <c r="E429" s="7"/>
    </row>
    <row r="430" spans="1:7" ht="15" customHeight="1">
      <c r="A430" s="85" t="s">
        <v>37</v>
      </c>
      <c r="B430" s="85"/>
      <c r="C430" s="7"/>
      <c r="D430" s="8"/>
      <c r="E430" s="30">
        <v>1.0182</v>
      </c>
    </row>
    <row r="431" spans="1:7">
      <c r="A431" s="52"/>
      <c r="B431" s="52"/>
      <c r="C431" s="7"/>
      <c r="D431" s="8"/>
      <c r="E431" s="24"/>
    </row>
    <row r="432" spans="1:7" ht="15" customHeight="1">
      <c r="A432" s="86" t="s">
        <v>38</v>
      </c>
      <c r="B432" s="86"/>
      <c r="C432" s="86"/>
      <c r="D432" s="86"/>
      <c r="E432" s="86"/>
    </row>
    <row r="433" spans="1:6">
      <c r="A433" s="44"/>
      <c r="B433" s="44"/>
      <c r="C433" s="44"/>
      <c r="D433" s="44"/>
      <c r="E433" s="44"/>
    </row>
    <row r="434" spans="1:6">
      <c r="A434" s="52" t="s">
        <v>12</v>
      </c>
      <c r="B434" s="6"/>
      <c r="C434" s="7"/>
      <c r="D434" s="8"/>
      <c r="E434" s="29">
        <v>18</v>
      </c>
    </row>
    <row r="435" spans="1:6">
      <c r="A435" s="33" t="s">
        <v>13</v>
      </c>
      <c r="B435" s="6"/>
      <c r="C435" s="7"/>
      <c r="D435" s="8"/>
      <c r="E435" s="28">
        <v>48030</v>
      </c>
      <c r="F435" s="26"/>
    </row>
    <row r="436" spans="1:6">
      <c r="A436" s="33" t="s">
        <v>14</v>
      </c>
      <c r="B436" s="6"/>
      <c r="C436" s="7"/>
      <c r="D436" s="8"/>
      <c r="E436" s="28">
        <v>48579</v>
      </c>
      <c r="F436" s="26"/>
    </row>
    <row r="437" spans="1:6">
      <c r="A437" s="5"/>
      <c r="B437" s="6"/>
      <c r="C437" s="7"/>
      <c r="D437" s="32" t="s">
        <v>15</v>
      </c>
      <c r="E437" s="7"/>
    </row>
    <row r="438" spans="1:6">
      <c r="A438" s="85" t="s">
        <v>172</v>
      </c>
      <c r="B438" s="85"/>
      <c r="C438" s="7"/>
      <c r="D438" s="25">
        <v>6</v>
      </c>
      <c r="E438" s="23">
        <v>0.33</v>
      </c>
    </row>
    <row r="439" spans="1:6">
      <c r="A439" s="85" t="s">
        <v>173</v>
      </c>
      <c r="B439" s="85"/>
      <c r="C439" s="7"/>
      <c r="D439" s="25">
        <v>12</v>
      </c>
      <c r="E439" s="23">
        <v>0.67</v>
      </c>
    </row>
    <row r="440" spans="1:6">
      <c r="A440" s="33" t="s">
        <v>66</v>
      </c>
      <c r="B440" s="6"/>
      <c r="C440" s="7"/>
      <c r="D440" s="8"/>
      <c r="E440" s="30">
        <v>1.3084</v>
      </c>
    </row>
    <row r="441" spans="1:6">
      <c r="A441" s="33" t="s">
        <v>67</v>
      </c>
      <c r="B441" s="6"/>
      <c r="C441" s="7"/>
      <c r="D441" s="8"/>
      <c r="E441" s="30">
        <v>1.3547</v>
      </c>
    </row>
    <row r="442" spans="1:6">
      <c r="A442" s="33" t="s">
        <v>174</v>
      </c>
      <c r="B442" s="6"/>
      <c r="C442" s="7"/>
      <c r="D442" s="8"/>
      <c r="E442" s="30">
        <v>1.3393999999999999</v>
      </c>
    </row>
    <row r="443" spans="1:6">
      <c r="A443" s="5"/>
      <c r="B443" s="6"/>
      <c r="C443" s="7"/>
      <c r="D443" s="8"/>
      <c r="E443" s="7"/>
    </row>
    <row r="444" spans="1:6">
      <c r="A444" s="52" t="s">
        <v>16</v>
      </c>
      <c r="B444" s="6"/>
      <c r="C444" s="7"/>
      <c r="D444" s="8"/>
      <c r="E444" s="63">
        <v>18</v>
      </c>
      <c r="F444" s="18"/>
    </row>
    <row r="445" spans="1:6">
      <c r="A445" s="33" t="s">
        <v>17</v>
      </c>
      <c r="B445" s="6"/>
      <c r="C445" s="7"/>
      <c r="D445" s="8"/>
      <c r="E445" s="28">
        <v>48214</v>
      </c>
      <c r="F445" s="26"/>
    </row>
    <row r="446" spans="1:6">
      <c r="A446" s="33" t="s">
        <v>18</v>
      </c>
      <c r="B446" s="6"/>
      <c r="C446" s="7"/>
      <c r="D446" s="8"/>
      <c r="E446" s="28">
        <v>48741</v>
      </c>
      <c r="F446" s="26"/>
    </row>
    <row r="447" spans="1:6">
      <c r="A447" s="5"/>
      <c r="B447" s="6"/>
      <c r="C447" s="7"/>
      <c r="D447" s="32" t="s">
        <v>15</v>
      </c>
      <c r="E447" s="7"/>
    </row>
    <row r="448" spans="1:6">
      <c r="A448" s="85" t="s">
        <v>175</v>
      </c>
      <c r="B448" s="85"/>
      <c r="C448" s="7"/>
      <c r="D448" s="25">
        <v>12</v>
      </c>
      <c r="E448" s="23">
        <v>0.67</v>
      </c>
    </row>
    <row r="449" spans="1:7">
      <c r="A449" s="85" t="s">
        <v>176</v>
      </c>
      <c r="B449" s="85"/>
      <c r="C449" s="7"/>
      <c r="D449" s="25">
        <v>6</v>
      </c>
      <c r="E449" s="23">
        <v>0.33</v>
      </c>
    </row>
    <row r="450" spans="1:7">
      <c r="A450" s="33" t="s">
        <v>68</v>
      </c>
      <c r="B450" s="6"/>
      <c r="C450" s="7"/>
      <c r="D450" s="8"/>
      <c r="E450" s="30">
        <v>1.3547</v>
      </c>
    </row>
    <row r="451" spans="1:7">
      <c r="A451" s="33" t="s">
        <v>69</v>
      </c>
      <c r="B451" s="6"/>
      <c r="C451" s="7"/>
      <c r="D451" s="8"/>
      <c r="E451" s="30">
        <v>1.4017999999999999</v>
      </c>
    </row>
    <row r="452" spans="1:7">
      <c r="A452" s="33" t="s">
        <v>177</v>
      </c>
      <c r="B452" s="6"/>
      <c r="C452" s="7"/>
      <c r="D452" s="8"/>
      <c r="E452" s="30">
        <v>1.3702000000000001</v>
      </c>
    </row>
    <row r="454" spans="1:7" ht="73.5" customHeight="1">
      <c r="A454" s="84" t="s">
        <v>110</v>
      </c>
      <c r="B454" s="84"/>
      <c r="C454" s="84"/>
      <c r="D454" s="84"/>
      <c r="E454" s="84"/>
      <c r="F454" s="35"/>
    </row>
    <row r="455" spans="1:7" ht="99.75">
      <c r="A455" s="47" t="s">
        <v>4</v>
      </c>
      <c r="B455" s="56" t="s">
        <v>27</v>
      </c>
      <c r="C455" s="47" t="s">
        <v>36</v>
      </c>
      <c r="D455" s="15" t="s">
        <v>5</v>
      </c>
      <c r="E455" s="15" t="s">
        <v>22</v>
      </c>
    </row>
    <row r="456" spans="1:7">
      <c r="A456" s="47">
        <v>1</v>
      </c>
      <c r="B456" s="47">
        <v>2</v>
      </c>
      <c r="C456" s="47">
        <v>3</v>
      </c>
      <c r="D456" s="47">
        <v>4</v>
      </c>
      <c r="E456" s="20">
        <v>5</v>
      </c>
    </row>
    <row r="457" spans="1:7" s="2" customFormat="1" ht="30">
      <c r="A457" s="10" t="s">
        <v>7</v>
      </c>
      <c r="B457" s="22">
        <v>448134223</v>
      </c>
      <c r="C457" s="22">
        <v>456290266</v>
      </c>
      <c r="D457" s="31">
        <v>1.3181</v>
      </c>
      <c r="E457" s="22">
        <v>601436200</v>
      </c>
      <c r="F457" s="78">
        <v>7.4300000000000005E-2</v>
      </c>
      <c r="G457" s="79"/>
    </row>
    <row r="458" spans="1:7" s="2" customFormat="1">
      <c r="A458" s="10"/>
      <c r="B458" s="22"/>
      <c r="C458" s="22"/>
      <c r="D458" s="31"/>
      <c r="E458" s="80">
        <f>F459*F457/1.22</f>
        <v>357245024</v>
      </c>
      <c r="F458" s="77">
        <f>179.64*1000</f>
        <v>179640</v>
      </c>
      <c r="G458" s="77"/>
    </row>
    <row r="459" spans="1:7" s="2" customFormat="1">
      <c r="A459" s="10" t="s">
        <v>6</v>
      </c>
      <c r="B459" s="22">
        <v>5782277802</v>
      </c>
      <c r="C459" s="22">
        <v>5887515258</v>
      </c>
      <c r="D459" s="31">
        <v>1.3682000000000001</v>
      </c>
      <c r="E459" s="22">
        <v>8055298376</v>
      </c>
      <c r="F459" s="77">
        <f>E466*F458+F467*E467</f>
        <v>5865934447.5</v>
      </c>
    </row>
    <row r="460" spans="1:7" s="2" customFormat="1">
      <c r="A460" s="65" t="s">
        <v>28</v>
      </c>
      <c r="B460" s="22">
        <v>6230412025</v>
      </c>
      <c r="C460" s="22">
        <v>6343805524</v>
      </c>
      <c r="D460" s="11"/>
      <c r="E460" s="22">
        <v>8656734576</v>
      </c>
      <c r="F460" s="1"/>
      <c r="G460" s="1"/>
    </row>
    <row r="461" spans="1:7" s="2" customFormat="1">
      <c r="A461" s="21" t="s">
        <v>30</v>
      </c>
      <c r="B461" s="22">
        <v>5192010021</v>
      </c>
      <c r="C461" s="22">
        <v>5286504603</v>
      </c>
      <c r="D461" s="22"/>
      <c r="E461" s="22">
        <v>7213945480</v>
      </c>
      <c r="F461" s="1"/>
      <c r="G461" s="1"/>
    </row>
    <row r="462" spans="1:7">
      <c r="A462" s="21" t="s">
        <v>29</v>
      </c>
      <c r="B462" s="22">
        <v>6334252226</v>
      </c>
      <c r="C462" s="22">
        <v>6449535616</v>
      </c>
      <c r="D462" s="22"/>
      <c r="E462" s="22">
        <v>8801013486</v>
      </c>
    </row>
    <row r="463" spans="1:7">
      <c r="A463" s="21" t="s">
        <v>31</v>
      </c>
      <c r="B463" s="22">
        <v>1142242205</v>
      </c>
      <c r="C463" s="22">
        <v>1163031013</v>
      </c>
      <c r="D463" s="22"/>
      <c r="E463" s="22">
        <v>1587068006</v>
      </c>
    </row>
    <row r="464" spans="1:7">
      <c r="A464" s="5"/>
      <c r="B464" s="6"/>
      <c r="C464" s="7"/>
      <c r="D464" s="8"/>
      <c r="E464" s="7"/>
    </row>
    <row r="465" spans="1:7">
      <c r="A465" s="44" t="s">
        <v>8</v>
      </c>
      <c r="B465" s="6"/>
      <c r="C465" s="7"/>
      <c r="D465" s="8"/>
      <c r="E465" s="7"/>
    </row>
    <row r="466" spans="1:7">
      <c r="A466" s="34" t="s">
        <v>9</v>
      </c>
      <c r="B466" s="6"/>
      <c r="C466" s="7"/>
      <c r="D466" s="8"/>
      <c r="E466" s="24">
        <v>30756</v>
      </c>
      <c r="F466" s="83">
        <f>E458*1.22/E466</f>
        <v>14170.86</v>
      </c>
      <c r="G466" s="82">
        <f>E457*1.22/(E466+E467)</f>
        <v>22938.18</v>
      </c>
    </row>
    <row r="467" spans="1:7">
      <c r="A467" s="34" t="s">
        <v>178</v>
      </c>
      <c r="B467" s="6"/>
      <c r="C467" s="7"/>
      <c r="D467" s="8"/>
      <c r="E467" s="7">
        <f>13.25*93</f>
        <v>1232.25</v>
      </c>
      <c r="F467" s="77">
        <f>276.67*1000</f>
        <v>276670</v>
      </c>
    </row>
    <row r="468" spans="1:7">
      <c r="A468" s="34"/>
      <c r="B468" s="6"/>
      <c r="C468" s="7"/>
      <c r="D468" s="8"/>
      <c r="E468" s="7"/>
    </row>
    <row r="469" spans="1:7">
      <c r="A469" s="33" t="s">
        <v>10</v>
      </c>
      <c r="B469" s="6"/>
      <c r="C469" s="7"/>
      <c r="D469" s="8"/>
      <c r="E469" s="43">
        <v>45870</v>
      </c>
    </row>
    <row r="470" spans="1:7">
      <c r="A470" s="33" t="s">
        <v>11</v>
      </c>
      <c r="B470" s="6"/>
      <c r="C470" s="7"/>
      <c r="D470" s="8"/>
      <c r="E470" s="43">
        <v>45992</v>
      </c>
    </row>
    <row r="471" spans="1:7">
      <c r="A471" s="5"/>
      <c r="B471" s="6"/>
      <c r="C471" s="7"/>
      <c r="D471" s="8"/>
      <c r="E471" s="7"/>
    </row>
    <row r="472" spans="1:7" ht="15" customHeight="1">
      <c r="A472" s="85" t="s">
        <v>37</v>
      </c>
      <c r="B472" s="85"/>
      <c r="C472" s="7"/>
      <c r="D472" s="8"/>
      <c r="E472" s="30">
        <v>1.0182</v>
      </c>
    </row>
    <row r="473" spans="1:7">
      <c r="A473" s="52"/>
      <c r="B473" s="52"/>
      <c r="C473" s="7"/>
      <c r="D473" s="8"/>
      <c r="E473" s="24"/>
    </row>
    <row r="474" spans="1:7" ht="15" customHeight="1">
      <c r="A474" s="86" t="s">
        <v>38</v>
      </c>
      <c r="B474" s="86"/>
      <c r="C474" s="86"/>
      <c r="D474" s="86"/>
      <c r="E474" s="86"/>
    </row>
    <row r="475" spans="1:7">
      <c r="A475" s="44"/>
      <c r="B475" s="44"/>
      <c r="C475" s="44"/>
      <c r="D475" s="44"/>
      <c r="E475" s="44"/>
    </row>
    <row r="476" spans="1:7">
      <c r="A476" s="52" t="s">
        <v>12</v>
      </c>
      <c r="B476" s="6"/>
      <c r="C476" s="7"/>
      <c r="D476" s="8"/>
      <c r="E476" s="29">
        <v>18</v>
      </c>
    </row>
    <row r="477" spans="1:7">
      <c r="A477" s="33" t="s">
        <v>13</v>
      </c>
      <c r="B477" s="6"/>
      <c r="C477" s="7"/>
      <c r="D477" s="8"/>
      <c r="E477" s="28">
        <v>47908</v>
      </c>
      <c r="F477" s="26"/>
    </row>
    <row r="478" spans="1:7">
      <c r="A478" s="33" t="s">
        <v>14</v>
      </c>
      <c r="B478" s="6"/>
      <c r="C478" s="7"/>
      <c r="D478" s="8"/>
      <c r="E478" s="28">
        <v>48457</v>
      </c>
      <c r="F478" s="26"/>
    </row>
    <row r="479" spans="1:7">
      <c r="A479" s="5"/>
      <c r="B479" s="6"/>
      <c r="C479" s="7"/>
      <c r="D479" s="32" t="s">
        <v>15</v>
      </c>
      <c r="E479" s="7"/>
    </row>
    <row r="480" spans="1:7" ht="21.75" customHeight="1">
      <c r="A480" s="85" t="s">
        <v>179</v>
      </c>
      <c r="B480" s="85"/>
      <c r="C480" s="7"/>
      <c r="D480" s="25">
        <v>10</v>
      </c>
      <c r="E480" s="23">
        <v>0.56000000000000005</v>
      </c>
    </row>
    <row r="481" spans="1:6" ht="20.25" customHeight="1">
      <c r="A481" s="85" t="s">
        <v>180</v>
      </c>
      <c r="B481" s="85"/>
      <c r="C481" s="7"/>
      <c r="D481" s="25">
        <v>8</v>
      </c>
      <c r="E481" s="23">
        <v>0.44</v>
      </c>
    </row>
    <row r="482" spans="1:6" ht="21" customHeight="1">
      <c r="A482" s="33" t="s">
        <v>70</v>
      </c>
      <c r="B482" s="6"/>
      <c r="C482" s="7"/>
      <c r="D482" s="8"/>
      <c r="E482" s="30">
        <v>1.3002</v>
      </c>
    </row>
    <row r="483" spans="1:6" ht="19.5" customHeight="1">
      <c r="A483" s="33" t="s">
        <v>71</v>
      </c>
      <c r="B483" s="6"/>
      <c r="C483" s="7"/>
      <c r="D483" s="8"/>
      <c r="E483" s="30">
        <v>1.3408</v>
      </c>
    </row>
    <row r="484" spans="1:6" ht="19.5" customHeight="1">
      <c r="A484" s="33" t="s">
        <v>181</v>
      </c>
      <c r="B484" s="6"/>
      <c r="C484" s="7"/>
      <c r="D484" s="8"/>
      <c r="E484" s="30">
        <v>1.3181</v>
      </c>
    </row>
    <row r="485" spans="1:6">
      <c r="A485" s="5"/>
      <c r="B485" s="6"/>
      <c r="C485" s="7"/>
      <c r="D485" s="8"/>
      <c r="E485" s="7"/>
    </row>
    <row r="486" spans="1:6">
      <c r="A486" s="52" t="s">
        <v>16</v>
      </c>
      <c r="B486" s="6"/>
      <c r="C486" s="7"/>
      <c r="D486" s="8"/>
      <c r="E486" s="29">
        <v>25</v>
      </c>
      <c r="F486" s="18"/>
    </row>
    <row r="487" spans="1:6">
      <c r="A487" s="33" t="s">
        <v>17</v>
      </c>
      <c r="B487" s="6"/>
      <c r="C487" s="7"/>
      <c r="D487" s="8"/>
      <c r="E487" s="28">
        <v>48092</v>
      </c>
      <c r="F487" s="26"/>
    </row>
    <row r="488" spans="1:6">
      <c r="A488" s="33" t="s">
        <v>18</v>
      </c>
      <c r="B488" s="6"/>
      <c r="C488" s="7"/>
      <c r="D488" s="8"/>
      <c r="E488" s="28">
        <v>48833</v>
      </c>
      <c r="F488" s="26"/>
    </row>
    <row r="489" spans="1:6">
      <c r="A489" s="5"/>
      <c r="B489" s="6"/>
      <c r="C489" s="7"/>
      <c r="D489" s="32" t="s">
        <v>15</v>
      </c>
      <c r="E489" s="7"/>
    </row>
    <row r="490" spans="1:6" ht="20.25" customHeight="1">
      <c r="A490" s="85" t="s">
        <v>182</v>
      </c>
      <c r="B490" s="85"/>
      <c r="C490" s="7"/>
      <c r="D490" s="25">
        <v>4</v>
      </c>
      <c r="E490" s="23">
        <v>0.16</v>
      </c>
    </row>
    <row r="491" spans="1:6" ht="19.5" customHeight="1">
      <c r="A491" s="85" t="s">
        <v>183</v>
      </c>
      <c r="B491" s="85"/>
      <c r="C491" s="7"/>
      <c r="D491" s="25">
        <v>12</v>
      </c>
      <c r="E491" s="23">
        <v>0.48</v>
      </c>
    </row>
    <row r="492" spans="1:6" ht="18.75" customHeight="1">
      <c r="A492" s="85" t="s">
        <v>184</v>
      </c>
      <c r="B492" s="85"/>
      <c r="C492" s="7"/>
      <c r="D492" s="25">
        <v>9</v>
      </c>
      <c r="E492" s="23">
        <v>0.36</v>
      </c>
    </row>
    <row r="493" spans="1:6" ht="20.25" customHeight="1">
      <c r="A493" s="33" t="s">
        <v>72</v>
      </c>
      <c r="B493" s="6"/>
      <c r="C493" s="7"/>
      <c r="D493" s="8"/>
      <c r="E493" s="30">
        <v>1.3147</v>
      </c>
    </row>
    <row r="494" spans="1:6" ht="20.25" customHeight="1">
      <c r="A494" s="33" t="s">
        <v>67</v>
      </c>
      <c r="B494" s="6"/>
      <c r="C494" s="7"/>
      <c r="D494" s="8"/>
      <c r="E494" s="30">
        <v>1.3547</v>
      </c>
    </row>
    <row r="495" spans="1:6" ht="18.75" customHeight="1">
      <c r="A495" s="33" t="s">
        <v>73</v>
      </c>
      <c r="B495" s="6"/>
      <c r="C495" s="7"/>
      <c r="D495" s="8"/>
      <c r="E495" s="30">
        <v>1.4100999999999999</v>
      </c>
    </row>
    <row r="496" spans="1:6" ht="20.25" customHeight="1">
      <c r="A496" s="33" t="s">
        <v>185</v>
      </c>
      <c r="B496" s="6"/>
      <c r="C496" s="7"/>
      <c r="D496" s="8"/>
      <c r="E496" s="30">
        <v>1.3682000000000001</v>
      </c>
    </row>
    <row r="498" spans="1:7" ht="75" customHeight="1">
      <c r="A498" s="84" t="s">
        <v>111</v>
      </c>
      <c r="B498" s="84"/>
      <c r="C498" s="84"/>
      <c r="D498" s="84"/>
      <c r="E498" s="84"/>
      <c r="F498" s="35"/>
    </row>
    <row r="499" spans="1:7" ht="99.75">
      <c r="A499" s="47" t="s">
        <v>4</v>
      </c>
      <c r="B499" s="56" t="s">
        <v>27</v>
      </c>
      <c r="C499" s="47" t="s">
        <v>36</v>
      </c>
      <c r="D499" s="15" t="s">
        <v>5</v>
      </c>
      <c r="E499" s="15" t="s">
        <v>22</v>
      </c>
    </row>
    <row r="500" spans="1:7">
      <c r="A500" s="47">
        <v>1</v>
      </c>
      <c r="B500" s="47">
        <v>2</v>
      </c>
      <c r="C500" s="47">
        <v>3</v>
      </c>
      <c r="D500" s="47">
        <v>4</v>
      </c>
      <c r="E500" s="20">
        <v>5</v>
      </c>
    </row>
    <row r="501" spans="1:7" s="2" customFormat="1" ht="30">
      <c r="A501" s="10" t="s">
        <v>7</v>
      </c>
      <c r="B501" s="22">
        <v>255393855</v>
      </c>
      <c r="C501" s="22">
        <v>260042023</v>
      </c>
      <c r="D501" s="31">
        <v>1.3393999999999999</v>
      </c>
      <c r="E501" s="22">
        <v>348300286</v>
      </c>
      <c r="F501" s="78">
        <v>7.4300000000000005E-2</v>
      </c>
      <c r="G501" s="79"/>
    </row>
    <row r="502" spans="1:7" s="2" customFormat="1">
      <c r="A502" s="10"/>
      <c r="B502" s="22"/>
      <c r="C502" s="22"/>
      <c r="D502" s="31"/>
      <c r="E502" s="80">
        <f>F503*F501/1.22</f>
        <v>198559952</v>
      </c>
      <c r="F502" s="77">
        <f>179.64*1000</f>
        <v>179640</v>
      </c>
      <c r="G502" s="77"/>
    </row>
    <row r="503" spans="1:7" s="2" customFormat="1">
      <c r="A503" s="10" t="s">
        <v>6</v>
      </c>
      <c r="B503" s="22">
        <v>3247034421</v>
      </c>
      <c r="C503" s="22">
        <v>3306130447</v>
      </c>
      <c r="D503" s="31">
        <v>1.3785000000000001</v>
      </c>
      <c r="E503" s="22">
        <v>4557500821</v>
      </c>
      <c r="F503" s="77">
        <f>E510*F502+F511*E511</f>
        <v>3260338380</v>
      </c>
    </row>
    <row r="504" spans="1:7" s="2" customFormat="1">
      <c r="A504" s="65" t="s">
        <v>28</v>
      </c>
      <c r="B504" s="22">
        <v>3502428276</v>
      </c>
      <c r="C504" s="22">
        <v>3566172470</v>
      </c>
      <c r="D504" s="11"/>
      <c r="E504" s="22">
        <v>4905801107</v>
      </c>
      <c r="F504" s="1"/>
      <c r="G504" s="1"/>
    </row>
    <row r="505" spans="1:7" s="2" customFormat="1">
      <c r="A505" s="21" t="s">
        <v>30</v>
      </c>
      <c r="B505" s="22">
        <v>2918690230</v>
      </c>
      <c r="C505" s="22">
        <v>2971810392</v>
      </c>
      <c r="D505" s="22"/>
      <c r="E505" s="22">
        <v>4088167589</v>
      </c>
      <c r="F505" s="1"/>
      <c r="G505" s="1"/>
    </row>
    <row r="506" spans="1:7">
      <c r="A506" s="21" t="s">
        <v>29</v>
      </c>
      <c r="B506" s="22">
        <v>3560802081</v>
      </c>
      <c r="C506" s="22">
        <v>3625608678</v>
      </c>
      <c r="D506" s="22"/>
      <c r="E506" s="22">
        <v>4987564459</v>
      </c>
    </row>
    <row r="507" spans="1:7">
      <c r="A507" s="21" t="s">
        <v>31</v>
      </c>
      <c r="B507" s="22">
        <v>642111851</v>
      </c>
      <c r="C507" s="22">
        <v>653798286</v>
      </c>
      <c r="D507" s="22"/>
      <c r="E507" s="22">
        <v>899396870</v>
      </c>
    </row>
    <row r="508" spans="1:7">
      <c r="A508" s="5"/>
      <c r="B508" s="6"/>
      <c r="C508" s="7"/>
      <c r="D508" s="8"/>
      <c r="E508" s="7"/>
    </row>
    <row r="509" spans="1:7">
      <c r="A509" s="44" t="s">
        <v>8</v>
      </c>
      <c r="B509" s="6"/>
      <c r="C509" s="7"/>
      <c r="D509" s="8"/>
      <c r="E509" s="7"/>
    </row>
    <row r="510" spans="1:7">
      <c r="A510" s="34" t="s">
        <v>9</v>
      </c>
      <c r="B510" s="6"/>
      <c r="C510" s="7"/>
      <c r="D510" s="8"/>
      <c r="E510" s="24">
        <v>16680</v>
      </c>
      <c r="F510" s="83">
        <f>E502*1.22/E510</f>
        <v>14522.97</v>
      </c>
      <c r="G510" s="82">
        <f>E501*1.22/(E510+E511)</f>
        <v>24096.99</v>
      </c>
    </row>
    <row r="511" spans="1:7">
      <c r="A511" s="34" t="s">
        <v>186</v>
      </c>
      <c r="B511" s="6"/>
      <c r="C511" s="7"/>
      <c r="D511" s="8"/>
      <c r="E511" s="7">
        <f>13.25*72</f>
        <v>954</v>
      </c>
      <c r="F511" s="77">
        <f>276.67*1000</f>
        <v>276670</v>
      </c>
    </row>
    <row r="512" spans="1:7">
      <c r="A512" s="34"/>
      <c r="B512" s="6"/>
      <c r="C512" s="7"/>
      <c r="D512" s="8"/>
      <c r="E512" s="7"/>
    </row>
    <row r="513" spans="1:6">
      <c r="A513" s="33" t="s">
        <v>10</v>
      </c>
      <c r="B513" s="6"/>
      <c r="C513" s="7"/>
      <c r="D513" s="8"/>
      <c r="E513" s="43">
        <v>45870</v>
      </c>
    </row>
    <row r="514" spans="1:6">
      <c r="A514" s="33" t="s">
        <v>11</v>
      </c>
      <c r="B514" s="6"/>
      <c r="C514" s="7"/>
      <c r="D514" s="8"/>
      <c r="E514" s="43">
        <v>45992</v>
      </c>
    </row>
    <row r="515" spans="1:6">
      <c r="A515" s="5"/>
      <c r="B515" s="6"/>
      <c r="C515" s="7"/>
      <c r="D515" s="8"/>
      <c r="E515" s="7"/>
    </row>
    <row r="516" spans="1:6" ht="15" customHeight="1">
      <c r="A516" s="85" t="s">
        <v>37</v>
      </c>
      <c r="B516" s="85"/>
      <c r="C516" s="7"/>
      <c r="D516" s="8"/>
      <c r="E516" s="30">
        <v>1.0182</v>
      </c>
    </row>
    <row r="517" spans="1:6">
      <c r="A517" s="52"/>
      <c r="B517" s="52"/>
      <c r="C517" s="7"/>
      <c r="D517" s="8"/>
      <c r="E517" s="24"/>
    </row>
    <row r="518" spans="1:6" ht="15" customHeight="1">
      <c r="A518" s="86" t="s">
        <v>38</v>
      </c>
      <c r="B518" s="86"/>
      <c r="C518" s="86"/>
      <c r="D518" s="86"/>
      <c r="E518" s="86"/>
    </row>
    <row r="519" spans="1:6">
      <c r="A519" s="44"/>
      <c r="B519" s="44"/>
      <c r="C519" s="44"/>
      <c r="D519" s="44"/>
      <c r="E519" s="44"/>
    </row>
    <row r="520" spans="1:6">
      <c r="A520" s="52" t="s">
        <v>12</v>
      </c>
      <c r="B520" s="6"/>
      <c r="C520" s="7"/>
      <c r="D520" s="8"/>
      <c r="E520" s="29">
        <v>18</v>
      </c>
    </row>
    <row r="521" spans="1:6">
      <c r="A521" s="33" t="s">
        <v>13</v>
      </c>
      <c r="B521" s="6"/>
      <c r="C521" s="7"/>
      <c r="D521" s="8"/>
      <c r="E521" s="28">
        <v>48030</v>
      </c>
      <c r="F521" s="26"/>
    </row>
    <row r="522" spans="1:6">
      <c r="A522" s="33" t="s">
        <v>14</v>
      </c>
      <c r="B522" s="6"/>
      <c r="C522" s="7"/>
      <c r="D522" s="8"/>
      <c r="E522" s="28">
        <v>48579</v>
      </c>
      <c r="F522" s="26"/>
    </row>
    <row r="523" spans="1:6">
      <c r="A523" s="5"/>
      <c r="B523" s="6"/>
      <c r="C523" s="7"/>
      <c r="D523" s="32" t="s">
        <v>15</v>
      </c>
      <c r="E523" s="7"/>
    </row>
    <row r="524" spans="1:6">
      <c r="A524" s="85" t="s">
        <v>172</v>
      </c>
      <c r="B524" s="85"/>
      <c r="C524" s="7"/>
      <c r="D524" s="25">
        <v>6</v>
      </c>
      <c r="E524" s="23">
        <v>0.33</v>
      </c>
    </row>
    <row r="525" spans="1:6">
      <c r="A525" s="85" t="s">
        <v>173</v>
      </c>
      <c r="B525" s="85"/>
      <c r="C525" s="7"/>
      <c r="D525" s="25">
        <v>12</v>
      </c>
      <c r="E525" s="23">
        <v>0.67</v>
      </c>
    </row>
    <row r="526" spans="1:6">
      <c r="A526" s="33" t="s">
        <v>66</v>
      </c>
      <c r="B526" s="6"/>
      <c r="C526" s="7"/>
      <c r="D526" s="8"/>
      <c r="E526" s="30">
        <v>1.3084</v>
      </c>
    </row>
    <row r="527" spans="1:6">
      <c r="A527" s="33" t="s">
        <v>74</v>
      </c>
      <c r="B527" s="6"/>
      <c r="C527" s="7"/>
      <c r="D527" s="8"/>
      <c r="E527" s="30">
        <v>1.3547</v>
      </c>
    </row>
    <row r="528" spans="1:6">
      <c r="A528" s="33" t="s">
        <v>174</v>
      </c>
      <c r="B528" s="6"/>
      <c r="C528" s="7"/>
      <c r="D528" s="8"/>
      <c r="E528" s="30">
        <v>1.3393999999999999</v>
      </c>
    </row>
    <row r="529" spans="1:7">
      <c r="A529" s="5"/>
      <c r="B529" s="6"/>
      <c r="C529" s="7"/>
      <c r="D529" s="8"/>
      <c r="E529" s="7"/>
    </row>
    <row r="530" spans="1:7">
      <c r="A530" s="52" t="s">
        <v>16</v>
      </c>
      <c r="B530" s="6"/>
      <c r="C530" s="7"/>
      <c r="D530" s="8"/>
      <c r="E530" s="29">
        <v>21</v>
      </c>
      <c r="F530" s="18"/>
    </row>
    <row r="531" spans="1:7">
      <c r="A531" s="33" t="s">
        <v>17</v>
      </c>
      <c r="B531" s="6"/>
      <c r="C531" s="7"/>
      <c r="D531" s="8"/>
      <c r="E531" s="28">
        <v>48214</v>
      </c>
      <c r="F531" s="26"/>
    </row>
    <row r="532" spans="1:7">
      <c r="A532" s="33" t="s">
        <v>18</v>
      </c>
      <c r="B532" s="6"/>
      <c r="C532" s="7"/>
      <c r="D532" s="8"/>
      <c r="E532" s="28">
        <v>48833</v>
      </c>
      <c r="F532" s="26"/>
    </row>
    <row r="533" spans="1:7">
      <c r="A533" s="5"/>
      <c r="B533" s="6"/>
      <c r="C533" s="7"/>
      <c r="D533" s="32" t="s">
        <v>15</v>
      </c>
      <c r="E533" s="7"/>
    </row>
    <row r="534" spans="1:7">
      <c r="A534" s="85" t="s">
        <v>187</v>
      </c>
      <c r="B534" s="85"/>
      <c r="C534" s="7"/>
      <c r="D534" s="25">
        <v>12</v>
      </c>
      <c r="E534" s="23">
        <v>0.56999999999999995</v>
      </c>
    </row>
    <row r="535" spans="1:7">
      <c r="A535" s="85" t="s">
        <v>188</v>
      </c>
      <c r="B535" s="85"/>
      <c r="C535" s="7"/>
      <c r="D535" s="25">
        <v>9</v>
      </c>
      <c r="E535" s="23">
        <v>0.43</v>
      </c>
    </row>
    <row r="536" spans="1:7">
      <c r="A536" s="33" t="s">
        <v>68</v>
      </c>
      <c r="B536" s="6"/>
      <c r="C536" s="7"/>
      <c r="D536" s="8"/>
      <c r="E536" s="30">
        <v>1.3547</v>
      </c>
    </row>
    <row r="537" spans="1:7">
      <c r="A537" s="33" t="s">
        <v>75</v>
      </c>
      <c r="B537" s="6"/>
      <c r="C537" s="7"/>
      <c r="D537" s="8"/>
      <c r="E537" s="30">
        <v>1.4100999999999999</v>
      </c>
    </row>
    <row r="538" spans="1:7">
      <c r="A538" s="33" t="s">
        <v>189</v>
      </c>
      <c r="B538" s="6"/>
      <c r="C538" s="7"/>
      <c r="D538" s="8"/>
      <c r="E538" s="30">
        <v>1.3785000000000001</v>
      </c>
    </row>
    <row r="540" spans="1:7" ht="78.75" customHeight="1">
      <c r="A540" s="84" t="s">
        <v>34</v>
      </c>
      <c r="B540" s="84"/>
      <c r="C540" s="84"/>
      <c r="D540" s="84"/>
      <c r="E540" s="84"/>
      <c r="F540" s="35"/>
    </row>
    <row r="541" spans="1:7" ht="99.75">
      <c r="A541" s="47" t="s">
        <v>4</v>
      </c>
      <c r="B541" s="56" t="s">
        <v>27</v>
      </c>
      <c r="C541" s="47" t="s">
        <v>36</v>
      </c>
      <c r="D541" s="15" t="s">
        <v>5</v>
      </c>
      <c r="E541" s="15" t="s">
        <v>22</v>
      </c>
    </row>
    <row r="542" spans="1:7">
      <c r="A542" s="47">
        <v>1</v>
      </c>
      <c r="B542" s="47">
        <v>2</v>
      </c>
      <c r="C542" s="47">
        <v>3</v>
      </c>
      <c r="D542" s="47">
        <v>4</v>
      </c>
      <c r="E542" s="20">
        <v>5</v>
      </c>
    </row>
    <row r="543" spans="1:7" s="2" customFormat="1" ht="30">
      <c r="A543" s="10" t="s">
        <v>7</v>
      </c>
      <c r="B543" s="22">
        <v>162248861</v>
      </c>
      <c r="C543" s="22">
        <v>165201790</v>
      </c>
      <c r="D543" s="31">
        <v>1.2077</v>
      </c>
      <c r="E543" s="22">
        <v>199514202</v>
      </c>
      <c r="F543" s="78">
        <v>7.4300000000000005E-2</v>
      </c>
      <c r="G543" s="79"/>
    </row>
    <row r="544" spans="1:7" s="2" customFormat="1">
      <c r="A544" s="10"/>
      <c r="B544" s="22"/>
      <c r="C544" s="22"/>
      <c r="D544" s="31"/>
      <c r="E544" s="80">
        <f>F545*F543/1.22</f>
        <v>124356614</v>
      </c>
      <c r="F544" s="77">
        <f>179.64*1000</f>
        <v>179640</v>
      </c>
      <c r="G544" s="77"/>
    </row>
    <row r="545" spans="1:7" s="2" customFormat="1">
      <c r="A545" s="10" t="s">
        <v>6</v>
      </c>
      <c r="B545" s="22">
        <v>2050169917</v>
      </c>
      <c r="C545" s="22">
        <v>2087483009</v>
      </c>
      <c r="D545" s="31">
        <v>1.2358</v>
      </c>
      <c r="E545" s="22">
        <v>2579711503</v>
      </c>
      <c r="F545" s="77">
        <f>E552*F544+F553*E553</f>
        <v>2041925552.5</v>
      </c>
    </row>
    <row r="546" spans="1:7" s="2" customFormat="1">
      <c r="A546" s="65" t="s">
        <v>28</v>
      </c>
      <c r="B546" s="22">
        <v>2212418778</v>
      </c>
      <c r="C546" s="22">
        <v>2252684799</v>
      </c>
      <c r="D546" s="11"/>
      <c r="E546" s="22">
        <v>2779225705</v>
      </c>
      <c r="F546" s="1"/>
      <c r="G546" s="1"/>
    </row>
    <row r="547" spans="1:7" s="2" customFormat="1">
      <c r="A547" s="21" t="s">
        <v>30</v>
      </c>
      <c r="B547" s="22">
        <v>1843682315</v>
      </c>
      <c r="C547" s="22">
        <v>1877237333</v>
      </c>
      <c r="D547" s="22"/>
      <c r="E547" s="22">
        <v>2316021421</v>
      </c>
      <c r="F547" s="1"/>
      <c r="G547" s="1"/>
    </row>
    <row r="548" spans="1:7">
      <c r="A548" s="21" t="s">
        <v>29</v>
      </c>
      <c r="B548" s="22">
        <v>2249292424</v>
      </c>
      <c r="C548" s="22">
        <v>2290229546</v>
      </c>
      <c r="D548" s="22"/>
      <c r="E548" s="22">
        <v>2825546134</v>
      </c>
    </row>
    <row r="549" spans="1:7">
      <c r="A549" s="21" t="s">
        <v>31</v>
      </c>
      <c r="B549" s="22">
        <v>405610109</v>
      </c>
      <c r="C549" s="22">
        <v>412992213</v>
      </c>
      <c r="D549" s="22"/>
      <c r="E549" s="22">
        <v>509524713</v>
      </c>
    </row>
    <row r="550" spans="1:7">
      <c r="A550" s="5"/>
      <c r="B550" s="6"/>
      <c r="C550" s="7"/>
      <c r="D550" s="8"/>
      <c r="E550" s="7"/>
    </row>
    <row r="551" spans="1:7">
      <c r="A551" s="44" t="s">
        <v>8</v>
      </c>
      <c r="B551" s="6"/>
      <c r="C551" s="7"/>
      <c r="D551" s="8"/>
      <c r="E551" s="7"/>
    </row>
    <row r="552" spans="1:7">
      <c r="A552" s="34" t="s">
        <v>9</v>
      </c>
      <c r="B552" s="6"/>
      <c r="C552" s="7"/>
      <c r="D552" s="8"/>
      <c r="E552" s="24">
        <v>9673</v>
      </c>
      <c r="F552" s="83">
        <f>E544*1.22/E552</f>
        <v>15684.39</v>
      </c>
      <c r="G552" s="82">
        <f>E543*1.22/(E552+E553)</f>
        <v>22594.73</v>
      </c>
    </row>
    <row r="553" spans="1:7">
      <c r="A553" s="34" t="s">
        <v>190</v>
      </c>
      <c r="B553" s="6"/>
      <c r="C553" s="7"/>
      <c r="D553" s="8"/>
      <c r="E553" s="7">
        <f>13.25*83</f>
        <v>1099.75</v>
      </c>
      <c r="F553" s="77">
        <f>276.67*1000</f>
        <v>276670</v>
      </c>
    </row>
    <row r="554" spans="1:7">
      <c r="A554" s="34"/>
      <c r="B554" s="6"/>
      <c r="C554" s="7"/>
      <c r="D554" s="8"/>
      <c r="E554" s="7"/>
    </row>
    <row r="555" spans="1:7">
      <c r="A555" s="33" t="s">
        <v>10</v>
      </c>
      <c r="B555" s="6"/>
      <c r="C555" s="7"/>
      <c r="D555" s="8"/>
      <c r="E555" s="43">
        <v>45870</v>
      </c>
    </row>
    <row r="556" spans="1:7">
      <c r="A556" s="33" t="s">
        <v>11</v>
      </c>
      <c r="B556" s="6"/>
      <c r="C556" s="7"/>
      <c r="D556" s="8"/>
      <c r="E556" s="43">
        <v>45992</v>
      </c>
    </row>
    <row r="557" spans="1:7">
      <c r="A557" s="5"/>
      <c r="B557" s="6"/>
      <c r="C557" s="7"/>
      <c r="D557" s="8"/>
      <c r="E557" s="7"/>
    </row>
    <row r="558" spans="1:7" ht="15" customHeight="1">
      <c r="A558" s="85" t="s">
        <v>37</v>
      </c>
      <c r="B558" s="85"/>
      <c r="C558" s="7"/>
      <c r="D558" s="8"/>
      <c r="E558" s="30">
        <v>1.0182</v>
      </c>
    </row>
    <row r="559" spans="1:7">
      <c r="A559" s="52"/>
      <c r="B559" s="52"/>
      <c r="C559" s="7"/>
      <c r="D559" s="8"/>
      <c r="E559" s="24"/>
    </row>
    <row r="560" spans="1:7" ht="15" customHeight="1">
      <c r="A560" s="86" t="s">
        <v>38</v>
      </c>
      <c r="B560" s="86"/>
      <c r="C560" s="86"/>
      <c r="D560" s="86"/>
      <c r="E560" s="86"/>
    </row>
    <row r="561" spans="1:6">
      <c r="A561" s="44"/>
      <c r="B561" s="44"/>
      <c r="C561" s="44"/>
      <c r="D561" s="44"/>
      <c r="E561" s="44"/>
    </row>
    <row r="562" spans="1:6">
      <c r="A562" s="52" t="s">
        <v>12</v>
      </c>
      <c r="B562" s="6"/>
      <c r="C562" s="7"/>
      <c r="D562" s="8"/>
      <c r="E562" s="29">
        <v>18</v>
      </c>
    </row>
    <row r="563" spans="1:6">
      <c r="A563" s="33" t="s">
        <v>13</v>
      </c>
      <c r="B563" s="6"/>
      <c r="C563" s="7"/>
      <c r="D563" s="8"/>
      <c r="E563" s="28">
        <v>47209</v>
      </c>
      <c r="F563" s="26"/>
    </row>
    <row r="564" spans="1:6">
      <c r="A564" s="33" t="s">
        <v>14</v>
      </c>
      <c r="B564" s="6"/>
      <c r="C564" s="7"/>
      <c r="D564" s="8"/>
      <c r="E564" s="28">
        <v>47756</v>
      </c>
      <c r="F564" s="26"/>
    </row>
    <row r="565" spans="1:6">
      <c r="A565" s="5"/>
      <c r="B565" s="6"/>
      <c r="C565" s="7"/>
      <c r="D565" s="32" t="s">
        <v>15</v>
      </c>
      <c r="E565" s="7"/>
    </row>
    <row r="566" spans="1:6">
      <c r="A566" s="85" t="s">
        <v>191</v>
      </c>
      <c r="B566" s="85"/>
      <c r="C566" s="7"/>
      <c r="D566" s="25">
        <v>9</v>
      </c>
      <c r="E566" s="23">
        <v>0.5</v>
      </c>
    </row>
    <row r="567" spans="1:6">
      <c r="A567" s="85" t="s">
        <v>192</v>
      </c>
      <c r="B567" s="85"/>
      <c r="C567" s="7"/>
      <c r="D567" s="25">
        <v>9</v>
      </c>
      <c r="E567" s="23">
        <v>0.5</v>
      </c>
    </row>
    <row r="568" spans="1:6">
      <c r="A568" s="33" t="s">
        <v>76</v>
      </c>
      <c r="B568" s="6"/>
      <c r="C568" s="7"/>
      <c r="D568" s="8"/>
      <c r="E568" s="30">
        <v>1.1867000000000001</v>
      </c>
    </row>
    <row r="569" spans="1:6">
      <c r="A569" s="33" t="s">
        <v>77</v>
      </c>
      <c r="B569" s="6"/>
      <c r="C569" s="7"/>
      <c r="D569" s="8"/>
      <c r="E569" s="30">
        <v>1.2285999999999999</v>
      </c>
    </row>
    <row r="570" spans="1:6">
      <c r="A570" s="33" t="s">
        <v>193</v>
      </c>
      <c r="B570" s="6"/>
      <c r="C570" s="7"/>
      <c r="D570" s="8"/>
      <c r="E570" s="30">
        <v>1.2077</v>
      </c>
    </row>
    <row r="571" spans="1:6">
      <c r="A571" s="5"/>
      <c r="B571" s="6"/>
      <c r="C571" s="7"/>
      <c r="D571" s="8"/>
      <c r="E571" s="7"/>
    </row>
    <row r="572" spans="1:6">
      <c r="A572" s="52" t="s">
        <v>16</v>
      </c>
      <c r="B572" s="6"/>
      <c r="C572" s="7"/>
      <c r="D572" s="8"/>
      <c r="E572" s="29">
        <v>18</v>
      </c>
      <c r="F572" s="18"/>
    </row>
    <row r="573" spans="1:6">
      <c r="A573" s="33" t="s">
        <v>17</v>
      </c>
      <c r="B573" s="6"/>
      <c r="C573" s="7"/>
      <c r="D573" s="8"/>
      <c r="E573" s="28">
        <v>47392</v>
      </c>
      <c r="F573" s="26"/>
    </row>
    <row r="574" spans="1:6">
      <c r="A574" s="33" t="s">
        <v>18</v>
      </c>
      <c r="B574" s="6"/>
      <c r="C574" s="7"/>
      <c r="D574" s="8"/>
      <c r="E574" s="28">
        <v>47919</v>
      </c>
      <c r="F574" s="26"/>
    </row>
    <row r="575" spans="1:6">
      <c r="A575" s="5"/>
      <c r="B575" s="6"/>
      <c r="C575" s="7"/>
      <c r="D575" s="32" t="s">
        <v>15</v>
      </c>
      <c r="E575" s="7"/>
    </row>
    <row r="576" spans="1:6">
      <c r="A576" s="85" t="s">
        <v>194</v>
      </c>
      <c r="B576" s="85"/>
      <c r="C576" s="7"/>
      <c r="D576" s="25">
        <v>3</v>
      </c>
      <c r="E576" s="27">
        <v>0.16669999999999999</v>
      </c>
    </row>
    <row r="577" spans="1:7">
      <c r="A577" s="85" t="s">
        <v>195</v>
      </c>
      <c r="B577" s="85"/>
      <c r="C577" s="7"/>
      <c r="D577" s="25">
        <v>12</v>
      </c>
      <c r="E577" s="27">
        <v>0.66659999999999997</v>
      </c>
    </row>
    <row r="578" spans="1:7">
      <c r="A578" s="85" t="s">
        <v>196</v>
      </c>
      <c r="B578" s="85"/>
      <c r="C578" s="7"/>
      <c r="D578" s="25">
        <v>3</v>
      </c>
      <c r="E578" s="27">
        <v>0.16669999999999999</v>
      </c>
    </row>
    <row r="579" spans="1:7">
      <c r="A579" s="33" t="s">
        <v>78</v>
      </c>
      <c r="B579" s="6"/>
      <c r="C579" s="7"/>
      <c r="D579" s="8"/>
      <c r="E579" s="30">
        <v>1.1999</v>
      </c>
    </row>
    <row r="580" spans="1:7">
      <c r="A580" s="33" t="s">
        <v>79</v>
      </c>
      <c r="B580" s="6"/>
      <c r="C580" s="7"/>
      <c r="D580" s="8"/>
      <c r="E580" s="30">
        <v>1.2358</v>
      </c>
    </row>
    <row r="581" spans="1:7">
      <c r="A581" s="33" t="s">
        <v>80</v>
      </c>
      <c r="B581" s="6"/>
      <c r="C581" s="7"/>
      <c r="D581" s="8"/>
      <c r="E581" s="30">
        <v>1.2718</v>
      </c>
    </row>
    <row r="582" spans="1:7">
      <c r="A582" s="33" t="s">
        <v>197</v>
      </c>
      <c r="B582" s="6"/>
      <c r="C582" s="7"/>
      <c r="D582" s="8"/>
      <c r="E582" s="30">
        <v>1.2358</v>
      </c>
    </row>
    <row r="584" spans="1:7" ht="87" customHeight="1">
      <c r="A584" s="84" t="s">
        <v>112</v>
      </c>
      <c r="B584" s="84"/>
      <c r="C584" s="84"/>
      <c r="D584" s="84"/>
      <c r="E584" s="84"/>
      <c r="F584" s="35"/>
    </row>
    <row r="585" spans="1:7" ht="99.75">
      <c r="A585" s="47" t="s">
        <v>4</v>
      </c>
      <c r="B585" s="56" t="s">
        <v>27</v>
      </c>
      <c r="C585" s="47" t="s">
        <v>36</v>
      </c>
      <c r="D585" s="15" t="s">
        <v>5</v>
      </c>
      <c r="E585" s="15" t="s">
        <v>22</v>
      </c>
    </row>
    <row r="586" spans="1:7">
      <c r="A586" s="47">
        <v>1</v>
      </c>
      <c r="B586" s="47">
        <v>2</v>
      </c>
      <c r="C586" s="47">
        <v>3</v>
      </c>
      <c r="D586" s="47">
        <v>4</v>
      </c>
      <c r="E586" s="20">
        <v>5</v>
      </c>
    </row>
    <row r="587" spans="1:7" s="2" customFormat="1" ht="35.25" customHeight="1">
      <c r="A587" s="10" t="s">
        <v>7</v>
      </c>
      <c r="B587" s="22">
        <v>252997234</v>
      </c>
      <c r="C587" s="22">
        <v>257601784</v>
      </c>
      <c r="D587" s="31">
        <v>1.1938</v>
      </c>
      <c r="E587" s="22">
        <v>307525010</v>
      </c>
      <c r="F587" s="78">
        <v>7.4300000000000005E-2</v>
      </c>
      <c r="G587" s="79"/>
    </row>
    <row r="588" spans="1:7" s="2" customFormat="1" ht="35.25" customHeight="1">
      <c r="A588" s="10"/>
      <c r="B588" s="22"/>
      <c r="C588" s="22"/>
      <c r="D588" s="31"/>
      <c r="E588" s="80">
        <f>F589*F587/1.22</f>
        <v>192961638</v>
      </c>
      <c r="F588" s="77">
        <f>179.64*1000</f>
        <v>179640</v>
      </c>
      <c r="G588" s="77"/>
    </row>
    <row r="589" spans="1:7" s="2" customFormat="1">
      <c r="A589" s="10" t="s">
        <v>6</v>
      </c>
      <c r="B589" s="22">
        <v>3180692938</v>
      </c>
      <c r="C589" s="22">
        <v>3238581549</v>
      </c>
      <c r="D589" s="31">
        <v>1.2285999999999999</v>
      </c>
      <c r="E589" s="22">
        <v>3978921291</v>
      </c>
      <c r="F589" s="77">
        <f>E596*F588+F597*E597</f>
        <v>3168414507.5</v>
      </c>
    </row>
    <row r="590" spans="1:7" s="2" customFormat="1">
      <c r="A590" s="65" t="s">
        <v>28</v>
      </c>
      <c r="B590" s="22">
        <v>3433690172</v>
      </c>
      <c r="C590" s="22">
        <v>3496183333</v>
      </c>
      <c r="D590" s="11"/>
      <c r="E590" s="22">
        <v>4286446301</v>
      </c>
      <c r="F590" s="1"/>
      <c r="G590" s="1"/>
    </row>
    <row r="591" spans="1:7" s="2" customFormat="1">
      <c r="A591" s="21" t="s">
        <v>30</v>
      </c>
      <c r="B591" s="22">
        <v>2861408477</v>
      </c>
      <c r="C591" s="22">
        <v>2913486111</v>
      </c>
      <c r="D591" s="22"/>
      <c r="E591" s="22">
        <v>3572038584</v>
      </c>
      <c r="F591" s="1"/>
      <c r="G591" s="1"/>
    </row>
    <row r="592" spans="1:7">
      <c r="A592" s="21" t="s">
        <v>29</v>
      </c>
      <c r="B592" s="22">
        <v>3490918342</v>
      </c>
      <c r="C592" s="22">
        <v>3554453055</v>
      </c>
      <c r="D592" s="22"/>
      <c r="E592" s="22">
        <v>4357887072</v>
      </c>
    </row>
    <row r="593" spans="1:7">
      <c r="A593" s="21" t="s">
        <v>31</v>
      </c>
      <c r="B593" s="22">
        <v>629509865</v>
      </c>
      <c r="C593" s="22">
        <v>640966944</v>
      </c>
      <c r="D593" s="22"/>
      <c r="E593" s="22">
        <v>785848488</v>
      </c>
    </row>
    <row r="594" spans="1:7">
      <c r="A594" s="5"/>
      <c r="B594" s="6"/>
      <c r="C594" s="7"/>
      <c r="D594" s="8"/>
      <c r="E594" s="7"/>
    </row>
    <row r="595" spans="1:7">
      <c r="A595" s="44" t="s">
        <v>8</v>
      </c>
      <c r="B595" s="6"/>
      <c r="C595" s="7"/>
      <c r="D595" s="8"/>
      <c r="E595" s="7"/>
    </row>
    <row r="596" spans="1:7">
      <c r="A596" s="34" t="s">
        <v>9</v>
      </c>
      <c r="B596" s="6"/>
      <c r="C596" s="7"/>
      <c r="D596" s="8"/>
      <c r="E596" s="24">
        <v>15903</v>
      </c>
      <c r="F596" s="83">
        <f>E588*1.22/E596</f>
        <v>14803.07</v>
      </c>
      <c r="G596" s="82">
        <f>E587*1.22/(E596+E597)</f>
        <v>22031.53</v>
      </c>
    </row>
    <row r="597" spans="1:7">
      <c r="A597" s="34" t="s">
        <v>198</v>
      </c>
      <c r="B597" s="6"/>
      <c r="C597" s="7"/>
      <c r="D597" s="8"/>
      <c r="E597" s="7">
        <f>13.25*85</f>
        <v>1126.25</v>
      </c>
      <c r="F597" s="77">
        <f>276.67*1000</f>
        <v>276670</v>
      </c>
    </row>
    <row r="598" spans="1:7">
      <c r="A598" s="34"/>
      <c r="B598" s="6"/>
      <c r="C598" s="7"/>
      <c r="D598" s="8"/>
      <c r="E598" s="7"/>
    </row>
    <row r="599" spans="1:7">
      <c r="A599" s="33" t="s">
        <v>10</v>
      </c>
      <c r="B599" s="6"/>
      <c r="C599" s="7"/>
      <c r="D599" s="8"/>
      <c r="E599" s="43">
        <v>45870</v>
      </c>
    </row>
    <row r="600" spans="1:7">
      <c r="A600" s="33" t="s">
        <v>11</v>
      </c>
      <c r="B600" s="6"/>
      <c r="C600" s="7"/>
      <c r="D600" s="8"/>
      <c r="E600" s="43">
        <v>45992</v>
      </c>
    </row>
    <row r="601" spans="1:7">
      <c r="A601" s="5"/>
      <c r="B601" s="6"/>
      <c r="C601" s="7"/>
      <c r="D601" s="8"/>
      <c r="E601" s="7"/>
    </row>
    <row r="602" spans="1:7" ht="15" customHeight="1">
      <c r="A602" s="85" t="s">
        <v>37</v>
      </c>
      <c r="B602" s="85"/>
      <c r="C602" s="7"/>
      <c r="D602" s="8"/>
      <c r="E602" s="30">
        <v>1.0182</v>
      </c>
    </row>
    <row r="603" spans="1:7">
      <c r="A603" s="52"/>
      <c r="B603" s="52"/>
      <c r="C603" s="7"/>
      <c r="D603" s="8"/>
      <c r="E603" s="24"/>
    </row>
    <row r="604" spans="1:7" ht="15" customHeight="1">
      <c r="A604" s="86" t="s">
        <v>38</v>
      </c>
      <c r="B604" s="86"/>
      <c r="C604" s="86"/>
      <c r="D604" s="86"/>
      <c r="E604" s="86"/>
    </row>
    <row r="605" spans="1:7">
      <c r="A605" s="44"/>
      <c r="B605" s="44"/>
      <c r="C605" s="44"/>
      <c r="D605" s="44"/>
      <c r="E605" s="44"/>
    </row>
    <row r="606" spans="1:7">
      <c r="A606" s="52" t="s">
        <v>12</v>
      </c>
      <c r="B606" s="6"/>
      <c r="C606" s="7"/>
      <c r="D606" s="8"/>
      <c r="E606" s="29">
        <v>18</v>
      </c>
    </row>
    <row r="607" spans="1:7">
      <c r="A607" s="33" t="s">
        <v>13</v>
      </c>
      <c r="B607" s="6"/>
      <c r="C607" s="7"/>
      <c r="D607" s="8"/>
      <c r="E607" s="28">
        <v>47119</v>
      </c>
      <c r="F607" s="26"/>
    </row>
    <row r="608" spans="1:7">
      <c r="A608" s="33" t="s">
        <v>14</v>
      </c>
      <c r="B608" s="6"/>
      <c r="C608" s="7"/>
      <c r="D608" s="8"/>
      <c r="E608" s="28">
        <v>47664</v>
      </c>
      <c r="F608" s="26"/>
    </row>
    <row r="609" spans="1:6">
      <c r="A609" s="5"/>
      <c r="B609" s="6"/>
      <c r="C609" s="7"/>
      <c r="D609" s="32" t="s">
        <v>15</v>
      </c>
      <c r="E609" s="7"/>
    </row>
    <row r="610" spans="1:6">
      <c r="A610" s="85" t="s">
        <v>199</v>
      </c>
      <c r="B610" s="85"/>
      <c r="C610" s="7"/>
      <c r="D610" s="25">
        <v>12</v>
      </c>
      <c r="E610" s="23">
        <v>0.67</v>
      </c>
    </row>
    <row r="611" spans="1:6">
      <c r="A611" s="85" t="s">
        <v>200</v>
      </c>
      <c r="B611" s="85"/>
      <c r="C611" s="7"/>
      <c r="D611" s="25">
        <v>6</v>
      </c>
      <c r="E611" s="23">
        <v>0.33</v>
      </c>
    </row>
    <row r="612" spans="1:6">
      <c r="A612" s="33" t="s">
        <v>81</v>
      </c>
      <c r="B612" s="6"/>
      <c r="C612" s="7"/>
      <c r="D612" s="8"/>
      <c r="E612" s="30">
        <v>1.1802999999999999</v>
      </c>
    </row>
    <row r="613" spans="1:6">
      <c r="A613" s="33" t="s">
        <v>82</v>
      </c>
      <c r="B613" s="6"/>
      <c r="C613" s="7"/>
      <c r="D613" s="8"/>
      <c r="E613" s="30">
        <v>1.2213000000000001</v>
      </c>
    </row>
    <row r="614" spans="1:6">
      <c r="A614" s="33" t="s">
        <v>201</v>
      </c>
      <c r="B614" s="6"/>
      <c r="C614" s="7"/>
      <c r="D614" s="8"/>
      <c r="E614" s="30">
        <v>1.1938</v>
      </c>
    </row>
    <row r="615" spans="1:6">
      <c r="A615" s="5"/>
      <c r="B615" s="6"/>
      <c r="C615" s="7"/>
      <c r="D615" s="8"/>
      <c r="E615" s="7"/>
    </row>
    <row r="616" spans="1:6">
      <c r="A616" s="52" t="s">
        <v>16</v>
      </c>
      <c r="B616" s="6"/>
      <c r="C616" s="7"/>
      <c r="D616" s="8"/>
      <c r="E616" s="29">
        <v>21</v>
      </c>
      <c r="F616" s="18"/>
    </row>
    <row r="617" spans="1:6">
      <c r="A617" s="33" t="s">
        <v>17</v>
      </c>
      <c r="B617" s="6"/>
      <c r="C617" s="7"/>
      <c r="D617" s="8"/>
      <c r="E617" s="28">
        <v>47300</v>
      </c>
      <c r="F617" s="26"/>
    </row>
    <row r="618" spans="1:6">
      <c r="A618" s="33" t="s">
        <v>18</v>
      </c>
      <c r="B618" s="6"/>
      <c r="C618" s="7"/>
      <c r="D618" s="8"/>
      <c r="E618" s="28">
        <v>47918</v>
      </c>
      <c r="F618" s="26"/>
    </row>
    <row r="619" spans="1:6">
      <c r="A619" s="5"/>
      <c r="B619" s="6"/>
      <c r="C619" s="7"/>
      <c r="D619" s="32" t="s">
        <v>15</v>
      </c>
      <c r="E619" s="7"/>
    </row>
    <row r="620" spans="1:6">
      <c r="A620" s="85" t="s">
        <v>202</v>
      </c>
      <c r="B620" s="85"/>
      <c r="C620" s="7"/>
      <c r="D620" s="25">
        <v>6</v>
      </c>
      <c r="E620" s="23">
        <v>0.28999999999999998</v>
      </c>
    </row>
    <row r="621" spans="1:6">
      <c r="A621" s="85" t="s">
        <v>203</v>
      </c>
      <c r="B621" s="85"/>
      <c r="C621" s="7"/>
      <c r="D621" s="25">
        <v>12</v>
      </c>
      <c r="E621" s="23">
        <v>0.56999999999999995</v>
      </c>
    </row>
    <row r="622" spans="1:6">
      <c r="A622" s="85" t="s">
        <v>204</v>
      </c>
      <c r="B622" s="85"/>
      <c r="C622" s="7"/>
      <c r="D622" s="25">
        <v>3</v>
      </c>
      <c r="E622" s="23">
        <v>0.14000000000000001</v>
      </c>
    </row>
    <row r="623" spans="1:6">
      <c r="A623" s="33" t="s">
        <v>83</v>
      </c>
      <c r="B623" s="6"/>
      <c r="C623" s="7"/>
      <c r="D623" s="8"/>
      <c r="E623" s="30">
        <v>1.1936</v>
      </c>
    </row>
    <row r="624" spans="1:6">
      <c r="A624" s="33" t="s">
        <v>79</v>
      </c>
      <c r="B624" s="6"/>
      <c r="C624" s="7"/>
      <c r="D624" s="8"/>
      <c r="E624" s="30">
        <v>1.2358</v>
      </c>
    </row>
    <row r="625" spans="1:7">
      <c r="A625" s="33" t="s">
        <v>80</v>
      </c>
      <c r="B625" s="6"/>
      <c r="C625" s="7"/>
      <c r="D625" s="8"/>
      <c r="E625" s="30">
        <v>1.2718</v>
      </c>
    </row>
    <row r="626" spans="1:7">
      <c r="A626" s="33" t="s">
        <v>205</v>
      </c>
      <c r="B626" s="6"/>
      <c r="C626" s="7"/>
      <c r="D626" s="8"/>
      <c r="E626" s="30">
        <v>1.2285999999999999</v>
      </c>
    </row>
    <row r="628" spans="1:7" ht="87" customHeight="1">
      <c r="A628" s="87" t="s">
        <v>122</v>
      </c>
      <c r="B628" s="87"/>
      <c r="C628" s="87"/>
      <c r="D628" s="87"/>
      <c r="E628" s="87"/>
      <c r="F628" s="35"/>
    </row>
    <row r="629" spans="1:7" ht="99.75">
      <c r="A629" s="47" t="s">
        <v>4</v>
      </c>
      <c r="B629" s="56" t="s">
        <v>27</v>
      </c>
      <c r="C629" s="47" t="s">
        <v>36</v>
      </c>
      <c r="D629" s="15" t="s">
        <v>5</v>
      </c>
      <c r="E629" s="15" t="s">
        <v>22</v>
      </c>
    </row>
    <row r="630" spans="1:7">
      <c r="A630" s="47">
        <v>1</v>
      </c>
      <c r="B630" s="47">
        <v>2</v>
      </c>
      <c r="C630" s="47">
        <v>3</v>
      </c>
      <c r="D630" s="47">
        <v>4</v>
      </c>
      <c r="E630" s="20">
        <v>5</v>
      </c>
    </row>
    <row r="631" spans="1:7" s="2" customFormat="1" ht="30">
      <c r="A631" s="10" t="s">
        <v>7</v>
      </c>
      <c r="B631" s="22">
        <v>858371937</v>
      </c>
      <c r="C631" s="22">
        <v>873994306</v>
      </c>
      <c r="D631" s="31">
        <v>1.1758</v>
      </c>
      <c r="E631" s="22">
        <v>1027642505</v>
      </c>
      <c r="F631" s="78">
        <v>7.4300000000000005E-2</v>
      </c>
      <c r="G631" s="79"/>
    </row>
    <row r="632" spans="1:7" s="2" customFormat="1">
      <c r="A632" s="10"/>
      <c r="B632" s="22"/>
      <c r="C632" s="22"/>
      <c r="D632" s="31"/>
      <c r="E632" s="80">
        <f>F633*F631/1.22</f>
        <v>673169026</v>
      </c>
      <c r="F632" s="77">
        <f>179.64*1000</f>
        <v>179640</v>
      </c>
      <c r="G632" s="77"/>
    </row>
    <row r="633" spans="1:7" s="2" customFormat="1">
      <c r="A633" s="10" t="s">
        <v>6</v>
      </c>
      <c r="B633" s="22">
        <v>10974073739</v>
      </c>
      <c r="C633" s="22">
        <v>11173801881</v>
      </c>
      <c r="D633" s="31">
        <v>1.2202</v>
      </c>
      <c r="E633" s="22">
        <v>13634273055</v>
      </c>
      <c r="F633" s="77">
        <f>E640*F632+F641*E641</f>
        <v>11053381042.5</v>
      </c>
    </row>
    <row r="634" spans="1:7" s="2" customFormat="1">
      <c r="A634" s="65" t="s">
        <v>28</v>
      </c>
      <c r="B634" s="22">
        <v>11832445676</v>
      </c>
      <c r="C634" s="22">
        <v>12047796187</v>
      </c>
      <c r="D634" s="11"/>
      <c r="E634" s="22">
        <v>14661915560</v>
      </c>
      <c r="F634" s="1"/>
      <c r="G634" s="1"/>
    </row>
    <row r="635" spans="1:7" s="2" customFormat="1">
      <c r="A635" s="21" t="s">
        <v>30</v>
      </c>
      <c r="B635" s="22">
        <v>9860371397</v>
      </c>
      <c r="C635" s="22">
        <v>10039830156</v>
      </c>
      <c r="D635" s="22"/>
      <c r="E635" s="22">
        <v>12218262967</v>
      </c>
      <c r="F635" s="1"/>
      <c r="G635" s="1"/>
    </row>
    <row r="636" spans="1:7">
      <c r="A636" s="21" t="s">
        <v>29</v>
      </c>
      <c r="B636" s="22">
        <v>12029653104</v>
      </c>
      <c r="C636" s="22">
        <v>12248592790</v>
      </c>
      <c r="D636" s="22"/>
      <c r="E636" s="22">
        <v>14906280820</v>
      </c>
    </row>
    <row r="637" spans="1:7">
      <c r="A637" s="21" t="s">
        <v>31</v>
      </c>
      <c r="B637" s="22">
        <v>2169281707</v>
      </c>
      <c r="C637" s="22">
        <v>2208762634</v>
      </c>
      <c r="D637" s="22"/>
      <c r="E637" s="22">
        <v>2688017853</v>
      </c>
    </row>
    <row r="638" spans="1:7">
      <c r="A638" s="5"/>
      <c r="B638" s="6"/>
      <c r="C638" s="7"/>
      <c r="D638" s="8"/>
      <c r="E638" s="7"/>
    </row>
    <row r="639" spans="1:7">
      <c r="A639" s="44" t="s">
        <v>8</v>
      </c>
      <c r="B639" s="6"/>
      <c r="C639" s="7"/>
      <c r="D639" s="8"/>
      <c r="E639" s="7"/>
    </row>
    <row r="640" spans="1:7">
      <c r="A640" s="34" t="s">
        <v>9</v>
      </c>
      <c r="B640" s="6"/>
      <c r="C640" s="7"/>
      <c r="D640" s="8"/>
      <c r="E640" s="24">
        <v>56327</v>
      </c>
      <c r="F640" s="83">
        <f>E632*1.22/E640</f>
        <v>14580.33</v>
      </c>
      <c r="G640" s="82">
        <f>E631*1.22/(E640+E641)</f>
        <v>20998.38</v>
      </c>
    </row>
    <row r="641" spans="1:6">
      <c r="A641" s="34" t="s">
        <v>206</v>
      </c>
      <c r="B641" s="6"/>
      <c r="C641" s="7"/>
      <c r="D641" s="8"/>
      <c r="E641" s="7">
        <f>13.25*255</f>
        <v>3378.75</v>
      </c>
      <c r="F641" s="77">
        <f>276.67*1000</f>
        <v>276670</v>
      </c>
    </row>
    <row r="642" spans="1:6">
      <c r="A642" s="34"/>
      <c r="B642" s="6"/>
      <c r="C642" s="7"/>
      <c r="D642" s="8"/>
      <c r="E642" s="7"/>
    </row>
    <row r="643" spans="1:6">
      <c r="A643" s="33" t="s">
        <v>10</v>
      </c>
      <c r="B643" s="6"/>
      <c r="C643" s="7"/>
      <c r="D643" s="8"/>
      <c r="E643" s="43">
        <v>45870</v>
      </c>
    </row>
    <row r="644" spans="1:6">
      <c r="A644" s="33" t="s">
        <v>11</v>
      </c>
      <c r="B644" s="6"/>
      <c r="C644" s="7"/>
      <c r="D644" s="8"/>
      <c r="E644" s="43">
        <v>45992</v>
      </c>
    </row>
    <row r="645" spans="1:6">
      <c r="A645" s="5"/>
      <c r="B645" s="6"/>
      <c r="C645" s="7"/>
      <c r="D645" s="8"/>
      <c r="E645" s="7"/>
    </row>
    <row r="646" spans="1:6" ht="15" customHeight="1">
      <c r="A646" s="85" t="s">
        <v>37</v>
      </c>
      <c r="B646" s="85"/>
      <c r="C646" s="7"/>
      <c r="D646" s="8"/>
      <c r="E646" s="30">
        <v>1.0182</v>
      </c>
    </row>
    <row r="647" spans="1:6">
      <c r="A647" s="52"/>
      <c r="B647" s="52"/>
      <c r="C647" s="7"/>
      <c r="D647" s="8"/>
      <c r="E647" s="24"/>
    </row>
    <row r="648" spans="1:6" ht="15" customHeight="1">
      <c r="A648" s="86" t="s">
        <v>38</v>
      </c>
      <c r="B648" s="86"/>
      <c r="C648" s="86"/>
      <c r="D648" s="86"/>
      <c r="E648" s="86"/>
    </row>
    <row r="649" spans="1:6">
      <c r="A649" s="44"/>
      <c r="B649" s="44"/>
      <c r="C649" s="44"/>
      <c r="D649" s="44"/>
      <c r="E649" s="44"/>
    </row>
    <row r="650" spans="1:6">
      <c r="A650" s="52" t="s">
        <v>12</v>
      </c>
      <c r="B650" s="6"/>
      <c r="C650" s="7"/>
      <c r="D650" s="8"/>
      <c r="E650" s="29">
        <v>18</v>
      </c>
    </row>
    <row r="651" spans="1:6">
      <c r="A651" s="33" t="s">
        <v>13</v>
      </c>
      <c r="B651" s="6"/>
      <c r="C651" s="7"/>
      <c r="D651" s="8"/>
      <c r="E651" s="28">
        <v>46997</v>
      </c>
      <c r="F651" s="26"/>
    </row>
    <row r="652" spans="1:6">
      <c r="A652" s="33" t="s">
        <v>14</v>
      </c>
      <c r="B652" s="6"/>
      <c r="C652" s="7"/>
      <c r="D652" s="8"/>
      <c r="E652" s="28">
        <v>47542</v>
      </c>
      <c r="F652" s="26"/>
    </row>
    <row r="653" spans="1:6">
      <c r="A653" s="5"/>
      <c r="B653" s="6"/>
      <c r="C653" s="7"/>
      <c r="D653" s="32" t="s">
        <v>15</v>
      </c>
      <c r="E653" s="7"/>
    </row>
    <row r="654" spans="1:6">
      <c r="A654" s="85" t="s">
        <v>207</v>
      </c>
      <c r="B654" s="85"/>
      <c r="C654" s="7"/>
      <c r="D654" s="25">
        <v>4</v>
      </c>
      <c r="E654" s="23">
        <v>0.22</v>
      </c>
    </row>
    <row r="655" spans="1:6">
      <c r="A655" s="85" t="s">
        <v>208</v>
      </c>
      <c r="B655" s="85"/>
      <c r="C655" s="7"/>
      <c r="D655" s="25">
        <v>12</v>
      </c>
      <c r="E655" s="23">
        <v>0.67</v>
      </c>
    </row>
    <row r="656" spans="1:6">
      <c r="A656" s="85" t="s">
        <v>209</v>
      </c>
      <c r="B656" s="85"/>
      <c r="C656" s="7"/>
      <c r="D656" s="25">
        <v>2</v>
      </c>
      <c r="E656" s="23">
        <v>0.11</v>
      </c>
    </row>
    <row r="657" spans="1:6">
      <c r="A657" s="33" t="s">
        <v>84</v>
      </c>
      <c r="B657" s="6"/>
      <c r="C657" s="7"/>
      <c r="D657" s="8"/>
      <c r="E657" s="30">
        <v>1.1455</v>
      </c>
    </row>
    <row r="658" spans="1:6">
      <c r="A658" s="33" t="s">
        <v>60</v>
      </c>
      <c r="B658" s="6"/>
      <c r="C658" s="7"/>
      <c r="D658" s="8"/>
      <c r="E658" s="30">
        <v>1.1802999999999999</v>
      </c>
    </row>
    <row r="659" spans="1:6">
      <c r="A659" s="33" t="s">
        <v>85</v>
      </c>
      <c r="B659" s="6"/>
      <c r="C659" s="7"/>
      <c r="D659" s="8"/>
      <c r="E659" s="30">
        <v>1.2093</v>
      </c>
    </row>
    <row r="660" spans="1:6">
      <c r="A660" s="33" t="s">
        <v>210</v>
      </c>
      <c r="B660" s="6"/>
      <c r="C660" s="7"/>
      <c r="D660" s="8"/>
      <c r="E660" s="30">
        <v>1.1758</v>
      </c>
    </row>
    <row r="661" spans="1:6">
      <c r="A661" s="5"/>
      <c r="B661" s="6"/>
      <c r="C661" s="7"/>
      <c r="D661" s="8"/>
      <c r="E661" s="7"/>
    </row>
    <row r="662" spans="1:6">
      <c r="A662" s="52" t="s">
        <v>16</v>
      </c>
      <c r="B662" s="6"/>
      <c r="C662" s="7"/>
      <c r="D662" s="8"/>
      <c r="E662" s="29">
        <v>25</v>
      </c>
      <c r="F662" s="18"/>
    </row>
    <row r="663" spans="1:6">
      <c r="A663" s="33" t="s">
        <v>17</v>
      </c>
      <c r="B663" s="6"/>
      <c r="C663" s="7"/>
      <c r="D663" s="8"/>
      <c r="E663" s="28">
        <v>47178</v>
      </c>
      <c r="F663" s="26"/>
    </row>
    <row r="664" spans="1:6">
      <c r="A664" s="33" t="s">
        <v>18</v>
      </c>
      <c r="B664" s="6"/>
      <c r="C664" s="7"/>
      <c r="D664" s="8"/>
      <c r="E664" s="28">
        <v>47919</v>
      </c>
      <c r="F664" s="26"/>
    </row>
    <row r="665" spans="1:6">
      <c r="A665" s="5"/>
      <c r="B665" s="6"/>
      <c r="C665" s="7"/>
      <c r="D665" s="32" t="s">
        <v>15</v>
      </c>
      <c r="E665" s="7"/>
    </row>
    <row r="666" spans="1:6">
      <c r="A666" s="85" t="s">
        <v>211</v>
      </c>
      <c r="B666" s="85"/>
      <c r="C666" s="7"/>
      <c r="D666" s="25">
        <v>10</v>
      </c>
      <c r="E666" s="23">
        <v>0.4</v>
      </c>
    </row>
    <row r="667" spans="1:6">
      <c r="A667" s="85" t="s">
        <v>212</v>
      </c>
      <c r="B667" s="85"/>
      <c r="C667" s="7"/>
      <c r="D667" s="25">
        <v>12</v>
      </c>
      <c r="E667" s="23">
        <v>0.48</v>
      </c>
    </row>
    <row r="668" spans="1:6">
      <c r="A668" s="85" t="s">
        <v>213</v>
      </c>
      <c r="B668" s="85"/>
      <c r="C668" s="7"/>
      <c r="D668" s="25">
        <v>3</v>
      </c>
      <c r="E668" s="23">
        <v>0.12</v>
      </c>
    </row>
    <row r="669" spans="1:6">
      <c r="A669" s="33" t="s">
        <v>86</v>
      </c>
      <c r="B669" s="6"/>
      <c r="C669" s="7"/>
      <c r="D669" s="8"/>
      <c r="E669" s="30">
        <v>1.1860999999999999</v>
      </c>
    </row>
    <row r="670" spans="1:6">
      <c r="A670" s="33" t="s">
        <v>79</v>
      </c>
      <c r="B670" s="6"/>
      <c r="C670" s="7"/>
      <c r="D670" s="8"/>
      <c r="E670" s="30">
        <v>1.2358</v>
      </c>
    </row>
    <row r="671" spans="1:6">
      <c r="A671" s="33" t="s">
        <v>80</v>
      </c>
      <c r="B671" s="6"/>
      <c r="C671" s="7"/>
      <c r="D671" s="8"/>
      <c r="E671" s="30">
        <v>1.2718</v>
      </c>
    </row>
    <row r="672" spans="1:6">
      <c r="A672" s="33" t="s">
        <v>214</v>
      </c>
      <c r="B672" s="6"/>
      <c r="C672" s="7"/>
      <c r="D672" s="8"/>
      <c r="E672" s="30">
        <v>1.2202</v>
      </c>
    </row>
    <row r="674" spans="1:7" ht="62.25" customHeight="1">
      <c r="A674" s="84" t="s">
        <v>113</v>
      </c>
      <c r="B674" s="84"/>
      <c r="C674" s="84"/>
      <c r="D674" s="84"/>
      <c r="E674" s="84"/>
      <c r="F674" s="35"/>
    </row>
    <row r="675" spans="1:7" ht="99.75">
      <c r="A675" s="47" t="s">
        <v>4</v>
      </c>
      <c r="B675" s="56" t="s">
        <v>27</v>
      </c>
      <c r="C675" s="47" t="s">
        <v>36</v>
      </c>
      <c r="D675" s="15" t="s">
        <v>5</v>
      </c>
      <c r="E675" s="15" t="s">
        <v>22</v>
      </c>
    </row>
    <row r="676" spans="1:7">
      <c r="A676" s="47">
        <v>1</v>
      </c>
      <c r="B676" s="47">
        <v>2</v>
      </c>
      <c r="C676" s="47">
        <v>3</v>
      </c>
      <c r="D676" s="47">
        <v>4</v>
      </c>
      <c r="E676" s="20">
        <v>5</v>
      </c>
    </row>
    <row r="677" spans="1:7" s="2" customFormat="1" ht="30">
      <c r="A677" s="10" t="s">
        <v>7</v>
      </c>
      <c r="B677" s="22">
        <v>480022830</v>
      </c>
      <c r="C677" s="22">
        <v>488759246</v>
      </c>
      <c r="D677" s="31">
        <v>1.046</v>
      </c>
      <c r="E677" s="22">
        <v>511242171</v>
      </c>
      <c r="F677" s="78">
        <v>7.4300000000000005E-2</v>
      </c>
      <c r="G677" s="79"/>
    </row>
    <row r="678" spans="1:7" s="2" customFormat="1">
      <c r="A678" s="10"/>
      <c r="B678" s="22"/>
      <c r="C678" s="22"/>
      <c r="D678" s="31"/>
      <c r="E678" s="80">
        <f>F679*F677/1.22</f>
        <v>397180173</v>
      </c>
      <c r="F678" s="77">
        <f>179.64*1000</f>
        <v>179640</v>
      </c>
      <c r="G678" s="77"/>
    </row>
    <row r="679" spans="1:7" s="2" customFormat="1">
      <c r="A679" s="10" t="s">
        <v>6</v>
      </c>
      <c r="B679" s="22">
        <v>6328591352</v>
      </c>
      <c r="C679" s="22">
        <v>6443771715</v>
      </c>
      <c r="D679" s="31">
        <v>1.0838000000000001</v>
      </c>
      <c r="E679" s="22">
        <v>6983759785</v>
      </c>
      <c r="F679" s="77">
        <f>E686*F678+F687*E687</f>
        <v>6521666360</v>
      </c>
    </row>
    <row r="680" spans="1:7" s="2" customFormat="1">
      <c r="A680" s="65" t="s">
        <v>28</v>
      </c>
      <c r="B680" s="22">
        <v>6808614182</v>
      </c>
      <c r="C680" s="22">
        <v>6932530961</v>
      </c>
      <c r="D680" s="11"/>
      <c r="E680" s="22">
        <v>7495001956</v>
      </c>
      <c r="F680" s="1"/>
      <c r="G680" s="1"/>
    </row>
    <row r="681" spans="1:7" s="2" customFormat="1">
      <c r="A681" s="21" t="s">
        <v>30</v>
      </c>
      <c r="B681" s="22">
        <v>5673845152</v>
      </c>
      <c r="C681" s="22">
        <v>5777109134</v>
      </c>
      <c r="D681" s="22"/>
      <c r="E681" s="22">
        <v>6245834963</v>
      </c>
      <c r="F681" s="1"/>
      <c r="G681" s="1"/>
    </row>
    <row r="682" spans="1:7">
      <c r="A682" s="21" t="s">
        <v>29</v>
      </c>
      <c r="B682" s="22">
        <v>6922091085</v>
      </c>
      <c r="C682" s="22">
        <v>7048073143</v>
      </c>
      <c r="D682" s="22"/>
      <c r="E682" s="22">
        <v>7619918655</v>
      </c>
    </row>
    <row r="683" spans="1:7">
      <c r="A683" s="21" t="s">
        <v>31</v>
      </c>
      <c r="B683" s="22">
        <v>1248245933</v>
      </c>
      <c r="C683" s="22">
        <v>1270964009</v>
      </c>
      <c r="D683" s="22"/>
      <c r="E683" s="22">
        <v>1374083692</v>
      </c>
    </row>
    <row r="684" spans="1:7">
      <c r="A684" s="5"/>
      <c r="B684" s="6"/>
      <c r="C684" s="7"/>
      <c r="D684" s="8"/>
      <c r="E684" s="7"/>
    </row>
    <row r="685" spans="1:7">
      <c r="A685" s="44" t="s">
        <v>8</v>
      </c>
      <c r="B685" s="6"/>
      <c r="C685" s="7"/>
      <c r="D685" s="8"/>
      <c r="E685" s="7"/>
    </row>
    <row r="686" spans="1:7">
      <c r="A686" s="34" t="s">
        <v>9</v>
      </c>
      <c r="B686" s="6"/>
      <c r="C686" s="7"/>
      <c r="D686" s="8"/>
      <c r="E686" s="24">
        <v>33039</v>
      </c>
      <c r="F686" s="83">
        <f>E678*1.22/E686</f>
        <v>14666.3</v>
      </c>
      <c r="G686" s="82">
        <f>E677*1.22/(E686+E687)</f>
        <v>17739.849999999999</v>
      </c>
    </row>
    <row r="687" spans="1:7">
      <c r="A687" s="34" t="s">
        <v>215</v>
      </c>
      <c r="B687" s="6"/>
      <c r="C687" s="7"/>
      <c r="D687" s="8"/>
      <c r="E687" s="7">
        <f>13.25*160</f>
        <v>2120</v>
      </c>
      <c r="F687" s="77">
        <f>276.67*1000</f>
        <v>276670</v>
      </c>
    </row>
    <row r="688" spans="1:7">
      <c r="A688" s="34"/>
      <c r="B688" s="6"/>
      <c r="C688" s="7"/>
      <c r="D688" s="8"/>
      <c r="E688" s="7"/>
    </row>
    <row r="689" spans="1:6">
      <c r="A689" s="33" t="s">
        <v>10</v>
      </c>
      <c r="B689" s="6"/>
      <c r="C689" s="7"/>
      <c r="D689" s="8"/>
      <c r="E689" s="43">
        <v>45870</v>
      </c>
    </row>
    <row r="690" spans="1:6">
      <c r="A690" s="33" t="s">
        <v>11</v>
      </c>
      <c r="B690" s="6"/>
      <c r="C690" s="7"/>
      <c r="D690" s="8"/>
      <c r="E690" s="43">
        <v>45992</v>
      </c>
    </row>
    <row r="691" spans="1:6">
      <c r="A691" s="5"/>
      <c r="B691" s="6"/>
      <c r="C691" s="7"/>
      <c r="D691" s="8"/>
      <c r="E691" s="7"/>
    </row>
    <row r="692" spans="1:6" ht="15" customHeight="1">
      <c r="A692" s="85" t="s">
        <v>37</v>
      </c>
      <c r="B692" s="85"/>
      <c r="C692" s="7"/>
      <c r="D692" s="8"/>
      <c r="E692" s="30">
        <v>1.0182</v>
      </c>
    </row>
    <row r="693" spans="1:6">
      <c r="A693" s="52"/>
      <c r="B693" s="52"/>
      <c r="C693" s="7"/>
      <c r="D693" s="8"/>
      <c r="E693" s="24"/>
    </row>
    <row r="694" spans="1:6" ht="15" customHeight="1">
      <c r="A694" s="86" t="s">
        <v>38</v>
      </c>
      <c r="B694" s="86"/>
      <c r="C694" s="86"/>
      <c r="D694" s="86"/>
      <c r="E694" s="86"/>
    </row>
    <row r="695" spans="1:6">
      <c r="A695" s="44"/>
      <c r="B695" s="44"/>
      <c r="C695" s="44"/>
      <c r="D695" s="44"/>
      <c r="E695" s="44"/>
    </row>
    <row r="696" spans="1:6">
      <c r="A696" s="52" t="s">
        <v>12</v>
      </c>
      <c r="B696" s="6"/>
      <c r="C696" s="7"/>
      <c r="D696" s="8"/>
      <c r="E696" s="29">
        <v>18</v>
      </c>
    </row>
    <row r="697" spans="1:6">
      <c r="A697" s="33" t="s">
        <v>13</v>
      </c>
      <c r="B697" s="6"/>
      <c r="C697" s="7"/>
      <c r="D697" s="8"/>
      <c r="E697" s="28">
        <v>46082</v>
      </c>
      <c r="F697" s="26"/>
    </row>
    <row r="698" spans="1:6">
      <c r="A698" s="33" t="s">
        <v>14</v>
      </c>
      <c r="B698" s="6"/>
      <c r="C698" s="7"/>
      <c r="D698" s="8"/>
      <c r="E698" s="28">
        <v>46630</v>
      </c>
      <c r="F698" s="26"/>
    </row>
    <row r="699" spans="1:6">
      <c r="A699" s="5"/>
      <c r="B699" s="6"/>
      <c r="C699" s="7"/>
      <c r="D699" s="32" t="s">
        <v>15</v>
      </c>
      <c r="E699" s="7"/>
    </row>
    <row r="700" spans="1:6" ht="15" customHeight="1">
      <c r="A700" s="85" t="s">
        <v>124</v>
      </c>
      <c r="B700" s="85"/>
      <c r="C700" s="7"/>
      <c r="D700" s="25">
        <v>10</v>
      </c>
      <c r="E700" s="23">
        <v>0.56000000000000005</v>
      </c>
    </row>
    <row r="701" spans="1:6" ht="15" customHeight="1">
      <c r="A701" s="85" t="s">
        <v>125</v>
      </c>
      <c r="B701" s="85"/>
      <c r="C701" s="7"/>
      <c r="D701" s="25">
        <v>8</v>
      </c>
      <c r="E701" s="23">
        <v>0.44</v>
      </c>
    </row>
    <row r="702" spans="1:6">
      <c r="A702" s="33" t="s">
        <v>39</v>
      </c>
      <c r="B702" s="6"/>
      <c r="C702" s="7"/>
      <c r="D702" s="8"/>
      <c r="E702" s="30">
        <v>1.0309999999999999</v>
      </c>
    </row>
    <row r="703" spans="1:6">
      <c r="A703" s="33" t="s">
        <v>40</v>
      </c>
      <c r="B703" s="6"/>
      <c r="C703" s="7"/>
      <c r="D703" s="8"/>
      <c r="E703" s="30">
        <v>1.0651999999999999</v>
      </c>
    </row>
    <row r="704" spans="1:6">
      <c r="A704" s="33" t="s">
        <v>126</v>
      </c>
      <c r="B704" s="6"/>
      <c r="C704" s="7"/>
      <c r="D704" s="8"/>
      <c r="E704" s="30">
        <v>1.046</v>
      </c>
    </row>
    <row r="705" spans="1:6">
      <c r="A705" s="5"/>
      <c r="B705" s="6"/>
      <c r="C705" s="7"/>
      <c r="D705" s="8"/>
      <c r="E705" s="7"/>
    </row>
    <row r="706" spans="1:6">
      <c r="A706" s="52" t="s">
        <v>16</v>
      </c>
      <c r="B706" s="6"/>
      <c r="C706" s="7"/>
      <c r="D706" s="8"/>
      <c r="E706" s="29">
        <v>24</v>
      </c>
      <c r="F706" s="18"/>
    </row>
    <row r="707" spans="1:6">
      <c r="A707" s="33" t="s">
        <v>17</v>
      </c>
      <c r="B707" s="6"/>
      <c r="C707" s="7"/>
      <c r="D707" s="8"/>
      <c r="E707" s="28">
        <v>46266</v>
      </c>
      <c r="F707" s="26"/>
    </row>
    <row r="708" spans="1:6">
      <c r="A708" s="33" t="s">
        <v>18</v>
      </c>
      <c r="B708" s="6"/>
      <c r="C708" s="7"/>
      <c r="D708" s="8"/>
      <c r="E708" s="28">
        <v>46976</v>
      </c>
      <c r="F708" s="26"/>
    </row>
    <row r="709" spans="1:6">
      <c r="A709" s="5"/>
      <c r="B709" s="6"/>
      <c r="C709" s="7"/>
      <c r="D709" s="32" t="s">
        <v>15</v>
      </c>
      <c r="E709" s="7"/>
    </row>
    <row r="710" spans="1:6">
      <c r="A710" s="85" t="s">
        <v>216</v>
      </c>
      <c r="B710" s="85"/>
      <c r="C710" s="7"/>
      <c r="D710" s="25">
        <v>4</v>
      </c>
      <c r="E710" s="23">
        <v>0.17</v>
      </c>
    </row>
    <row r="711" spans="1:6">
      <c r="A711" s="85" t="s">
        <v>217</v>
      </c>
      <c r="B711" s="85"/>
      <c r="C711" s="7"/>
      <c r="D711" s="25">
        <v>12</v>
      </c>
      <c r="E711" s="23">
        <v>0.5</v>
      </c>
    </row>
    <row r="712" spans="1:6">
      <c r="A712" s="85" t="s">
        <v>218</v>
      </c>
      <c r="B712" s="85"/>
      <c r="C712" s="7"/>
      <c r="D712" s="25">
        <v>8</v>
      </c>
      <c r="E712" s="23">
        <v>0.33</v>
      </c>
    </row>
    <row r="713" spans="1:6">
      <c r="A713" s="33" t="s">
        <v>87</v>
      </c>
      <c r="B713" s="6"/>
      <c r="C713" s="7"/>
      <c r="D713" s="8"/>
      <c r="E713" s="30">
        <v>1.0435000000000001</v>
      </c>
    </row>
    <row r="714" spans="1:6">
      <c r="A714" s="33" t="s">
        <v>88</v>
      </c>
      <c r="B714" s="6"/>
      <c r="C714" s="7"/>
      <c r="D714" s="8"/>
      <c r="E714" s="30">
        <v>1.0763</v>
      </c>
    </row>
    <row r="715" spans="1:6">
      <c r="A715" s="33" t="s">
        <v>89</v>
      </c>
      <c r="B715" s="6"/>
      <c r="C715" s="7"/>
      <c r="D715" s="8"/>
      <c r="E715" s="30">
        <v>1.1157999999999999</v>
      </c>
    </row>
    <row r="716" spans="1:6">
      <c r="A716" s="33" t="s">
        <v>219</v>
      </c>
      <c r="B716" s="6"/>
      <c r="C716" s="7"/>
      <c r="D716" s="8"/>
      <c r="E716" s="30">
        <v>1.0838000000000001</v>
      </c>
    </row>
    <row r="718" spans="1:6" ht="43.5" customHeight="1">
      <c r="A718" s="87" t="s">
        <v>114</v>
      </c>
      <c r="B718" s="87"/>
      <c r="C718" s="87"/>
      <c r="D718" s="87"/>
      <c r="E718" s="87"/>
      <c r="F718" s="35"/>
    </row>
    <row r="719" spans="1:6" ht="99.75">
      <c r="A719" s="47" t="s">
        <v>4</v>
      </c>
      <c r="B719" s="56" t="s">
        <v>27</v>
      </c>
      <c r="C719" s="47" t="s">
        <v>36</v>
      </c>
      <c r="D719" s="15" t="s">
        <v>5</v>
      </c>
      <c r="E719" s="15" t="s">
        <v>22</v>
      </c>
    </row>
    <row r="720" spans="1:6">
      <c r="A720" s="47">
        <v>1</v>
      </c>
      <c r="B720" s="47">
        <v>2</v>
      </c>
      <c r="C720" s="47">
        <v>3</v>
      </c>
      <c r="D720" s="47">
        <v>4</v>
      </c>
      <c r="E720" s="20">
        <v>5</v>
      </c>
    </row>
    <row r="721" spans="1:7" s="2" customFormat="1" ht="30">
      <c r="A721" s="10" t="s">
        <v>7</v>
      </c>
      <c r="B721" s="22">
        <v>21962545</v>
      </c>
      <c r="C721" s="22">
        <v>22362263</v>
      </c>
      <c r="D721" s="31">
        <v>1.1802999999999999</v>
      </c>
      <c r="E721" s="22">
        <v>26394179</v>
      </c>
      <c r="F721" s="78">
        <v>7.4300000000000005E-2</v>
      </c>
      <c r="G721" s="79"/>
    </row>
    <row r="722" spans="1:7" s="2" customFormat="1">
      <c r="A722" s="10"/>
      <c r="B722" s="22"/>
      <c r="C722" s="22"/>
      <c r="D722" s="31"/>
      <c r="E722" s="80">
        <f>F723*F721/1.22</f>
        <v>66977385</v>
      </c>
      <c r="F722" s="77">
        <f>179.64*1000</f>
        <v>179640</v>
      </c>
      <c r="G722" s="77"/>
    </row>
    <row r="723" spans="1:7" s="2" customFormat="1">
      <c r="A723" s="10" t="s">
        <v>6</v>
      </c>
      <c r="B723" s="22">
        <v>411072474</v>
      </c>
      <c r="C723" s="22">
        <v>418553993</v>
      </c>
      <c r="D723" s="31">
        <v>1.2075</v>
      </c>
      <c r="E723" s="22">
        <v>505403947</v>
      </c>
      <c r="F723" s="77">
        <f>E730*F722+F731*E731</f>
        <v>1099763250</v>
      </c>
    </row>
    <row r="724" spans="1:7" s="2" customFormat="1">
      <c r="A724" s="65" t="s">
        <v>28</v>
      </c>
      <c r="B724" s="22">
        <v>433035019</v>
      </c>
      <c r="C724" s="22">
        <v>440916256</v>
      </c>
      <c r="D724" s="11"/>
      <c r="E724" s="22">
        <v>531798126</v>
      </c>
      <c r="F724" s="1"/>
      <c r="G724" s="1"/>
    </row>
    <row r="725" spans="1:7" s="2" customFormat="1">
      <c r="A725" s="21" t="s">
        <v>30</v>
      </c>
      <c r="B725" s="22">
        <v>360862516</v>
      </c>
      <c r="C725" s="22">
        <v>367430213</v>
      </c>
      <c r="D725" s="22"/>
      <c r="E725" s="22">
        <v>443165105</v>
      </c>
      <c r="F725" s="1"/>
      <c r="G725" s="1"/>
    </row>
    <row r="726" spans="1:7">
      <c r="A726" s="21" t="s">
        <v>29</v>
      </c>
      <c r="B726" s="22">
        <v>440252270</v>
      </c>
      <c r="C726" s="22">
        <v>448264860</v>
      </c>
      <c r="D726" s="22"/>
      <c r="E726" s="22">
        <v>540661428</v>
      </c>
    </row>
    <row r="727" spans="1:7">
      <c r="A727" s="21" t="s">
        <v>31</v>
      </c>
      <c r="B727" s="22">
        <v>79389754</v>
      </c>
      <c r="C727" s="22">
        <v>80834647</v>
      </c>
      <c r="D727" s="22"/>
      <c r="E727" s="22">
        <v>97496323</v>
      </c>
    </row>
    <row r="728" spans="1:7">
      <c r="A728" s="5"/>
      <c r="B728" s="6"/>
      <c r="C728" s="7"/>
      <c r="D728" s="8"/>
      <c r="E728" s="7"/>
    </row>
    <row r="729" spans="1:7">
      <c r="A729" s="44" t="s">
        <v>8</v>
      </c>
      <c r="B729" s="6"/>
      <c r="C729" s="7"/>
      <c r="D729" s="8"/>
      <c r="E729" s="7"/>
    </row>
    <row r="730" spans="1:7">
      <c r="A730" s="34" t="s">
        <v>220</v>
      </c>
      <c r="B730" s="6"/>
      <c r="C730" s="7"/>
      <c r="D730" s="8"/>
      <c r="E730" s="7">
        <v>0</v>
      </c>
      <c r="F730" s="83">
        <f>E722*1.22/E731</f>
        <v>20556.580000000002</v>
      </c>
      <c r="G730" s="82">
        <f>E721*1.22/(E730+E731)</f>
        <v>8100.85</v>
      </c>
    </row>
    <row r="731" spans="1:7">
      <c r="A731" s="34"/>
      <c r="B731" s="6"/>
      <c r="C731" s="7"/>
      <c r="D731" s="8"/>
      <c r="E731" s="7">
        <f>13.25*300</f>
        <v>3975</v>
      </c>
      <c r="F731" s="77">
        <f>276.67*1000</f>
        <v>276670</v>
      </c>
    </row>
    <row r="732" spans="1:7">
      <c r="A732" s="33" t="s">
        <v>10</v>
      </c>
      <c r="B732" s="6"/>
      <c r="C732" s="7"/>
      <c r="D732" s="8"/>
      <c r="E732" s="43">
        <v>45870</v>
      </c>
    </row>
    <row r="733" spans="1:7">
      <c r="A733" s="33" t="s">
        <v>11</v>
      </c>
      <c r="B733" s="6"/>
      <c r="C733" s="7"/>
      <c r="D733" s="8"/>
      <c r="E733" s="43">
        <v>45992</v>
      </c>
    </row>
    <row r="734" spans="1:7">
      <c r="A734" s="5"/>
      <c r="B734" s="6"/>
      <c r="C734" s="7"/>
      <c r="D734" s="8"/>
      <c r="E734" s="7"/>
    </row>
    <row r="735" spans="1:7" ht="15" customHeight="1">
      <c r="A735" s="85" t="s">
        <v>37</v>
      </c>
      <c r="B735" s="85"/>
      <c r="C735" s="7"/>
      <c r="D735" s="8"/>
      <c r="E735" s="30">
        <v>1.0182</v>
      </c>
    </row>
    <row r="736" spans="1:7">
      <c r="A736" s="52"/>
      <c r="B736" s="52"/>
      <c r="C736" s="7"/>
      <c r="D736" s="8"/>
      <c r="E736" s="24"/>
    </row>
    <row r="737" spans="1:6" ht="15" customHeight="1">
      <c r="A737" s="86" t="s">
        <v>38</v>
      </c>
      <c r="B737" s="86"/>
      <c r="C737" s="86"/>
      <c r="D737" s="86"/>
      <c r="E737" s="86"/>
    </row>
    <row r="738" spans="1:6">
      <c r="A738" s="44"/>
      <c r="B738" s="44"/>
      <c r="C738" s="44"/>
      <c r="D738" s="44"/>
      <c r="E738" s="44"/>
    </row>
    <row r="739" spans="1:6">
      <c r="A739" s="69" t="s">
        <v>12</v>
      </c>
      <c r="B739" s="58"/>
      <c r="C739" s="59"/>
      <c r="D739" s="60"/>
      <c r="E739" s="63">
        <v>14</v>
      </c>
    </row>
    <row r="740" spans="1:6">
      <c r="A740" s="57" t="s">
        <v>13</v>
      </c>
      <c r="B740" s="58"/>
      <c r="C740" s="59"/>
      <c r="D740" s="60"/>
      <c r="E740" s="71">
        <v>47088</v>
      </c>
      <c r="F740" s="26"/>
    </row>
    <row r="741" spans="1:6">
      <c r="A741" s="57" t="s">
        <v>14</v>
      </c>
      <c r="B741" s="58"/>
      <c r="C741" s="59"/>
      <c r="D741" s="60"/>
      <c r="E741" s="71">
        <v>47514</v>
      </c>
      <c r="F741" s="26"/>
    </row>
    <row r="742" spans="1:6">
      <c r="A742" s="61"/>
      <c r="B742" s="58"/>
      <c r="C742" s="59"/>
      <c r="D742" s="72" t="s">
        <v>15</v>
      </c>
      <c r="E742" s="59"/>
    </row>
    <row r="743" spans="1:6" ht="21.75" customHeight="1">
      <c r="A743" s="88" t="s">
        <v>221</v>
      </c>
      <c r="B743" s="88"/>
      <c r="C743" s="59"/>
      <c r="D743" s="70">
        <v>1</v>
      </c>
      <c r="E743" s="73">
        <v>7.0000000000000007E-2</v>
      </c>
    </row>
    <row r="744" spans="1:6" ht="20.25" customHeight="1">
      <c r="A744" s="88" t="s">
        <v>222</v>
      </c>
      <c r="B744" s="88"/>
      <c r="C744" s="59"/>
      <c r="D744" s="70">
        <v>12</v>
      </c>
      <c r="E744" s="73">
        <v>0.86</v>
      </c>
    </row>
    <row r="745" spans="1:6" ht="21.75" customHeight="1">
      <c r="A745" s="88" t="s">
        <v>223</v>
      </c>
      <c r="B745" s="88"/>
      <c r="C745" s="59"/>
      <c r="D745" s="70">
        <v>1</v>
      </c>
      <c r="E745" s="73">
        <v>7.0000000000000007E-2</v>
      </c>
    </row>
    <row r="746" spans="1:6" ht="20.25" customHeight="1">
      <c r="A746" s="57" t="s">
        <v>90</v>
      </c>
      <c r="B746" s="58"/>
      <c r="C746" s="59"/>
      <c r="D746" s="60"/>
      <c r="E746" s="62">
        <v>1.1520999999999999</v>
      </c>
    </row>
    <row r="747" spans="1:6" ht="20.25" customHeight="1">
      <c r="A747" s="57" t="s">
        <v>60</v>
      </c>
      <c r="B747" s="58"/>
      <c r="C747" s="59"/>
      <c r="D747" s="60"/>
      <c r="E747" s="62">
        <v>1.1802999999999999</v>
      </c>
    </row>
    <row r="748" spans="1:6" ht="20.25" customHeight="1">
      <c r="A748" s="57" t="s">
        <v>91</v>
      </c>
      <c r="B748" s="58"/>
      <c r="C748" s="59"/>
      <c r="D748" s="60"/>
      <c r="E748" s="62">
        <v>1.2087000000000001</v>
      </c>
    </row>
    <row r="749" spans="1:6" ht="20.25" customHeight="1">
      <c r="A749" s="57" t="s">
        <v>224</v>
      </c>
      <c r="B749" s="58"/>
      <c r="C749" s="59"/>
      <c r="D749" s="60"/>
      <c r="E749" s="62">
        <v>1.1802999999999999</v>
      </c>
    </row>
    <row r="750" spans="1:6">
      <c r="A750" s="5"/>
      <c r="B750" s="6"/>
      <c r="C750" s="7"/>
      <c r="D750" s="8"/>
      <c r="E750" s="7"/>
    </row>
    <row r="751" spans="1:6">
      <c r="A751" s="52" t="s">
        <v>16</v>
      </c>
      <c r="B751" s="6"/>
      <c r="C751" s="7"/>
      <c r="D751" s="8"/>
      <c r="E751" s="29">
        <v>14</v>
      </c>
      <c r="F751" s="18"/>
    </row>
    <row r="752" spans="1:6">
      <c r="A752" s="33" t="s">
        <v>17</v>
      </c>
      <c r="B752" s="6"/>
      <c r="C752" s="7"/>
      <c r="D752" s="8"/>
      <c r="E752" s="28">
        <v>47270</v>
      </c>
      <c r="F752" s="26"/>
    </row>
    <row r="753" spans="1:6">
      <c r="A753" s="33" t="s">
        <v>18</v>
      </c>
      <c r="B753" s="6"/>
      <c r="C753" s="7"/>
      <c r="D753" s="8"/>
      <c r="E753" s="28">
        <v>47676</v>
      </c>
      <c r="F753" s="26"/>
    </row>
    <row r="754" spans="1:6">
      <c r="A754" s="5"/>
      <c r="B754" s="6"/>
      <c r="C754" s="7"/>
      <c r="D754" s="32" t="s">
        <v>15</v>
      </c>
      <c r="E754" s="7"/>
    </row>
    <row r="755" spans="1:6" ht="19.5" customHeight="1">
      <c r="A755" s="85" t="s">
        <v>225</v>
      </c>
      <c r="B755" s="85"/>
      <c r="C755" s="7"/>
      <c r="D755" s="25">
        <v>7</v>
      </c>
      <c r="E755" s="23">
        <v>0.5</v>
      </c>
    </row>
    <row r="756" spans="1:6" ht="18.75" customHeight="1">
      <c r="A756" s="85" t="s">
        <v>226</v>
      </c>
      <c r="B756" s="85"/>
      <c r="C756" s="7"/>
      <c r="D756" s="25">
        <v>7</v>
      </c>
      <c r="E756" s="23">
        <v>0.5</v>
      </c>
    </row>
    <row r="757" spans="1:6" ht="18.75" customHeight="1">
      <c r="A757" s="68" t="s">
        <v>92</v>
      </c>
      <c r="B757" s="6"/>
      <c r="C757" s="7"/>
      <c r="D757" s="8"/>
      <c r="E757" s="30">
        <v>1.1923999999999999</v>
      </c>
    </row>
    <row r="758" spans="1:6" ht="19.5" customHeight="1">
      <c r="A758" s="33" t="s">
        <v>93</v>
      </c>
      <c r="B758" s="6"/>
      <c r="C758" s="7"/>
      <c r="D758" s="8"/>
      <c r="E758" s="30">
        <v>1.2225999999999999</v>
      </c>
    </row>
    <row r="759" spans="1:6" ht="22.5" customHeight="1">
      <c r="A759" s="33" t="s">
        <v>227</v>
      </c>
      <c r="B759" s="6"/>
      <c r="C759" s="7"/>
      <c r="D759" s="8"/>
      <c r="E759" s="30">
        <v>1.2075</v>
      </c>
    </row>
    <row r="761" spans="1:6" ht="51" customHeight="1">
      <c r="A761" s="84" t="s">
        <v>115</v>
      </c>
      <c r="B761" s="84"/>
      <c r="C761" s="84"/>
      <c r="D761" s="84"/>
      <c r="E761" s="84"/>
      <c r="F761" s="35"/>
    </row>
    <row r="762" spans="1:6" ht="99.75">
      <c r="A762" s="47" t="s">
        <v>4</v>
      </c>
      <c r="B762" s="56" t="s">
        <v>27</v>
      </c>
      <c r="C762" s="47" t="s">
        <v>36</v>
      </c>
      <c r="D762" s="15" t="s">
        <v>5</v>
      </c>
      <c r="E762" s="15" t="s">
        <v>22</v>
      </c>
    </row>
    <row r="763" spans="1:6">
      <c r="A763" s="47">
        <v>1</v>
      </c>
      <c r="B763" s="47">
        <v>2</v>
      </c>
      <c r="C763" s="47">
        <v>3</v>
      </c>
      <c r="D763" s="47">
        <v>4</v>
      </c>
      <c r="E763" s="20">
        <v>5</v>
      </c>
    </row>
    <row r="764" spans="1:6" s="2" customFormat="1" ht="30">
      <c r="A764" s="10" t="s">
        <v>7</v>
      </c>
      <c r="B764" s="22">
        <v>21962545</v>
      </c>
      <c r="C764" s="22">
        <v>22362263</v>
      </c>
      <c r="D764" s="31">
        <v>1.1802999999999999</v>
      </c>
      <c r="E764" s="22">
        <v>26394179</v>
      </c>
    </row>
    <row r="765" spans="1:6" s="2" customFormat="1">
      <c r="A765" s="10"/>
      <c r="B765" s="22"/>
      <c r="C765" s="22"/>
      <c r="D765" s="31"/>
      <c r="E765" s="22"/>
    </row>
    <row r="766" spans="1:6" s="2" customFormat="1">
      <c r="A766" s="10" t="s">
        <v>6</v>
      </c>
      <c r="B766" s="22">
        <v>411072474</v>
      </c>
      <c r="C766" s="22">
        <v>418553993</v>
      </c>
      <c r="D766" s="31">
        <v>1.2075</v>
      </c>
      <c r="E766" s="22">
        <v>505403947</v>
      </c>
      <c r="F766" s="16"/>
    </row>
    <row r="767" spans="1:6" s="2" customFormat="1">
      <c r="A767" s="65" t="s">
        <v>28</v>
      </c>
      <c r="B767" s="22">
        <v>433035019</v>
      </c>
      <c r="C767" s="22">
        <v>440916256</v>
      </c>
      <c r="D767" s="11"/>
      <c r="E767" s="22">
        <v>531798126</v>
      </c>
      <c r="F767" s="16"/>
    </row>
    <row r="768" spans="1:6" s="2" customFormat="1">
      <c r="A768" s="21" t="s">
        <v>30</v>
      </c>
      <c r="B768" s="22">
        <v>360862516</v>
      </c>
      <c r="C768" s="22">
        <v>367430213</v>
      </c>
      <c r="D768" s="22"/>
      <c r="E768" s="22">
        <v>443165105</v>
      </c>
      <c r="F768" s="16"/>
    </row>
    <row r="769" spans="1:6">
      <c r="A769" s="21" t="s">
        <v>29</v>
      </c>
      <c r="B769" s="22">
        <v>440252270</v>
      </c>
      <c r="C769" s="22">
        <v>448264860</v>
      </c>
      <c r="D769" s="22"/>
      <c r="E769" s="22">
        <v>540661428</v>
      </c>
    </row>
    <row r="770" spans="1:6">
      <c r="A770" s="21" t="s">
        <v>31</v>
      </c>
      <c r="B770" s="22">
        <v>79389754</v>
      </c>
      <c r="C770" s="22">
        <v>80834647</v>
      </c>
      <c r="D770" s="22"/>
      <c r="E770" s="22">
        <v>97496323</v>
      </c>
    </row>
    <row r="771" spans="1:6">
      <c r="A771" s="5"/>
      <c r="B771" s="6"/>
      <c r="C771" s="7"/>
      <c r="D771" s="8"/>
      <c r="E771" s="7"/>
    </row>
    <row r="772" spans="1:6" ht="14.25" customHeight="1">
      <c r="A772" s="44" t="s">
        <v>8</v>
      </c>
      <c r="B772" s="6"/>
      <c r="C772" s="7"/>
      <c r="D772" s="8"/>
      <c r="E772" s="7"/>
    </row>
    <row r="773" spans="1:6">
      <c r="A773" s="34" t="s">
        <v>220</v>
      </c>
      <c r="B773" s="6"/>
      <c r="C773" s="7"/>
      <c r="D773" s="8"/>
      <c r="E773" s="7"/>
    </row>
    <row r="774" spans="1:6">
      <c r="A774" s="34"/>
      <c r="B774" s="6"/>
      <c r="C774" s="7"/>
      <c r="D774" s="8"/>
      <c r="E774" s="7"/>
    </row>
    <row r="775" spans="1:6">
      <c r="A775" s="33" t="s">
        <v>10</v>
      </c>
      <c r="B775" s="6"/>
      <c r="C775" s="7"/>
      <c r="D775" s="8"/>
      <c r="E775" s="43">
        <v>45870</v>
      </c>
    </row>
    <row r="776" spans="1:6">
      <c r="A776" s="33" t="s">
        <v>11</v>
      </c>
      <c r="B776" s="6"/>
      <c r="C776" s="7"/>
      <c r="D776" s="8"/>
      <c r="E776" s="43">
        <v>45992</v>
      </c>
    </row>
    <row r="777" spans="1:6">
      <c r="A777" s="5"/>
      <c r="B777" s="6"/>
      <c r="C777" s="7"/>
      <c r="D777" s="8"/>
      <c r="E777" s="7"/>
    </row>
    <row r="778" spans="1:6" ht="15" customHeight="1">
      <c r="A778" s="85" t="s">
        <v>37</v>
      </c>
      <c r="B778" s="85"/>
      <c r="C778" s="7"/>
      <c r="D778" s="8"/>
      <c r="E778" s="30">
        <v>1.0182</v>
      </c>
    </row>
    <row r="779" spans="1:6">
      <c r="A779" s="52"/>
      <c r="B779" s="52"/>
      <c r="C779" s="7"/>
      <c r="D779" s="8"/>
      <c r="E779" s="24"/>
    </row>
    <row r="780" spans="1:6" ht="15" customHeight="1">
      <c r="A780" s="86" t="s">
        <v>38</v>
      </c>
      <c r="B780" s="86"/>
      <c r="C780" s="86"/>
      <c r="D780" s="86"/>
      <c r="E780" s="86"/>
    </row>
    <row r="781" spans="1:6">
      <c r="A781" s="44"/>
      <c r="B781" s="44"/>
      <c r="C781" s="44"/>
      <c r="D781" s="44"/>
      <c r="E781" s="44"/>
    </row>
    <row r="782" spans="1:6">
      <c r="A782" s="52" t="s">
        <v>12</v>
      </c>
      <c r="B782" s="6"/>
      <c r="C782" s="7"/>
      <c r="D782" s="60"/>
      <c r="E782" s="63">
        <v>14</v>
      </c>
    </row>
    <row r="783" spans="1:6">
      <c r="A783" s="33" t="s">
        <v>13</v>
      </c>
      <c r="B783" s="6"/>
      <c r="C783" s="7"/>
      <c r="D783" s="60"/>
      <c r="E783" s="71">
        <v>47088</v>
      </c>
      <c r="F783" s="26"/>
    </row>
    <row r="784" spans="1:6">
      <c r="A784" s="33" t="s">
        <v>14</v>
      </c>
      <c r="B784" s="6"/>
      <c r="C784" s="7"/>
      <c r="D784" s="60"/>
      <c r="E784" s="71">
        <v>47514</v>
      </c>
      <c r="F784" s="26"/>
    </row>
    <row r="785" spans="1:6">
      <c r="A785" s="5"/>
      <c r="B785" s="6"/>
      <c r="C785" s="7"/>
      <c r="D785" s="72" t="s">
        <v>15</v>
      </c>
      <c r="E785" s="59"/>
    </row>
    <row r="786" spans="1:6" ht="15" customHeight="1">
      <c r="A786" s="85" t="s">
        <v>221</v>
      </c>
      <c r="B786" s="85"/>
      <c r="C786" s="7"/>
      <c r="D786" s="70">
        <v>1</v>
      </c>
      <c r="E786" s="73">
        <v>7.0000000000000007E-2</v>
      </c>
    </row>
    <row r="787" spans="1:6">
      <c r="A787" s="85" t="s">
        <v>222</v>
      </c>
      <c r="B787" s="85"/>
      <c r="C787" s="7"/>
      <c r="D787" s="70">
        <v>12</v>
      </c>
      <c r="E787" s="73">
        <v>0.86</v>
      </c>
    </row>
    <row r="788" spans="1:6" ht="15" customHeight="1">
      <c r="A788" s="85" t="s">
        <v>223</v>
      </c>
      <c r="B788" s="85"/>
      <c r="C788" s="7"/>
      <c r="D788" s="70">
        <v>1</v>
      </c>
      <c r="E788" s="73">
        <v>7.0000000000000007E-2</v>
      </c>
    </row>
    <row r="789" spans="1:6">
      <c r="A789" s="57" t="s">
        <v>90</v>
      </c>
      <c r="B789" s="58"/>
      <c r="C789" s="59"/>
      <c r="D789" s="60"/>
      <c r="E789" s="62">
        <v>1.1520999999999999</v>
      </c>
    </row>
    <row r="790" spans="1:6">
      <c r="A790" s="57" t="s">
        <v>60</v>
      </c>
      <c r="B790" s="58"/>
      <c r="C790" s="59"/>
      <c r="D790" s="60"/>
      <c r="E790" s="62">
        <v>1.1802999999999999</v>
      </c>
    </row>
    <row r="791" spans="1:6">
      <c r="A791" s="57" t="s">
        <v>91</v>
      </c>
      <c r="B791" s="58"/>
      <c r="C791" s="59"/>
      <c r="D791" s="60"/>
      <c r="E791" s="62">
        <v>1.2087000000000001</v>
      </c>
    </row>
    <row r="792" spans="1:6">
      <c r="A792" s="33" t="s">
        <v>224</v>
      </c>
      <c r="B792" s="6"/>
      <c r="C792" s="7"/>
      <c r="D792" s="60"/>
      <c r="E792" s="62">
        <v>1.1802999999999999</v>
      </c>
    </row>
    <row r="793" spans="1:6">
      <c r="A793" s="5"/>
      <c r="B793" s="6"/>
      <c r="C793" s="7"/>
      <c r="D793" s="60"/>
      <c r="E793" s="59"/>
    </row>
    <row r="794" spans="1:6">
      <c r="A794" s="52" t="s">
        <v>16</v>
      </c>
      <c r="B794" s="6"/>
      <c r="C794" s="7"/>
      <c r="D794" s="60"/>
      <c r="E794" s="63">
        <v>14</v>
      </c>
      <c r="F794" s="18"/>
    </row>
    <row r="795" spans="1:6">
      <c r="A795" s="33" t="s">
        <v>17</v>
      </c>
      <c r="B795" s="6"/>
      <c r="C795" s="7"/>
      <c r="D795" s="8"/>
      <c r="E795" s="28">
        <v>47270</v>
      </c>
      <c r="F795" s="26"/>
    </row>
    <row r="796" spans="1:6">
      <c r="A796" s="33" t="s">
        <v>18</v>
      </c>
      <c r="B796" s="6"/>
      <c r="C796" s="7"/>
      <c r="D796" s="8"/>
      <c r="E796" s="28">
        <v>47695</v>
      </c>
      <c r="F796" s="26"/>
    </row>
    <row r="797" spans="1:6">
      <c r="A797" s="5"/>
      <c r="B797" s="6"/>
      <c r="C797" s="7"/>
      <c r="D797" s="32" t="s">
        <v>15</v>
      </c>
      <c r="E797" s="7"/>
    </row>
    <row r="798" spans="1:6" ht="15" customHeight="1">
      <c r="A798" s="85" t="s">
        <v>225</v>
      </c>
      <c r="B798" s="85"/>
      <c r="C798" s="7"/>
      <c r="D798" s="25">
        <v>7</v>
      </c>
      <c r="E798" s="23">
        <v>0.5</v>
      </c>
    </row>
    <row r="799" spans="1:6" ht="15" customHeight="1">
      <c r="A799" s="85" t="s">
        <v>226</v>
      </c>
      <c r="B799" s="85"/>
      <c r="C799" s="7"/>
      <c r="D799" s="25">
        <v>7</v>
      </c>
      <c r="E799" s="23">
        <v>0.5</v>
      </c>
    </row>
    <row r="800" spans="1:6">
      <c r="A800" s="68" t="s">
        <v>92</v>
      </c>
      <c r="B800" s="6"/>
      <c r="C800" s="7"/>
      <c r="D800" s="8"/>
      <c r="E800" s="30">
        <v>1.1923999999999999</v>
      </c>
    </row>
    <row r="801" spans="1:6">
      <c r="A801" s="33" t="s">
        <v>93</v>
      </c>
      <c r="B801" s="6"/>
      <c r="C801" s="7"/>
      <c r="D801" s="8"/>
      <c r="E801" s="30">
        <v>1.2225999999999999</v>
      </c>
    </row>
    <row r="802" spans="1:6">
      <c r="A802" s="33" t="s">
        <v>227</v>
      </c>
      <c r="B802" s="6"/>
      <c r="C802" s="7"/>
      <c r="D802" s="8"/>
      <c r="E802" s="30">
        <v>1.2075</v>
      </c>
    </row>
    <row r="803" spans="1:6">
      <c r="A803" s="33"/>
      <c r="B803" s="6"/>
      <c r="C803" s="7"/>
      <c r="D803" s="8"/>
      <c r="E803" s="30"/>
    </row>
    <row r="804" spans="1:6" ht="46.5" customHeight="1">
      <c r="A804" s="87" t="s">
        <v>116</v>
      </c>
      <c r="B804" s="87"/>
      <c r="C804" s="87"/>
      <c r="D804" s="87"/>
      <c r="E804" s="87"/>
      <c r="F804" s="35"/>
    </row>
    <row r="805" spans="1:6" ht="91.15" customHeight="1">
      <c r="A805" s="47" t="s">
        <v>4</v>
      </c>
      <c r="B805" s="56" t="s">
        <v>27</v>
      </c>
      <c r="C805" s="47" t="s">
        <v>36</v>
      </c>
      <c r="D805" s="15" t="s">
        <v>5</v>
      </c>
      <c r="E805" s="15" t="s">
        <v>22</v>
      </c>
    </row>
    <row r="806" spans="1:6" ht="18.75" customHeight="1">
      <c r="A806" s="47">
        <v>1</v>
      </c>
      <c r="B806" s="47">
        <v>2</v>
      </c>
      <c r="C806" s="47">
        <v>3</v>
      </c>
      <c r="D806" s="47">
        <v>4</v>
      </c>
      <c r="E806" s="20">
        <v>5</v>
      </c>
    </row>
    <row r="807" spans="1:6" s="2" customFormat="1" ht="32.25" customHeight="1">
      <c r="A807" s="10" t="s">
        <v>7</v>
      </c>
      <c r="B807" s="22">
        <v>10467191</v>
      </c>
      <c r="C807" s="22">
        <v>10657694</v>
      </c>
      <c r="D807" s="31">
        <v>1.1496</v>
      </c>
      <c r="E807" s="22">
        <v>12252085</v>
      </c>
    </row>
    <row r="808" spans="1:6" s="2" customFormat="1">
      <c r="A808" s="10" t="s">
        <v>6</v>
      </c>
      <c r="B808" s="22">
        <v>50180946</v>
      </c>
      <c r="C808" s="22">
        <v>51094239</v>
      </c>
      <c r="D808" s="31">
        <v>1.1613</v>
      </c>
      <c r="E808" s="22">
        <v>59335740</v>
      </c>
      <c r="F808" s="16"/>
    </row>
    <row r="809" spans="1:6" s="2" customFormat="1">
      <c r="A809" s="65" t="s">
        <v>28</v>
      </c>
      <c r="B809" s="22">
        <v>60648137</v>
      </c>
      <c r="C809" s="22">
        <v>61751933</v>
      </c>
      <c r="D809" s="11"/>
      <c r="E809" s="22">
        <v>71587825</v>
      </c>
      <c r="F809" s="16"/>
    </row>
    <row r="810" spans="1:6" s="2" customFormat="1">
      <c r="A810" s="21" t="s">
        <v>30</v>
      </c>
      <c r="B810" s="22">
        <v>50540114</v>
      </c>
      <c r="C810" s="22">
        <v>51459944</v>
      </c>
      <c r="D810" s="22"/>
      <c r="E810" s="22">
        <v>59656521</v>
      </c>
      <c r="F810" s="16"/>
    </row>
    <row r="811" spans="1:6">
      <c r="A811" s="21" t="s">
        <v>29</v>
      </c>
      <c r="B811" s="22">
        <v>61658939</v>
      </c>
      <c r="C811" s="22">
        <v>62781132</v>
      </c>
      <c r="D811" s="22"/>
      <c r="E811" s="22">
        <v>72780956</v>
      </c>
    </row>
    <row r="812" spans="1:6">
      <c r="A812" s="21" t="s">
        <v>31</v>
      </c>
      <c r="B812" s="22">
        <v>11118825</v>
      </c>
      <c r="C812" s="22">
        <v>11321188</v>
      </c>
      <c r="D812" s="22"/>
      <c r="E812" s="22">
        <v>13124435</v>
      </c>
    </row>
    <row r="813" spans="1:6">
      <c r="A813" s="5"/>
      <c r="B813" s="6"/>
      <c r="C813" s="7"/>
      <c r="D813" s="8"/>
      <c r="E813" s="7"/>
    </row>
    <row r="814" spans="1:6" ht="18.75" customHeight="1">
      <c r="A814" s="44" t="s">
        <v>8</v>
      </c>
      <c r="B814" s="6"/>
      <c r="C814" s="7"/>
      <c r="D814" s="8"/>
      <c r="E814" s="7"/>
    </row>
    <row r="815" spans="1:6" ht="18.75" customHeight="1">
      <c r="A815" s="34" t="s">
        <v>19</v>
      </c>
      <c r="B815" s="6"/>
      <c r="C815" s="7"/>
      <c r="D815" s="8"/>
      <c r="E815" s="24">
        <v>14323</v>
      </c>
    </row>
    <row r="816" spans="1:6">
      <c r="A816" s="34"/>
      <c r="B816" s="6"/>
      <c r="C816" s="7"/>
      <c r="D816" s="8"/>
      <c r="E816" s="7"/>
    </row>
    <row r="817" spans="1:6" ht="18.75" customHeight="1">
      <c r="A817" s="33" t="s">
        <v>10</v>
      </c>
      <c r="B817" s="6"/>
      <c r="C817" s="7"/>
      <c r="D817" s="8"/>
      <c r="E817" s="43">
        <v>45870</v>
      </c>
    </row>
    <row r="818" spans="1:6" ht="16.899999999999999" customHeight="1">
      <c r="A818" s="33" t="s">
        <v>11</v>
      </c>
      <c r="B818" s="6"/>
      <c r="C818" s="7"/>
      <c r="D818" s="8"/>
      <c r="E818" s="43">
        <v>45992</v>
      </c>
    </row>
    <row r="819" spans="1:6" ht="12.75" customHeight="1">
      <c r="A819" s="5"/>
      <c r="B819" s="6"/>
      <c r="C819" s="7"/>
      <c r="D819" s="8"/>
      <c r="E819" s="7"/>
    </row>
    <row r="820" spans="1:6" ht="18.75" customHeight="1">
      <c r="A820" s="85" t="s">
        <v>37</v>
      </c>
      <c r="B820" s="85"/>
      <c r="C820" s="7"/>
      <c r="D820" s="8"/>
      <c r="E820" s="30">
        <v>1.0182</v>
      </c>
    </row>
    <row r="821" spans="1:6" ht="14.25" customHeight="1">
      <c r="A821" s="52"/>
      <c r="B821" s="52"/>
      <c r="C821" s="7"/>
      <c r="D821" s="8"/>
      <c r="E821" s="24"/>
    </row>
    <row r="822" spans="1:6" ht="15" customHeight="1">
      <c r="A822" s="86" t="s">
        <v>38</v>
      </c>
      <c r="B822" s="86"/>
      <c r="C822" s="86"/>
      <c r="D822" s="86"/>
      <c r="E822" s="86"/>
    </row>
    <row r="823" spans="1:6">
      <c r="A823" s="44"/>
      <c r="B823" s="44"/>
      <c r="C823" s="44"/>
      <c r="D823" s="44"/>
      <c r="E823" s="44"/>
    </row>
    <row r="824" spans="1:6" ht="18.75" customHeight="1">
      <c r="A824" s="52" t="s">
        <v>12</v>
      </c>
      <c r="B824" s="6"/>
      <c r="C824" s="7"/>
      <c r="D824" s="8"/>
      <c r="E824" s="29">
        <v>11</v>
      </c>
    </row>
    <row r="825" spans="1:6" ht="16.899999999999999" customHeight="1">
      <c r="A825" s="33" t="s">
        <v>13</v>
      </c>
      <c r="B825" s="6"/>
      <c r="C825" s="7"/>
      <c r="D825" s="8"/>
      <c r="E825" s="28">
        <v>46935</v>
      </c>
      <c r="F825" s="26"/>
    </row>
    <row r="826" spans="1:6" ht="18" customHeight="1">
      <c r="A826" s="33" t="s">
        <v>14</v>
      </c>
      <c r="B826" s="6"/>
      <c r="C826" s="7"/>
      <c r="D826" s="8"/>
      <c r="E826" s="28">
        <v>47269</v>
      </c>
      <c r="F826" s="26"/>
    </row>
    <row r="827" spans="1:6">
      <c r="A827" s="5"/>
      <c r="B827" s="6"/>
      <c r="C827" s="7"/>
      <c r="D827" s="32" t="s">
        <v>15</v>
      </c>
      <c r="E827" s="7"/>
    </row>
    <row r="828" spans="1:6" ht="24" customHeight="1">
      <c r="A828" s="85" t="s">
        <v>228</v>
      </c>
      <c r="B828" s="85"/>
      <c r="C828" s="7"/>
      <c r="D828" s="25">
        <v>6</v>
      </c>
      <c r="E828" s="23">
        <v>0.55000000000000004</v>
      </c>
    </row>
    <row r="829" spans="1:6" ht="21" customHeight="1">
      <c r="A829" s="85" t="s">
        <v>229</v>
      </c>
      <c r="B829" s="85"/>
      <c r="C829" s="7"/>
      <c r="D829" s="25">
        <v>5</v>
      </c>
      <c r="E829" s="23">
        <v>0.45</v>
      </c>
    </row>
    <row r="830" spans="1:6" ht="24.75" customHeight="1">
      <c r="A830" s="57" t="s">
        <v>94</v>
      </c>
      <c r="B830" s="6"/>
      <c r="C830" s="7"/>
      <c r="D830" s="8"/>
      <c r="E830" s="30">
        <v>1.1399999999999999</v>
      </c>
    </row>
    <row r="831" spans="1:6" ht="20.25" customHeight="1">
      <c r="A831" s="57" t="s">
        <v>95</v>
      </c>
      <c r="B831" s="6"/>
      <c r="C831" s="7"/>
      <c r="D831" s="8"/>
      <c r="E831" s="30">
        <v>1.1613</v>
      </c>
    </row>
    <row r="832" spans="1:6" ht="25.5" customHeight="1">
      <c r="A832" s="33" t="s">
        <v>230</v>
      </c>
      <c r="B832" s="6"/>
      <c r="C832" s="7"/>
      <c r="D832" s="8"/>
      <c r="E832" s="30">
        <v>1.1496</v>
      </c>
    </row>
    <row r="833" spans="1:6">
      <c r="A833" s="5"/>
      <c r="B833" s="6"/>
      <c r="C833" s="7"/>
      <c r="D833" s="8"/>
      <c r="E833" s="7"/>
    </row>
    <row r="834" spans="1:6" ht="22.5" customHeight="1">
      <c r="A834" s="52" t="s">
        <v>16</v>
      </c>
      <c r="B834" s="6"/>
      <c r="C834" s="7"/>
      <c r="D834" s="8"/>
      <c r="E834" s="29">
        <v>5</v>
      </c>
      <c r="F834" s="18"/>
    </row>
    <row r="835" spans="1:6" ht="21.75" customHeight="1">
      <c r="A835" s="33" t="s">
        <v>17</v>
      </c>
      <c r="B835" s="6"/>
      <c r="C835" s="7"/>
      <c r="D835" s="8"/>
      <c r="E835" s="28">
        <v>47119</v>
      </c>
      <c r="F835" s="26"/>
    </row>
    <row r="836" spans="1:6" ht="20.25" customHeight="1">
      <c r="A836" s="33" t="s">
        <v>18</v>
      </c>
      <c r="B836" s="6"/>
      <c r="C836" s="7"/>
      <c r="D836" s="8"/>
      <c r="E836" s="28">
        <v>47269</v>
      </c>
      <c r="F836" s="26"/>
    </row>
    <row r="837" spans="1:6">
      <c r="A837" s="5"/>
      <c r="B837" s="6"/>
      <c r="C837" s="7"/>
      <c r="D837" s="32" t="s">
        <v>15</v>
      </c>
      <c r="E837" s="7"/>
    </row>
    <row r="838" spans="1:6" ht="18.75" customHeight="1">
      <c r="A838" s="85" t="s">
        <v>231</v>
      </c>
      <c r="B838" s="85"/>
      <c r="C838" s="7"/>
      <c r="D838" s="25">
        <v>5</v>
      </c>
      <c r="E838" s="23">
        <v>1</v>
      </c>
    </row>
    <row r="839" spans="1:6" ht="18.75" customHeight="1">
      <c r="A839" s="33" t="s">
        <v>96</v>
      </c>
      <c r="B839" s="6"/>
      <c r="C839" s="7"/>
      <c r="D839" s="8"/>
      <c r="E839" s="30">
        <v>1.1613</v>
      </c>
    </row>
    <row r="840" spans="1:6" ht="18.75" customHeight="1">
      <c r="A840" s="33" t="s">
        <v>232</v>
      </c>
      <c r="B840" s="6"/>
      <c r="C840" s="7"/>
      <c r="D840" s="8"/>
      <c r="E840" s="30">
        <v>1.1613</v>
      </c>
    </row>
    <row r="841" spans="1:6" ht="18.75" customHeight="1">
      <c r="A841" s="33"/>
      <c r="B841" s="6"/>
      <c r="C841" s="7"/>
      <c r="D841" s="8"/>
      <c r="E841" s="30"/>
    </row>
    <row r="842" spans="1:6" ht="51" customHeight="1">
      <c r="A842" s="87" t="s">
        <v>117</v>
      </c>
      <c r="B842" s="87"/>
      <c r="C842" s="87"/>
      <c r="D842" s="87"/>
      <c r="E842" s="87"/>
      <c r="F842" s="35"/>
    </row>
    <row r="843" spans="1:6" ht="91.15" customHeight="1">
      <c r="A843" s="47" t="s">
        <v>4</v>
      </c>
      <c r="B843" s="56" t="s">
        <v>27</v>
      </c>
      <c r="C843" s="47" t="s">
        <v>36</v>
      </c>
      <c r="D843" s="15" t="s">
        <v>5</v>
      </c>
      <c r="E843" s="15" t="s">
        <v>22</v>
      </c>
    </row>
    <row r="844" spans="1:6" ht="18.75" customHeight="1">
      <c r="A844" s="47">
        <v>1</v>
      </c>
      <c r="B844" s="47">
        <v>2</v>
      </c>
      <c r="C844" s="47">
        <v>3</v>
      </c>
      <c r="D844" s="47">
        <v>4</v>
      </c>
      <c r="E844" s="20">
        <v>5</v>
      </c>
    </row>
    <row r="845" spans="1:6" s="2" customFormat="1" ht="37.5" customHeight="1">
      <c r="A845" s="10" t="s">
        <v>7</v>
      </c>
      <c r="B845" s="22">
        <v>7679204</v>
      </c>
      <c r="C845" s="22">
        <v>7818966</v>
      </c>
      <c r="D845" s="31">
        <v>1.2882</v>
      </c>
      <c r="E845" s="22">
        <v>10072392</v>
      </c>
    </row>
    <row r="846" spans="1:6" s="2" customFormat="1" ht="25.9" customHeight="1">
      <c r="A846" s="10" t="s">
        <v>6</v>
      </c>
      <c r="B846" s="22">
        <v>36815010</v>
      </c>
      <c r="C846" s="22">
        <v>37485043</v>
      </c>
      <c r="D846" s="31">
        <v>1.3027</v>
      </c>
      <c r="E846" s="22">
        <v>48831766</v>
      </c>
      <c r="F846" s="16"/>
    </row>
    <row r="847" spans="1:6" s="2" customFormat="1" ht="25.9" customHeight="1">
      <c r="A847" s="65" t="s">
        <v>28</v>
      </c>
      <c r="B847" s="22">
        <v>44494214</v>
      </c>
      <c r="C847" s="22">
        <v>45304009</v>
      </c>
      <c r="D847" s="11"/>
      <c r="E847" s="22">
        <v>58904158</v>
      </c>
      <c r="F847" s="16"/>
    </row>
    <row r="848" spans="1:6" s="2" customFormat="1" ht="25.9" customHeight="1">
      <c r="A848" s="21" t="s">
        <v>30</v>
      </c>
      <c r="B848" s="22">
        <v>37078512</v>
      </c>
      <c r="C848" s="22">
        <v>37753341</v>
      </c>
      <c r="D848" s="22"/>
      <c r="E848" s="22">
        <v>49086798</v>
      </c>
      <c r="F848" s="16"/>
    </row>
    <row r="849" spans="1:6" ht="18.75" customHeight="1">
      <c r="A849" s="21" t="s">
        <v>29</v>
      </c>
      <c r="B849" s="22">
        <v>45235785</v>
      </c>
      <c r="C849" s="22">
        <v>46059076</v>
      </c>
      <c r="D849" s="22"/>
      <c r="E849" s="22">
        <v>59885894</v>
      </c>
    </row>
    <row r="850" spans="1:6" ht="21" customHeight="1">
      <c r="A850" s="21" t="s">
        <v>31</v>
      </c>
      <c r="B850" s="22">
        <v>8157273</v>
      </c>
      <c r="C850" s="22">
        <v>8305735</v>
      </c>
      <c r="D850" s="22"/>
      <c r="E850" s="22">
        <v>10799096</v>
      </c>
    </row>
    <row r="851" spans="1:6" ht="18.75" customHeight="1">
      <c r="A851" s="5"/>
      <c r="B851" s="6"/>
      <c r="C851" s="7"/>
      <c r="D851" s="8"/>
      <c r="E851" s="7"/>
    </row>
    <row r="852" spans="1:6" ht="18.75" customHeight="1">
      <c r="A852" s="44" t="s">
        <v>8</v>
      </c>
      <c r="B852" s="6"/>
      <c r="C852" s="7"/>
      <c r="D852" s="8"/>
      <c r="E852" s="7"/>
    </row>
    <row r="853" spans="1:6" ht="24" customHeight="1">
      <c r="A853" s="34" t="s">
        <v>19</v>
      </c>
      <c r="B853" s="6"/>
      <c r="C853" s="7"/>
      <c r="D853" s="8"/>
      <c r="E853" s="24">
        <v>10508</v>
      </c>
    </row>
    <row r="854" spans="1:6" ht="18.75" customHeight="1">
      <c r="A854" s="34"/>
      <c r="B854" s="6"/>
      <c r="C854" s="7"/>
      <c r="D854" s="8"/>
      <c r="E854" s="7"/>
    </row>
    <row r="855" spans="1:6" ht="18.75" customHeight="1">
      <c r="A855" s="33" t="s">
        <v>10</v>
      </c>
      <c r="B855" s="6"/>
      <c r="C855" s="7"/>
      <c r="D855" s="8"/>
      <c r="E855" s="43">
        <v>45870</v>
      </c>
    </row>
    <row r="856" spans="1:6" ht="16.899999999999999" customHeight="1">
      <c r="A856" s="33" t="s">
        <v>11</v>
      </c>
      <c r="B856" s="6"/>
      <c r="C856" s="7"/>
      <c r="D856" s="8"/>
      <c r="E856" s="43">
        <v>45992</v>
      </c>
    </row>
    <row r="857" spans="1:6" ht="18.75" customHeight="1">
      <c r="A857" s="5"/>
      <c r="B857" s="6"/>
      <c r="C857" s="7"/>
      <c r="D857" s="8"/>
      <c r="E857" s="7"/>
    </row>
    <row r="858" spans="1:6" ht="18.75" customHeight="1">
      <c r="A858" s="85" t="s">
        <v>37</v>
      </c>
      <c r="B858" s="85"/>
      <c r="C858" s="7"/>
      <c r="D858" s="8"/>
      <c r="E858" s="30">
        <v>1.0182</v>
      </c>
    </row>
    <row r="859" spans="1:6" ht="18.75" customHeight="1">
      <c r="A859" s="52"/>
      <c r="B859" s="52"/>
      <c r="C859" s="7"/>
      <c r="D859" s="8"/>
      <c r="E859" s="24"/>
    </row>
    <row r="860" spans="1:6" ht="18.75" customHeight="1">
      <c r="A860" s="86" t="s">
        <v>38</v>
      </c>
      <c r="B860" s="86"/>
      <c r="C860" s="86"/>
      <c r="D860" s="86"/>
      <c r="E860" s="86"/>
    </row>
    <row r="861" spans="1:6" ht="18.75" customHeight="1">
      <c r="A861" s="44"/>
      <c r="B861" s="44"/>
      <c r="C861" s="44"/>
      <c r="D861" s="44"/>
      <c r="E861" s="44"/>
    </row>
    <row r="862" spans="1:6" ht="18.75" customHeight="1">
      <c r="A862" s="52" t="s">
        <v>12</v>
      </c>
      <c r="B862" s="6"/>
      <c r="C862" s="7"/>
      <c r="D862" s="8"/>
      <c r="E862" s="29">
        <v>11</v>
      </c>
    </row>
    <row r="863" spans="1:6" ht="23.25" customHeight="1">
      <c r="A863" s="33" t="s">
        <v>13</v>
      </c>
      <c r="B863" s="6"/>
      <c r="C863" s="7"/>
      <c r="D863" s="8"/>
      <c r="E863" s="28">
        <v>47849</v>
      </c>
      <c r="F863" s="26"/>
    </row>
    <row r="864" spans="1:6" ht="18.75" customHeight="1">
      <c r="A864" s="33" t="s">
        <v>14</v>
      </c>
      <c r="B864" s="6"/>
      <c r="C864" s="7"/>
      <c r="D864" s="8"/>
      <c r="E864" s="28">
        <v>48182</v>
      </c>
      <c r="F864" s="26"/>
    </row>
    <row r="865" spans="1:6" ht="18.75" customHeight="1">
      <c r="A865" s="5"/>
      <c r="B865" s="6"/>
      <c r="C865" s="7"/>
      <c r="D865" s="32" t="s">
        <v>15</v>
      </c>
      <c r="E865" s="7"/>
    </row>
    <row r="866" spans="1:6" ht="21.75" customHeight="1">
      <c r="A866" s="85" t="s">
        <v>233</v>
      </c>
      <c r="B866" s="85"/>
      <c r="C866" s="7"/>
      <c r="D866" s="25">
        <v>11</v>
      </c>
      <c r="E866" s="23">
        <v>1</v>
      </c>
    </row>
    <row r="867" spans="1:6" ht="21" customHeight="1">
      <c r="A867" s="33" t="s">
        <v>97</v>
      </c>
      <c r="B867" s="6"/>
      <c r="C867" s="7"/>
      <c r="D867" s="8"/>
      <c r="E867" s="30">
        <v>1.2882</v>
      </c>
    </row>
    <row r="868" spans="1:6" ht="22.5" customHeight="1">
      <c r="A868" s="33" t="s">
        <v>234</v>
      </c>
      <c r="B868" s="6"/>
      <c r="C868" s="7"/>
      <c r="D868" s="8"/>
      <c r="E868" s="30">
        <v>1.2882</v>
      </c>
    </row>
    <row r="869" spans="1:6" ht="27" customHeight="1">
      <c r="A869" s="5"/>
      <c r="B869" s="6"/>
      <c r="C869" s="7"/>
      <c r="D869" s="8"/>
      <c r="E869" s="7"/>
    </row>
    <row r="870" spans="1:6" ht="21" customHeight="1">
      <c r="A870" s="52" t="s">
        <v>16</v>
      </c>
      <c r="B870" s="6"/>
      <c r="C870" s="7"/>
      <c r="D870" s="8"/>
      <c r="E870" s="29">
        <v>5</v>
      </c>
      <c r="F870" s="18"/>
    </row>
    <row r="871" spans="1:6" ht="21" customHeight="1">
      <c r="A871" s="33" t="s">
        <v>17</v>
      </c>
      <c r="B871" s="6"/>
      <c r="C871" s="7"/>
      <c r="D871" s="8"/>
      <c r="E871" s="28">
        <v>48030</v>
      </c>
      <c r="F871" s="26"/>
    </row>
    <row r="872" spans="1:6" ht="21" customHeight="1">
      <c r="A872" s="33" t="s">
        <v>18</v>
      </c>
      <c r="B872" s="6"/>
      <c r="C872" s="7"/>
      <c r="D872" s="8"/>
      <c r="E872" s="28">
        <v>48182</v>
      </c>
      <c r="F872" s="26"/>
    </row>
    <row r="873" spans="1:6" ht="22.5" customHeight="1">
      <c r="A873" s="5"/>
      <c r="B873" s="6"/>
      <c r="C873" s="7"/>
      <c r="D873" s="32" t="s">
        <v>15</v>
      </c>
      <c r="E873" s="7"/>
    </row>
    <row r="874" spans="1:6" ht="22.5" customHeight="1">
      <c r="A874" s="85" t="s">
        <v>235</v>
      </c>
      <c r="B874" s="85"/>
      <c r="C874" s="7"/>
      <c r="D874" s="25">
        <v>5</v>
      </c>
      <c r="E874" s="23">
        <v>1</v>
      </c>
    </row>
    <row r="875" spans="1:6" ht="20.25" customHeight="1">
      <c r="A875" s="33" t="s">
        <v>98</v>
      </c>
      <c r="B875" s="6"/>
      <c r="C875" s="7"/>
      <c r="D875" s="8"/>
      <c r="E875" s="30">
        <v>1.3027</v>
      </c>
    </row>
    <row r="876" spans="1:6" ht="21" customHeight="1">
      <c r="A876" s="33" t="s">
        <v>236</v>
      </c>
      <c r="B876" s="6"/>
      <c r="C876" s="7"/>
      <c r="D876" s="8"/>
      <c r="E876" s="30">
        <v>1.3027</v>
      </c>
    </row>
    <row r="877" spans="1:6" ht="18.75" customHeight="1">
      <c r="A877" s="33"/>
      <c r="B877" s="6"/>
      <c r="C877" s="7"/>
      <c r="D877" s="8"/>
      <c r="E877" s="30"/>
    </row>
    <row r="878" spans="1:6" ht="52.5" customHeight="1">
      <c r="A878" s="87" t="s">
        <v>118</v>
      </c>
      <c r="B878" s="87"/>
      <c r="C878" s="87"/>
      <c r="D878" s="87"/>
      <c r="E878" s="87"/>
      <c r="F878" s="35"/>
    </row>
    <row r="879" spans="1:6" ht="91.15" customHeight="1">
      <c r="A879" s="47" t="s">
        <v>4</v>
      </c>
      <c r="B879" s="56" t="s">
        <v>27</v>
      </c>
      <c r="C879" s="47" t="s">
        <v>36</v>
      </c>
      <c r="D879" s="15" t="s">
        <v>5</v>
      </c>
      <c r="E879" s="15" t="s">
        <v>22</v>
      </c>
    </row>
    <row r="880" spans="1:6" ht="18.75" customHeight="1">
      <c r="A880" s="47">
        <v>1</v>
      </c>
      <c r="B880" s="47">
        <v>2</v>
      </c>
      <c r="C880" s="47">
        <v>3</v>
      </c>
      <c r="D880" s="47">
        <v>4</v>
      </c>
      <c r="E880" s="20">
        <v>5</v>
      </c>
    </row>
    <row r="881" spans="1:6" s="2" customFormat="1" ht="38.25" customHeight="1">
      <c r="A881" s="10" t="s">
        <v>7</v>
      </c>
      <c r="B881" s="22">
        <v>22101463</v>
      </c>
      <c r="C881" s="22">
        <v>22503710</v>
      </c>
      <c r="D881" s="31">
        <v>1.2882</v>
      </c>
      <c r="E881" s="22">
        <v>28989279</v>
      </c>
    </row>
    <row r="882" spans="1:6" s="2" customFormat="1" ht="25.9" customHeight="1">
      <c r="A882" s="10" t="s">
        <v>6</v>
      </c>
      <c r="B882" s="22">
        <v>105957016</v>
      </c>
      <c r="C882" s="22">
        <v>107885434</v>
      </c>
      <c r="D882" s="31">
        <v>1.3027</v>
      </c>
      <c r="E882" s="22">
        <v>140542355</v>
      </c>
      <c r="F882" s="16"/>
    </row>
    <row r="883" spans="1:6" s="2" customFormat="1" ht="25.9" customHeight="1">
      <c r="A883" s="65" t="s">
        <v>28</v>
      </c>
      <c r="B883" s="22">
        <v>128058479</v>
      </c>
      <c r="C883" s="22">
        <v>130389144</v>
      </c>
      <c r="D883" s="11"/>
      <c r="E883" s="22">
        <v>169531634</v>
      </c>
      <c r="F883" s="16"/>
    </row>
    <row r="884" spans="1:6" s="2" customFormat="1" ht="25.9" customHeight="1">
      <c r="A884" s="21" t="s">
        <v>30</v>
      </c>
      <c r="B884" s="22">
        <v>106715399</v>
      </c>
      <c r="C884" s="22">
        <v>108657620</v>
      </c>
      <c r="D884" s="22"/>
      <c r="E884" s="22">
        <v>141276362</v>
      </c>
      <c r="F884" s="16"/>
    </row>
    <row r="885" spans="1:6" ht="18.75" customHeight="1">
      <c r="A885" s="21" t="s">
        <v>29</v>
      </c>
      <c r="B885" s="22">
        <v>130192787</v>
      </c>
      <c r="C885" s="22">
        <v>132562296</v>
      </c>
      <c r="D885" s="22"/>
      <c r="E885" s="22">
        <v>172357162</v>
      </c>
    </row>
    <row r="886" spans="1:6" ht="21" customHeight="1">
      <c r="A886" s="21" t="s">
        <v>31</v>
      </c>
      <c r="B886" s="22">
        <v>23477388</v>
      </c>
      <c r="C886" s="22">
        <v>23904676</v>
      </c>
      <c r="D886" s="22"/>
      <c r="E886" s="22">
        <v>31080800</v>
      </c>
    </row>
    <row r="887" spans="1:6" ht="18.75" customHeight="1">
      <c r="A887" s="5"/>
      <c r="B887" s="6"/>
      <c r="C887" s="7"/>
      <c r="D887" s="8"/>
      <c r="E887" s="7"/>
    </row>
    <row r="888" spans="1:6" ht="18.75" customHeight="1">
      <c r="A888" s="44" t="s">
        <v>8</v>
      </c>
      <c r="B888" s="6"/>
      <c r="C888" s="7"/>
      <c r="D888" s="8"/>
      <c r="E888" s="7"/>
    </row>
    <row r="889" spans="1:6" ht="18.75" customHeight="1">
      <c r="A889" s="34" t="s">
        <v>19</v>
      </c>
      <c r="B889" s="6"/>
      <c r="C889" s="7"/>
      <c r="D889" s="8"/>
      <c r="E889" s="24">
        <v>30243</v>
      </c>
    </row>
    <row r="890" spans="1:6" ht="18.75" customHeight="1">
      <c r="A890" s="34"/>
      <c r="B890" s="6"/>
      <c r="C890" s="7"/>
      <c r="D890" s="8"/>
      <c r="E890" s="7"/>
    </row>
    <row r="891" spans="1:6" ht="18.75" customHeight="1">
      <c r="A891" s="33" t="s">
        <v>10</v>
      </c>
      <c r="B891" s="6"/>
      <c r="C891" s="7"/>
      <c r="D891" s="8"/>
      <c r="E891" s="43">
        <v>45870</v>
      </c>
    </row>
    <row r="892" spans="1:6" ht="16.899999999999999" customHeight="1">
      <c r="A892" s="33" t="s">
        <v>11</v>
      </c>
      <c r="B892" s="6"/>
      <c r="C892" s="7"/>
      <c r="D892" s="8"/>
      <c r="E892" s="43">
        <v>45992</v>
      </c>
    </row>
    <row r="893" spans="1:6" ht="18.75" customHeight="1">
      <c r="A893" s="5"/>
      <c r="B893" s="6"/>
      <c r="C893" s="7"/>
      <c r="D893" s="8"/>
      <c r="E893" s="7"/>
    </row>
    <row r="894" spans="1:6" ht="18.75" customHeight="1">
      <c r="A894" s="85" t="s">
        <v>37</v>
      </c>
      <c r="B894" s="85"/>
      <c r="C894" s="7"/>
      <c r="D894" s="8"/>
      <c r="E894" s="30">
        <v>1.0182</v>
      </c>
    </row>
    <row r="895" spans="1:6" ht="18.75" customHeight="1">
      <c r="A895" s="52"/>
      <c r="B895" s="52"/>
      <c r="C895" s="7"/>
      <c r="D895" s="8"/>
      <c r="E895" s="24"/>
    </row>
    <row r="896" spans="1:6" ht="18.75" customHeight="1">
      <c r="A896" s="86" t="s">
        <v>38</v>
      </c>
      <c r="B896" s="86"/>
      <c r="C896" s="86"/>
      <c r="D896" s="86"/>
      <c r="E896" s="86"/>
    </row>
    <row r="897" spans="1:6" ht="18.75" customHeight="1">
      <c r="A897" s="44"/>
      <c r="B897" s="44"/>
      <c r="C897" s="44"/>
      <c r="D897" s="44"/>
      <c r="E897" s="44"/>
    </row>
    <row r="898" spans="1:6" ht="18.75" customHeight="1">
      <c r="A898" s="52" t="s">
        <v>12</v>
      </c>
      <c r="B898" s="6"/>
      <c r="C898" s="7"/>
      <c r="D898" s="8"/>
      <c r="E898" s="29">
        <v>11</v>
      </c>
    </row>
    <row r="899" spans="1:6" ht="16.899999999999999" customHeight="1">
      <c r="A899" s="33" t="s">
        <v>13</v>
      </c>
      <c r="B899" s="6"/>
      <c r="C899" s="7"/>
      <c r="D899" s="8"/>
      <c r="E899" s="28">
        <v>47849</v>
      </c>
      <c r="F899" s="26"/>
    </row>
    <row r="900" spans="1:6" ht="18" customHeight="1">
      <c r="A900" s="33" t="s">
        <v>14</v>
      </c>
      <c r="B900" s="6"/>
      <c r="C900" s="7"/>
      <c r="D900" s="8"/>
      <c r="E900" s="28">
        <v>48182</v>
      </c>
      <c r="F900" s="26"/>
    </row>
    <row r="901" spans="1:6" ht="18.75" customHeight="1">
      <c r="A901" s="5"/>
      <c r="B901" s="6"/>
      <c r="C901" s="7"/>
      <c r="D901" s="32" t="s">
        <v>15</v>
      </c>
      <c r="E901" s="7"/>
    </row>
    <row r="902" spans="1:6" ht="18.75" customHeight="1">
      <c r="A902" s="85" t="s">
        <v>233</v>
      </c>
      <c r="B902" s="85"/>
      <c r="C902" s="7"/>
      <c r="D902" s="25">
        <v>11</v>
      </c>
      <c r="E902" s="23">
        <v>1</v>
      </c>
    </row>
    <row r="903" spans="1:6" ht="18.75" customHeight="1">
      <c r="A903" s="33" t="s">
        <v>97</v>
      </c>
      <c r="B903" s="6"/>
      <c r="C903" s="7"/>
      <c r="D903" s="8"/>
      <c r="E903" s="30">
        <v>1.2882</v>
      </c>
    </row>
    <row r="904" spans="1:6" ht="18.75" customHeight="1">
      <c r="A904" s="33" t="s">
        <v>234</v>
      </c>
      <c r="B904" s="6"/>
      <c r="C904" s="7"/>
      <c r="D904" s="8"/>
      <c r="E904" s="30">
        <v>1.2882</v>
      </c>
    </row>
    <row r="905" spans="1:6" ht="18.75" customHeight="1">
      <c r="A905" s="5"/>
      <c r="B905" s="6"/>
      <c r="C905" s="7"/>
      <c r="D905" s="8"/>
      <c r="E905" s="7"/>
    </row>
    <row r="906" spans="1:6" ht="18.75" customHeight="1">
      <c r="A906" s="52" t="s">
        <v>16</v>
      </c>
      <c r="B906" s="6"/>
      <c r="C906" s="7"/>
      <c r="D906" s="8"/>
      <c r="E906" s="29">
        <v>5</v>
      </c>
      <c r="F906" s="18"/>
    </row>
    <row r="907" spans="1:6" ht="16.899999999999999" customHeight="1">
      <c r="A907" s="33" t="s">
        <v>17</v>
      </c>
      <c r="B907" s="6"/>
      <c r="C907" s="7"/>
      <c r="D907" s="8"/>
      <c r="E907" s="28">
        <v>48030</v>
      </c>
      <c r="F907" s="26"/>
    </row>
    <row r="908" spans="1:6" ht="18" customHeight="1">
      <c r="A908" s="33" t="s">
        <v>18</v>
      </c>
      <c r="B908" s="6"/>
      <c r="C908" s="7"/>
      <c r="D908" s="8"/>
      <c r="E908" s="28">
        <v>48182</v>
      </c>
      <c r="F908" s="26"/>
    </row>
    <row r="909" spans="1:6" ht="18.75" customHeight="1">
      <c r="A909" s="5"/>
      <c r="B909" s="6"/>
      <c r="C909" s="7"/>
      <c r="D909" s="32" t="s">
        <v>15</v>
      </c>
      <c r="E909" s="7"/>
    </row>
    <row r="910" spans="1:6" ht="18.75" customHeight="1">
      <c r="A910" s="85" t="s">
        <v>235</v>
      </c>
      <c r="B910" s="85"/>
      <c r="C910" s="7"/>
      <c r="D910" s="25">
        <v>5</v>
      </c>
      <c r="E910" s="23">
        <v>1</v>
      </c>
    </row>
    <row r="911" spans="1:6" ht="18.75" customHeight="1">
      <c r="A911" s="33" t="s">
        <v>98</v>
      </c>
      <c r="B911" s="6"/>
      <c r="C911" s="7"/>
      <c r="D911" s="8"/>
      <c r="E911" s="30">
        <v>1.3027</v>
      </c>
    </row>
    <row r="912" spans="1:6" ht="18.75" customHeight="1">
      <c r="A912" s="33" t="s">
        <v>236</v>
      </c>
      <c r="B912" s="6"/>
      <c r="C912" s="7"/>
      <c r="D912" s="8"/>
      <c r="E912" s="30">
        <v>1.3027</v>
      </c>
    </row>
    <row r="913" spans="1:6" ht="18.75" customHeight="1">
      <c r="A913" s="33"/>
      <c r="B913" s="6"/>
      <c r="C913" s="7"/>
      <c r="D913" s="8"/>
      <c r="E913" s="30"/>
    </row>
    <row r="914" spans="1:6" ht="48.75" customHeight="1">
      <c r="A914" s="84" t="s">
        <v>119</v>
      </c>
      <c r="B914" s="84"/>
      <c r="C914" s="84"/>
      <c r="D914" s="84"/>
      <c r="E914" s="84"/>
      <c r="F914" s="35"/>
    </row>
    <row r="915" spans="1:6" ht="91.15" customHeight="1">
      <c r="A915" s="47" t="s">
        <v>4</v>
      </c>
      <c r="B915" s="56" t="s">
        <v>27</v>
      </c>
      <c r="C915" s="47" t="s">
        <v>36</v>
      </c>
      <c r="D915" s="15" t="s">
        <v>5</v>
      </c>
      <c r="E915" s="15" t="s">
        <v>22</v>
      </c>
    </row>
    <row r="916" spans="1:6" ht="18.75" customHeight="1">
      <c r="A916" s="47">
        <v>1</v>
      </c>
      <c r="B916" s="47">
        <v>2</v>
      </c>
      <c r="C916" s="47">
        <v>3</v>
      </c>
      <c r="D916" s="47">
        <v>4</v>
      </c>
      <c r="E916" s="20">
        <v>5</v>
      </c>
    </row>
    <row r="917" spans="1:6" s="2" customFormat="1" ht="27" customHeight="1">
      <c r="A917" s="10" t="s">
        <v>7</v>
      </c>
      <c r="B917" s="22">
        <v>10467191</v>
      </c>
      <c r="C917" s="22">
        <v>10657694</v>
      </c>
      <c r="D917" s="31">
        <v>1.3052999999999999</v>
      </c>
      <c r="E917" s="22">
        <v>13911488</v>
      </c>
    </row>
    <row r="918" spans="1:6" s="2" customFormat="1" ht="25.9" customHeight="1">
      <c r="A918" s="10" t="s">
        <v>6</v>
      </c>
      <c r="B918" s="22">
        <v>50180946</v>
      </c>
      <c r="C918" s="22">
        <v>51094239</v>
      </c>
      <c r="D918" s="31">
        <v>1.3194999999999999</v>
      </c>
      <c r="E918" s="22">
        <v>67418848</v>
      </c>
      <c r="F918" s="16"/>
    </row>
    <row r="919" spans="1:6" s="2" customFormat="1" ht="25.9" customHeight="1">
      <c r="A919" s="65" t="s">
        <v>28</v>
      </c>
      <c r="B919" s="22">
        <v>60648137</v>
      </c>
      <c r="C919" s="22">
        <v>61751933</v>
      </c>
      <c r="D919" s="11"/>
      <c r="E919" s="22">
        <v>81330336</v>
      </c>
      <c r="F919" s="16"/>
    </row>
    <row r="920" spans="1:6" s="2" customFormat="1" ht="25.9" customHeight="1">
      <c r="A920" s="21" t="s">
        <v>30</v>
      </c>
      <c r="B920" s="22">
        <v>50540114</v>
      </c>
      <c r="C920" s="22">
        <v>51459944</v>
      </c>
      <c r="D920" s="22"/>
      <c r="E920" s="22">
        <v>67775280</v>
      </c>
      <c r="F920" s="16"/>
    </row>
    <row r="921" spans="1:6" ht="18.75" customHeight="1">
      <c r="A921" s="21" t="s">
        <v>29</v>
      </c>
      <c r="B921" s="22">
        <v>61658939</v>
      </c>
      <c r="C921" s="22">
        <v>62781132</v>
      </c>
      <c r="D921" s="22"/>
      <c r="E921" s="22">
        <v>82685842</v>
      </c>
    </row>
    <row r="922" spans="1:6" ht="21" customHeight="1">
      <c r="A922" s="21" t="s">
        <v>31</v>
      </c>
      <c r="B922" s="22">
        <v>11118825</v>
      </c>
      <c r="C922" s="22">
        <v>11321188</v>
      </c>
      <c r="D922" s="22"/>
      <c r="E922" s="22">
        <v>14910562</v>
      </c>
    </row>
    <row r="923" spans="1:6" ht="18.75" customHeight="1">
      <c r="A923" s="5"/>
      <c r="B923" s="6"/>
      <c r="C923" s="7"/>
      <c r="D923" s="8"/>
      <c r="E923" s="7"/>
    </row>
    <row r="924" spans="1:6" ht="18.75" customHeight="1">
      <c r="A924" s="44" t="s">
        <v>8</v>
      </c>
      <c r="B924" s="6"/>
      <c r="C924" s="7"/>
      <c r="D924" s="8"/>
      <c r="E924" s="7"/>
    </row>
    <row r="925" spans="1:6" ht="18.75" customHeight="1">
      <c r="A925" s="34" t="s">
        <v>19</v>
      </c>
      <c r="B925" s="6"/>
      <c r="C925" s="7"/>
      <c r="D925" s="8"/>
      <c r="E925" s="24">
        <v>14323</v>
      </c>
    </row>
    <row r="926" spans="1:6" ht="18.75" customHeight="1">
      <c r="A926" s="34"/>
      <c r="B926" s="6"/>
      <c r="C926" s="7"/>
      <c r="D926" s="8"/>
      <c r="E926" s="7"/>
    </row>
    <row r="927" spans="1:6" ht="18.75" customHeight="1">
      <c r="A927" s="33" t="s">
        <v>10</v>
      </c>
      <c r="B927" s="6"/>
      <c r="C927" s="7"/>
      <c r="D927" s="8"/>
      <c r="E927" s="43">
        <v>45870</v>
      </c>
    </row>
    <row r="928" spans="1:6" ht="16.899999999999999" customHeight="1">
      <c r="A928" s="33" t="s">
        <v>11</v>
      </c>
      <c r="B928" s="6"/>
      <c r="C928" s="7"/>
      <c r="D928" s="8"/>
      <c r="E928" s="43">
        <v>45992</v>
      </c>
    </row>
    <row r="929" spans="1:6" ht="18.75" customHeight="1">
      <c r="A929" s="5"/>
      <c r="B929" s="6"/>
      <c r="C929" s="7"/>
      <c r="D929" s="8"/>
      <c r="E929" s="7"/>
    </row>
    <row r="930" spans="1:6" ht="18.75" customHeight="1">
      <c r="A930" s="85" t="s">
        <v>37</v>
      </c>
      <c r="B930" s="85"/>
      <c r="C930" s="7"/>
      <c r="D930" s="8"/>
      <c r="E930" s="30">
        <v>1.0182</v>
      </c>
    </row>
    <row r="931" spans="1:6" ht="18.75" customHeight="1">
      <c r="A931" s="52"/>
      <c r="B931" s="52"/>
      <c r="C931" s="7"/>
      <c r="D931" s="8"/>
      <c r="E931" s="24"/>
    </row>
    <row r="932" spans="1:6" ht="18.75" customHeight="1">
      <c r="A932" s="86" t="s">
        <v>38</v>
      </c>
      <c r="B932" s="86"/>
      <c r="C932" s="86"/>
      <c r="D932" s="86"/>
      <c r="E932" s="86"/>
    </row>
    <row r="933" spans="1:6" ht="18.75" customHeight="1">
      <c r="A933" s="44"/>
      <c r="B933" s="44"/>
      <c r="C933" s="44"/>
      <c r="D933" s="44"/>
      <c r="E933" s="44"/>
    </row>
    <row r="934" spans="1:6" ht="18.75" customHeight="1">
      <c r="A934" s="52" t="s">
        <v>12</v>
      </c>
      <c r="B934" s="6"/>
      <c r="C934" s="7"/>
      <c r="D934" s="8"/>
      <c r="E934" s="29">
        <v>11</v>
      </c>
    </row>
    <row r="935" spans="1:6" ht="16.899999999999999" customHeight="1">
      <c r="A935" s="33" t="s">
        <v>13</v>
      </c>
      <c r="B935" s="6"/>
      <c r="C935" s="7"/>
      <c r="D935" s="8"/>
      <c r="E935" s="28">
        <v>47939</v>
      </c>
      <c r="F935" s="26"/>
    </row>
    <row r="936" spans="1:6" ht="18" customHeight="1">
      <c r="A936" s="33" t="s">
        <v>14</v>
      </c>
      <c r="B936" s="6"/>
      <c r="C936" s="7"/>
      <c r="D936" s="8"/>
      <c r="E936" s="28">
        <v>48273</v>
      </c>
      <c r="F936" s="26"/>
    </row>
    <row r="937" spans="1:6" ht="18.75" customHeight="1">
      <c r="A937" s="5"/>
      <c r="B937" s="6"/>
      <c r="C937" s="7"/>
      <c r="D937" s="32" t="s">
        <v>15</v>
      </c>
      <c r="E937" s="7"/>
    </row>
    <row r="938" spans="1:6" ht="18.75" customHeight="1">
      <c r="A938" s="85" t="s">
        <v>237</v>
      </c>
      <c r="B938" s="85"/>
      <c r="C938" s="7"/>
      <c r="D938" s="25">
        <v>9</v>
      </c>
      <c r="E938" s="23">
        <v>0.82</v>
      </c>
    </row>
    <row r="939" spans="1:6" ht="18.75" customHeight="1">
      <c r="A939" s="85" t="s">
        <v>238</v>
      </c>
      <c r="B939" s="85"/>
      <c r="C939" s="7"/>
      <c r="D939" s="25">
        <v>2</v>
      </c>
      <c r="E939" s="23">
        <v>0.18</v>
      </c>
    </row>
    <row r="940" spans="1:6" ht="18.75" customHeight="1">
      <c r="A940" s="33" t="s">
        <v>99</v>
      </c>
      <c r="B940" s="6"/>
      <c r="C940" s="7"/>
      <c r="D940" s="8"/>
      <c r="E940" s="30">
        <v>1.3008999999999999</v>
      </c>
    </row>
    <row r="941" spans="1:6" ht="18.75" customHeight="1">
      <c r="A941" s="33" t="s">
        <v>100</v>
      </c>
      <c r="B941" s="6"/>
      <c r="C941" s="7"/>
      <c r="D941" s="8"/>
      <c r="E941" s="30">
        <v>1.3255999999999999</v>
      </c>
    </row>
    <row r="942" spans="1:6" ht="18.75" customHeight="1">
      <c r="A942" s="33" t="s">
        <v>239</v>
      </c>
      <c r="B942" s="6"/>
      <c r="C942" s="7"/>
      <c r="D942" s="8"/>
      <c r="E942" s="30">
        <v>1.3052999999999999</v>
      </c>
    </row>
    <row r="943" spans="1:6" ht="18.75" customHeight="1">
      <c r="A943" s="5"/>
      <c r="B943" s="6"/>
      <c r="C943" s="7"/>
      <c r="D943" s="8"/>
      <c r="E943" s="7"/>
    </row>
    <row r="944" spans="1:6" ht="18.75" customHeight="1">
      <c r="A944" s="52" t="s">
        <v>16</v>
      </c>
      <c r="B944" s="6"/>
      <c r="C944" s="7"/>
      <c r="D944" s="8"/>
      <c r="E944" s="63">
        <v>5</v>
      </c>
      <c r="F944" s="18"/>
    </row>
    <row r="945" spans="1:6" ht="16.899999999999999" customHeight="1">
      <c r="A945" s="33" t="s">
        <v>17</v>
      </c>
      <c r="B945" s="6"/>
      <c r="C945" s="7"/>
      <c r="D945" s="8"/>
      <c r="E945" s="28">
        <v>48122</v>
      </c>
      <c r="F945" s="26"/>
    </row>
    <row r="946" spans="1:6" ht="18" customHeight="1">
      <c r="A946" s="33" t="s">
        <v>18</v>
      </c>
      <c r="B946" s="6"/>
      <c r="C946" s="7"/>
      <c r="D946" s="8"/>
      <c r="E946" s="28">
        <v>48273</v>
      </c>
      <c r="F946" s="26"/>
    </row>
    <row r="947" spans="1:6" ht="18.75" customHeight="1">
      <c r="A947" s="5"/>
      <c r="B947" s="6"/>
      <c r="C947" s="7"/>
      <c r="D947" s="32" t="s">
        <v>15</v>
      </c>
      <c r="E947" s="7"/>
    </row>
    <row r="948" spans="1:6" ht="18.75" customHeight="1">
      <c r="A948" s="85" t="s">
        <v>240</v>
      </c>
      <c r="B948" s="85"/>
      <c r="C948" s="7"/>
      <c r="D948" s="25">
        <v>3</v>
      </c>
      <c r="E948" s="23">
        <v>0.6</v>
      </c>
    </row>
    <row r="949" spans="1:6">
      <c r="A949" s="85" t="s">
        <v>241</v>
      </c>
      <c r="B949" s="85"/>
      <c r="C949" s="7"/>
      <c r="D949" s="25">
        <v>2</v>
      </c>
      <c r="E949" s="23">
        <v>0.4</v>
      </c>
    </row>
    <row r="950" spans="1:6" ht="18.75" customHeight="1">
      <c r="A950" s="33" t="s">
        <v>101</v>
      </c>
      <c r="B950" s="6"/>
      <c r="C950" s="7"/>
      <c r="D950" s="8"/>
      <c r="E950" s="30">
        <v>1.3153999999999999</v>
      </c>
    </row>
    <row r="951" spans="1:6" ht="18.75" customHeight="1">
      <c r="A951" s="33" t="s">
        <v>100</v>
      </c>
      <c r="B951" s="6"/>
      <c r="C951" s="7"/>
      <c r="D951" s="8"/>
      <c r="E951" s="30">
        <v>1.3255999999999999</v>
      </c>
    </row>
    <row r="952" spans="1:6" ht="18.75" customHeight="1">
      <c r="A952" s="33" t="s">
        <v>242</v>
      </c>
      <c r="B952" s="6"/>
      <c r="C952" s="7"/>
      <c r="D952" s="8"/>
      <c r="E952" s="30">
        <v>1.3194999999999999</v>
      </c>
    </row>
    <row r="953" spans="1:6" ht="18.75" customHeight="1">
      <c r="A953" s="33"/>
      <c r="B953" s="6"/>
      <c r="C953" s="7"/>
      <c r="D953" s="8"/>
      <c r="E953" s="30"/>
    </row>
    <row r="954" spans="1:6" ht="48" customHeight="1">
      <c r="A954" s="87" t="s">
        <v>120</v>
      </c>
      <c r="B954" s="87"/>
      <c r="C954" s="87"/>
      <c r="D954" s="87"/>
      <c r="E954" s="87"/>
      <c r="F954" s="35"/>
    </row>
    <row r="955" spans="1:6" ht="91.15" customHeight="1">
      <c r="A955" s="47" t="s">
        <v>4</v>
      </c>
      <c r="B955" s="56" t="s">
        <v>27</v>
      </c>
      <c r="C955" s="47" t="s">
        <v>36</v>
      </c>
      <c r="D955" s="15" t="s">
        <v>5</v>
      </c>
      <c r="E955" s="15" t="s">
        <v>22</v>
      </c>
    </row>
    <row r="956" spans="1:6" ht="18.75" customHeight="1">
      <c r="A956" s="47">
        <v>1</v>
      </c>
      <c r="B956" s="47">
        <v>2</v>
      </c>
      <c r="C956" s="47">
        <v>3</v>
      </c>
      <c r="D956" s="47">
        <v>4</v>
      </c>
      <c r="E956" s="20">
        <v>5</v>
      </c>
    </row>
    <row r="957" spans="1:6" s="2" customFormat="1" ht="27" customHeight="1">
      <c r="A957" s="10" t="s">
        <v>7</v>
      </c>
      <c r="B957" s="22">
        <v>10435767</v>
      </c>
      <c r="C957" s="22">
        <v>10625698</v>
      </c>
      <c r="D957" s="31">
        <v>1.3024</v>
      </c>
      <c r="E957" s="22">
        <v>13838909</v>
      </c>
    </row>
    <row r="958" spans="1:6" s="2" customFormat="1" ht="25.9" customHeight="1">
      <c r="A958" s="10" t="s">
        <v>6</v>
      </c>
      <c r="B958" s="22">
        <v>50030294</v>
      </c>
      <c r="C958" s="22">
        <v>50940845</v>
      </c>
      <c r="D958" s="31">
        <v>1.3168</v>
      </c>
      <c r="E958" s="22">
        <v>67078905</v>
      </c>
      <c r="F958" s="16"/>
    </row>
    <row r="959" spans="1:6" s="2" customFormat="1" ht="25.9" customHeight="1">
      <c r="A959" s="65" t="s">
        <v>28</v>
      </c>
      <c r="B959" s="22">
        <v>60466061</v>
      </c>
      <c r="C959" s="22">
        <v>61566543</v>
      </c>
      <c r="D959" s="11"/>
      <c r="E959" s="22">
        <v>80917814</v>
      </c>
      <c r="F959" s="16"/>
    </row>
    <row r="960" spans="1:6" s="2" customFormat="1" ht="25.9" customHeight="1">
      <c r="A960" s="21" t="s">
        <v>30</v>
      </c>
      <c r="B960" s="22">
        <v>50388384</v>
      </c>
      <c r="C960" s="22">
        <v>51305453</v>
      </c>
      <c r="D960" s="22"/>
      <c r="E960" s="22">
        <v>67431512</v>
      </c>
      <c r="F960" s="16"/>
    </row>
    <row r="961" spans="1:6" ht="18.75" customHeight="1">
      <c r="A961" s="21" t="s">
        <v>29</v>
      </c>
      <c r="B961" s="22">
        <v>61473828</v>
      </c>
      <c r="C961" s="22">
        <v>62592653</v>
      </c>
      <c r="D961" s="22"/>
      <c r="E961" s="22">
        <v>82266445</v>
      </c>
    </row>
    <row r="962" spans="1:6" ht="21" customHeight="1">
      <c r="A962" s="21" t="s">
        <v>31</v>
      </c>
      <c r="B962" s="22">
        <v>11085444</v>
      </c>
      <c r="C962" s="22">
        <v>11287200</v>
      </c>
      <c r="D962" s="22"/>
      <c r="E962" s="22">
        <v>14834933</v>
      </c>
    </row>
    <row r="963" spans="1:6" ht="18.75" customHeight="1">
      <c r="A963" s="5"/>
      <c r="B963" s="6"/>
      <c r="C963" s="7"/>
      <c r="D963" s="8"/>
      <c r="E963" s="7"/>
    </row>
    <row r="964" spans="1:6" ht="18.75" customHeight="1">
      <c r="A964" s="44" t="s">
        <v>8</v>
      </c>
      <c r="B964" s="6"/>
      <c r="C964" s="7"/>
      <c r="D964" s="8"/>
      <c r="E964" s="7"/>
    </row>
    <row r="965" spans="1:6" ht="18.75" customHeight="1">
      <c r="A965" s="34" t="s">
        <v>19</v>
      </c>
      <c r="B965" s="6"/>
      <c r="C965" s="7"/>
      <c r="D965" s="8"/>
      <c r="E965" s="24">
        <v>14280</v>
      </c>
    </row>
    <row r="966" spans="1:6" ht="18.75" customHeight="1">
      <c r="A966" s="34"/>
      <c r="B966" s="6"/>
      <c r="C966" s="7"/>
      <c r="D966" s="8"/>
      <c r="E966" s="7"/>
    </row>
    <row r="967" spans="1:6" ht="18.75" customHeight="1">
      <c r="A967" s="33" t="s">
        <v>10</v>
      </c>
      <c r="B967" s="6"/>
      <c r="C967" s="7"/>
      <c r="D967" s="8"/>
      <c r="E967" s="43">
        <v>45870</v>
      </c>
    </row>
    <row r="968" spans="1:6" ht="16.899999999999999" customHeight="1">
      <c r="A968" s="33" t="s">
        <v>11</v>
      </c>
      <c r="B968" s="6"/>
      <c r="C968" s="7"/>
      <c r="D968" s="8"/>
      <c r="E968" s="43">
        <v>45992</v>
      </c>
    </row>
    <row r="969" spans="1:6" ht="18.75" customHeight="1">
      <c r="A969" s="5"/>
      <c r="B969" s="6"/>
      <c r="C969" s="7"/>
      <c r="D969" s="8"/>
      <c r="E969" s="7"/>
    </row>
    <row r="970" spans="1:6" ht="18.75" customHeight="1">
      <c r="A970" s="85" t="s">
        <v>37</v>
      </c>
      <c r="B970" s="85"/>
      <c r="C970" s="7"/>
      <c r="D970" s="8"/>
      <c r="E970" s="30">
        <v>1.0182</v>
      </c>
    </row>
    <row r="971" spans="1:6" ht="18.75" customHeight="1">
      <c r="A971" s="52"/>
      <c r="B971" s="52"/>
      <c r="C971" s="7"/>
      <c r="D971" s="8"/>
      <c r="E971" s="24"/>
    </row>
    <row r="972" spans="1:6" ht="18.75" customHeight="1">
      <c r="A972" s="86" t="s">
        <v>38</v>
      </c>
      <c r="B972" s="86"/>
      <c r="C972" s="86"/>
      <c r="D972" s="86"/>
      <c r="E972" s="86"/>
    </row>
    <row r="973" spans="1:6" ht="18.75" customHeight="1">
      <c r="A973" s="44"/>
      <c r="B973" s="44"/>
      <c r="C973" s="44"/>
      <c r="D973" s="44"/>
      <c r="E973" s="44"/>
    </row>
    <row r="974" spans="1:6" ht="18.75" customHeight="1">
      <c r="A974" s="52" t="s">
        <v>12</v>
      </c>
      <c r="B974" s="6"/>
      <c r="C974" s="7"/>
      <c r="D974" s="8"/>
      <c r="E974" s="29">
        <v>11</v>
      </c>
    </row>
    <row r="975" spans="1:6" ht="16.899999999999999" customHeight="1">
      <c r="A975" s="33" t="s">
        <v>13</v>
      </c>
      <c r="B975" s="6"/>
      <c r="C975" s="7"/>
      <c r="D975" s="8"/>
      <c r="E975" s="28">
        <v>47908</v>
      </c>
      <c r="F975" s="26"/>
    </row>
    <row r="976" spans="1:6" ht="18" customHeight="1">
      <c r="A976" s="33" t="s">
        <v>14</v>
      </c>
      <c r="B976" s="6"/>
      <c r="C976" s="7"/>
      <c r="D976" s="8"/>
      <c r="E976" s="28">
        <v>48244</v>
      </c>
      <c r="F976" s="26"/>
    </row>
    <row r="977" spans="1:6" ht="18.75" customHeight="1">
      <c r="A977" s="5"/>
      <c r="B977" s="6"/>
      <c r="C977" s="7"/>
      <c r="D977" s="32" t="s">
        <v>15</v>
      </c>
      <c r="E977" s="7"/>
    </row>
    <row r="978" spans="1:6" ht="18.75" customHeight="1">
      <c r="A978" s="85" t="s">
        <v>243</v>
      </c>
      <c r="B978" s="85"/>
      <c r="C978" s="7"/>
      <c r="D978" s="25">
        <v>10</v>
      </c>
      <c r="E978" s="23">
        <v>0.91</v>
      </c>
    </row>
    <row r="979" spans="1:6" ht="18.75" customHeight="1">
      <c r="A979" s="85" t="s">
        <v>244</v>
      </c>
      <c r="B979" s="85"/>
      <c r="C979" s="7"/>
      <c r="D979" s="25">
        <v>1</v>
      </c>
      <c r="E979" s="23">
        <v>0.09</v>
      </c>
    </row>
    <row r="980" spans="1:6" ht="18.75" customHeight="1">
      <c r="A980" s="33" t="s">
        <v>70</v>
      </c>
      <c r="B980" s="6"/>
      <c r="C980" s="7"/>
      <c r="D980" s="8"/>
      <c r="E980" s="30">
        <v>1.3002</v>
      </c>
    </row>
    <row r="981" spans="1:6" ht="18.75" customHeight="1">
      <c r="A981" s="33" t="s">
        <v>102</v>
      </c>
      <c r="B981" s="6"/>
      <c r="C981" s="7"/>
      <c r="D981" s="8"/>
      <c r="E981" s="30">
        <v>1.325</v>
      </c>
    </row>
    <row r="982" spans="1:6" ht="18.75" customHeight="1">
      <c r="A982" s="33" t="s">
        <v>245</v>
      </c>
      <c r="B982" s="6"/>
      <c r="C982" s="7"/>
      <c r="D982" s="8"/>
      <c r="E982" s="30">
        <v>1.3024</v>
      </c>
    </row>
    <row r="983" spans="1:6" ht="18.75" customHeight="1">
      <c r="A983" s="5"/>
      <c r="B983" s="6"/>
      <c r="C983" s="7"/>
      <c r="D983" s="8"/>
      <c r="E983" s="7"/>
    </row>
    <row r="984" spans="1:6" ht="18.75" customHeight="1">
      <c r="A984" s="52" t="s">
        <v>16</v>
      </c>
      <c r="B984" s="6"/>
      <c r="C984" s="7"/>
      <c r="D984" s="8"/>
      <c r="E984" s="29">
        <v>5</v>
      </c>
      <c r="F984" s="18"/>
    </row>
    <row r="985" spans="1:6" ht="16.899999999999999" customHeight="1">
      <c r="A985" s="33" t="s">
        <v>17</v>
      </c>
      <c r="B985" s="6"/>
      <c r="C985" s="7"/>
      <c r="D985" s="8"/>
      <c r="E985" s="28">
        <v>48092</v>
      </c>
      <c r="F985" s="26"/>
    </row>
    <row r="986" spans="1:6" ht="18" customHeight="1">
      <c r="A986" s="33" t="s">
        <v>18</v>
      </c>
      <c r="B986" s="6"/>
      <c r="C986" s="7"/>
      <c r="D986" s="8"/>
      <c r="E986" s="28">
        <v>48244</v>
      </c>
      <c r="F986" s="26"/>
    </row>
    <row r="987" spans="1:6" ht="18.75" customHeight="1">
      <c r="A987" s="5"/>
      <c r="B987" s="6"/>
      <c r="C987" s="7"/>
      <c r="D987" s="32" t="s">
        <v>15</v>
      </c>
      <c r="E987" s="7"/>
    </row>
    <row r="988" spans="1:6" ht="18.75" customHeight="1">
      <c r="A988" s="85" t="s">
        <v>246</v>
      </c>
      <c r="B988" s="85"/>
      <c r="C988" s="7"/>
      <c r="D988" s="25">
        <v>4</v>
      </c>
      <c r="E988" s="23">
        <v>0.8</v>
      </c>
    </row>
    <row r="989" spans="1:6" ht="18.75" customHeight="1">
      <c r="A989" s="85" t="s">
        <v>247</v>
      </c>
      <c r="B989" s="85"/>
      <c r="C989" s="7"/>
      <c r="D989" s="25">
        <v>1</v>
      </c>
      <c r="E989" s="23">
        <v>0.2</v>
      </c>
    </row>
    <row r="990" spans="1:6" ht="18.75" customHeight="1">
      <c r="A990" s="57" t="s">
        <v>72</v>
      </c>
      <c r="B990" s="6"/>
      <c r="C990" s="7"/>
      <c r="D990" s="8"/>
      <c r="E990" s="30">
        <v>1.3147</v>
      </c>
    </row>
    <row r="991" spans="1:6" ht="18.75" customHeight="1">
      <c r="A991" s="33" t="s">
        <v>102</v>
      </c>
      <c r="B991" s="6"/>
      <c r="C991" s="7"/>
      <c r="D991" s="8"/>
      <c r="E991" s="30">
        <v>1.325</v>
      </c>
    </row>
    <row r="992" spans="1:6" ht="18.75" customHeight="1">
      <c r="A992" s="33" t="s">
        <v>248</v>
      </c>
      <c r="B992" s="6"/>
      <c r="C992" s="7"/>
      <c r="D992" s="8"/>
      <c r="E992" s="30">
        <v>1.3168</v>
      </c>
    </row>
    <row r="993" spans="1:7" ht="18.600000000000001" customHeight="1">
      <c r="A993" s="33"/>
      <c r="B993" s="6"/>
      <c r="C993" s="7"/>
      <c r="D993" s="8"/>
      <c r="E993" s="30"/>
    </row>
    <row r="994" spans="1:7" ht="44.25" customHeight="1">
      <c r="A994" s="84" t="s">
        <v>249</v>
      </c>
      <c r="B994" s="84"/>
      <c r="C994" s="84"/>
      <c r="D994" s="84"/>
      <c r="E994" s="84"/>
      <c r="F994" s="35"/>
    </row>
    <row r="995" spans="1:7" ht="22.9" customHeight="1">
      <c r="A995" s="95" t="s">
        <v>21</v>
      </c>
      <c r="B995" s="95"/>
      <c r="C995" s="95"/>
      <c r="D995" s="95"/>
      <c r="E995" s="95"/>
    </row>
    <row r="996" spans="1:7" ht="28.15" customHeight="1">
      <c r="A996" s="96" t="s">
        <v>20</v>
      </c>
      <c r="B996" s="97"/>
      <c r="C996" s="97"/>
      <c r="D996" s="97"/>
      <c r="E996" s="98"/>
    </row>
    <row r="997" spans="1:7" ht="18.75" customHeight="1">
      <c r="A997" s="5"/>
      <c r="B997" s="6"/>
      <c r="C997" s="7"/>
      <c r="D997" s="8"/>
      <c r="E997" s="7"/>
    </row>
    <row r="998" spans="1:7" ht="53.25" customHeight="1">
      <c r="A998" s="84" t="s">
        <v>250</v>
      </c>
      <c r="B998" s="84"/>
      <c r="C998" s="84"/>
      <c r="D998" s="84"/>
      <c r="E998" s="84"/>
      <c r="F998" s="35"/>
    </row>
    <row r="999" spans="1:7" ht="22.9" customHeight="1">
      <c r="A999" s="95" t="s">
        <v>21</v>
      </c>
      <c r="B999" s="95"/>
      <c r="C999" s="95"/>
      <c r="D999" s="95"/>
      <c r="E999" s="95"/>
    </row>
    <row r="1000" spans="1:7" ht="28.15" customHeight="1">
      <c r="A1000" s="96" t="s">
        <v>20</v>
      </c>
      <c r="B1000" s="97"/>
      <c r="C1000" s="97"/>
      <c r="D1000" s="97"/>
      <c r="E1000" s="98"/>
    </row>
    <row r="1001" spans="1:7" ht="18.75" customHeight="1">
      <c r="A1001" s="33"/>
      <c r="B1001" s="6"/>
      <c r="C1001" s="7"/>
      <c r="D1001" s="8"/>
      <c r="E1001" s="30"/>
    </row>
    <row r="1002" spans="1:7" ht="12.75" customHeight="1">
      <c r="A1002" s="33"/>
      <c r="B1002" s="6"/>
      <c r="C1002" s="7"/>
      <c r="D1002" s="8"/>
      <c r="E1002" s="30"/>
    </row>
    <row r="1003" spans="1:7" ht="21.75" customHeight="1"/>
    <row r="1004" spans="1:7" ht="34.9" customHeight="1">
      <c r="A1004" s="14" t="s">
        <v>3</v>
      </c>
      <c r="B1004" s="12"/>
      <c r="C1004" s="12"/>
      <c r="D1004" s="12"/>
      <c r="E1004" s="49">
        <v>120713052510</v>
      </c>
      <c r="F1004" s="74"/>
      <c r="G1004" s="75"/>
    </row>
    <row r="1005" spans="1:7">
      <c r="A1005" s="21" t="s">
        <v>31</v>
      </c>
      <c r="B1005" s="3"/>
      <c r="C1005" s="3"/>
      <c r="D1005" s="4"/>
      <c r="E1005" s="50">
        <v>21767927502</v>
      </c>
      <c r="F1005" s="42"/>
      <c r="G1005" s="76"/>
    </row>
    <row r="1006" spans="1:7">
      <c r="A1006" s="38"/>
      <c r="B1006" s="39"/>
      <c r="C1006" s="39"/>
      <c r="D1006" s="40"/>
      <c r="E1006" s="41"/>
      <c r="F1006" s="42"/>
    </row>
    <row r="1007" spans="1:7">
      <c r="A1007" s="17"/>
      <c r="B1007" s="18"/>
      <c r="C1007" s="18"/>
      <c r="D1007" s="18"/>
      <c r="E1007" s="19"/>
    </row>
    <row r="1008" spans="1:7" ht="63" customHeight="1">
      <c r="A1008" s="92" t="s">
        <v>24</v>
      </c>
      <c r="B1008" s="92"/>
      <c r="C1008" s="92"/>
      <c r="D1008" s="92"/>
      <c r="E1008" s="92"/>
      <c r="F1008"/>
    </row>
    <row r="1009" spans="1:5">
      <c r="A1009" s="45"/>
      <c r="B1009" s="45"/>
      <c r="C1009" s="45"/>
      <c r="D1009" s="45"/>
      <c r="E1009" s="45"/>
    </row>
    <row r="1010" spans="1:5" s="13" customFormat="1" ht="54" customHeight="1">
      <c r="A1010" s="51"/>
      <c r="B1010" s="51"/>
      <c r="D1010" s="90"/>
      <c r="E1010" s="90"/>
    </row>
    <row r="1011" spans="1:5" s="13" customFormat="1" ht="21" customHeight="1">
      <c r="A1011" s="89"/>
      <c r="B1011" s="89"/>
      <c r="D1011" s="91"/>
      <c r="E1011" s="91"/>
    </row>
  </sheetData>
  <customSheetViews>
    <customSheetView guid="{547CEAFB-2318-4199-A168-BF7C2AC68639}" scale="87" showPageBreaks="1" fitToPage="1" printArea="1" hiddenRows="1" view="pageBreakPreview" topLeftCell="A109">
      <selection activeCell="E138" sqref="E138"/>
      <pageMargins left="0.70866141732283472" right="0.70866141732283472" top="0.74803149606299213" bottom="0.74803149606299213" header="0.31496062992125984" footer="0.31496062992125984"/>
      <pageSetup paperSize="9" scale="63" fitToHeight="0" orientation="portrait" r:id="rId1"/>
    </customSheetView>
    <customSheetView guid="{0D2818D8-B500-4FFF-93B9-B7253CC77E6C}" scale="106" showPageBreaks="1" fitToPage="1" printArea="1" hiddenRows="1" view="pageBreakPreview" topLeftCell="A375">
      <selection activeCell="A422" sqref="A422:B422"/>
      <pageMargins left="0.70866141732283472" right="0.70866141732283472" top="0.74803149606299213" bottom="0.74803149606299213" header="0.31496062992125984" footer="0.31496062992125984"/>
      <pageSetup paperSize="9" scale="10" orientation="portrait" r:id="rId2"/>
    </customSheetView>
    <customSheetView guid="{6736ED4C-54C7-44F9-894B-734AAD68E923}" scale="106" showPageBreaks="1" fitToPage="1" printArea="1" hiddenRows="1" view="pageBreakPreview" topLeftCell="A85">
      <selection activeCell="E18" sqref="E18"/>
      <pageMargins left="0.70866141732283472" right="0.70866141732283472" top="0.74803149606299213" bottom="0.74803149606299213" header="0.31496062992125984" footer="0.31496062992125984"/>
      <pageSetup paperSize="9" scale="63" fitToHeight="0" orientation="portrait" r:id="rId3"/>
    </customSheetView>
    <customSheetView guid="{AB3EE172-853F-48DA-B5F4-60310AA706CB}" scale="87" showPageBreaks="1" fitToPage="1" printArea="1" hiddenRows="1" view="pageBreakPreview" topLeftCell="A109">
      <selection activeCell="E138" sqref="E138"/>
      <pageMargins left="0.70866141732283472" right="0.70866141732283472" top="0.74803149606299213" bottom="0.74803149606299213" header="0.31496062992125984" footer="0.31496062992125984"/>
      <pageSetup paperSize="9" scale="63" fitToHeight="0" orientation="portrait" r:id="rId4"/>
    </customSheetView>
    <customSheetView guid="{D35DAF0D-B851-4B04-BC33-D25AA3F97F98}" scale="87" showPageBreaks="1" fitToPage="1" printArea="1" hiddenRows="1" view="pageBreakPreview" topLeftCell="A109">
      <selection activeCell="E138" sqref="E138"/>
      <pageMargins left="0.70866141732283472" right="0.70866141732283472" top="0.74803149606299213" bottom="0.74803149606299213" header="0.31496062992125984" footer="0.31496062992125984"/>
      <pageSetup paperSize="9" scale="63" fitToHeight="0" orientation="portrait" r:id="rId5"/>
    </customSheetView>
  </customSheetViews>
  <mergeCells count="192">
    <mergeCell ref="A93:B93"/>
    <mergeCell ref="A994:E994"/>
    <mergeCell ref="A995:E995"/>
    <mergeCell ref="A996:E996"/>
    <mergeCell ref="A998:E998"/>
    <mergeCell ref="A999:E999"/>
    <mergeCell ref="A1000:E1000"/>
    <mergeCell ref="A232:E232"/>
    <mergeCell ref="A250:B250"/>
    <mergeCell ref="A294:B294"/>
    <mergeCell ref="A296:E296"/>
    <mergeCell ref="A252:E252"/>
    <mergeCell ref="A258:B258"/>
    <mergeCell ref="A259:B259"/>
    <mergeCell ref="A268:B268"/>
    <mergeCell ref="A316:B316"/>
    <mergeCell ref="A322:E322"/>
    <mergeCell ref="A206:B206"/>
    <mergeCell ref="A136:B136"/>
    <mergeCell ref="A171:B171"/>
    <mergeCell ref="A138:B138"/>
    <mergeCell ref="A180:B180"/>
    <mergeCell ref="A182:B182"/>
    <mergeCell ref="A188:E188"/>
    <mergeCell ref="A1:E1"/>
    <mergeCell ref="A2:E2"/>
    <mergeCell ref="A36:B36"/>
    <mergeCell ref="A30:E30"/>
    <mergeCell ref="A46:B46"/>
    <mergeCell ref="A48:B48"/>
    <mergeCell ref="A3:E3"/>
    <mergeCell ref="A7:E7"/>
    <mergeCell ref="A8:E8"/>
    <mergeCell ref="A10:E10"/>
    <mergeCell ref="A6:E6"/>
    <mergeCell ref="A28:B28"/>
    <mergeCell ref="A47:B47"/>
    <mergeCell ref="A91:B91"/>
    <mergeCell ref="A118:B118"/>
    <mergeCell ref="A120:E120"/>
    <mergeCell ref="A37:B37"/>
    <mergeCell ref="A81:B81"/>
    <mergeCell ref="A127:B127"/>
    <mergeCell ref="A181:B181"/>
    <mergeCell ref="A1011:B1011"/>
    <mergeCell ref="D1010:E1010"/>
    <mergeCell ref="D1011:E1011"/>
    <mergeCell ref="A1008:E1008"/>
    <mergeCell ref="A208:E208"/>
    <mergeCell ref="A214:B214"/>
    <mergeCell ref="A215:B215"/>
    <mergeCell ref="A224:B224"/>
    <mergeCell ref="A270:B270"/>
    <mergeCell ref="A276:E276"/>
    <mergeCell ref="A54:E54"/>
    <mergeCell ref="A72:B72"/>
    <mergeCell ref="A74:E74"/>
    <mergeCell ref="A80:B80"/>
    <mergeCell ref="A90:B90"/>
    <mergeCell ref="A92:B92"/>
    <mergeCell ref="A226:B226"/>
    <mergeCell ref="A349:B349"/>
    <mergeCell ref="A358:B358"/>
    <mergeCell ref="A359:B359"/>
    <mergeCell ref="A360:B360"/>
    <mergeCell ref="A144:E144"/>
    <mergeCell ref="A162:B162"/>
    <mergeCell ref="A164:E164"/>
    <mergeCell ref="A170:B170"/>
    <mergeCell ref="A100:E100"/>
    <mergeCell ref="A126:B126"/>
    <mergeCell ref="A340:B340"/>
    <mergeCell ref="A342:E342"/>
    <mergeCell ref="A348:B348"/>
    <mergeCell ref="A302:B302"/>
    <mergeCell ref="A304:B304"/>
    <mergeCell ref="A314:B314"/>
    <mergeCell ref="A269:B269"/>
    <mergeCell ref="A225:B225"/>
    <mergeCell ref="A303:B303"/>
    <mergeCell ref="A315:B315"/>
    <mergeCell ref="A137:B137"/>
    <mergeCell ref="A361:B361"/>
    <mergeCell ref="A432:E432"/>
    <mergeCell ref="A438:B438"/>
    <mergeCell ref="A439:B439"/>
    <mergeCell ref="A448:B448"/>
    <mergeCell ref="A404:B404"/>
    <mergeCell ref="A406:B406"/>
    <mergeCell ref="A412:E412"/>
    <mergeCell ref="A368:E368"/>
    <mergeCell ref="A386:B386"/>
    <mergeCell ref="A388:E388"/>
    <mergeCell ref="A394:B394"/>
    <mergeCell ref="A395:B395"/>
    <mergeCell ref="A474:E474"/>
    <mergeCell ref="A405:B405"/>
    <mergeCell ref="A480:B480"/>
    <mergeCell ref="A481:B481"/>
    <mergeCell ref="A490:B490"/>
    <mergeCell ref="A449:B449"/>
    <mergeCell ref="A454:E454"/>
    <mergeCell ref="A472:B472"/>
    <mergeCell ref="A524:B524"/>
    <mergeCell ref="A430:B430"/>
    <mergeCell ref="A525:B525"/>
    <mergeCell ref="A491:B491"/>
    <mergeCell ref="A535:B535"/>
    <mergeCell ref="A540:E540"/>
    <mergeCell ref="A558:B558"/>
    <mergeCell ref="A560:E560"/>
    <mergeCell ref="A566:B566"/>
    <mergeCell ref="A620:B620"/>
    <mergeCell ref="A534:B534"/>
    <mergeCell ref="A492:B492"/>
    <mergeCell ref="A498:E498"/>
    <mergeCell ref="A516:B516"/>
    <mergeCell ref="A518:E518"/>
    <mergeCell ref="A567:B567"/>
    <mergeCell ref="A576:B576"/>
    <mergeCell ref="A577:B577"/>
    <mergeCell ref="A621:B621"/>
    <mergeCell ref="A622:B622"/>
    <mergeCell ref="A628:E628"/>
    <mergeCell ref="A584:E584"/>
    <mergeCell ref="A602:B602"/>
    <mergeCell ref="A604:E604"/>
    <mergeCell ref="A610:B610"/>
    <mergeCell ref="A611:B611"/>
    <mergeCell ref="A578:B578"/>
    <mergeCell ref="A667:B667"/>
    <mergeCell ref="A668:B668"/>
    <mergeCell ref="A674:E674"/>
    <mergeCell ref="A692:B692"/>
    <mergeCell ref="A646:B646"/>
    <mergeCell ref="A648:E648"/>
    <mergeCell ref="A654:B654"/>
    <mergeCell ref="A656:B656"/>
    <mergeCell ref="A666:B666"/>
    <mergeCell ref="A655:B655"/>
    <mergeCell ref="A712:B712"/>
    <mergeCell ref="A718:E718"/>
    <mergeCell ref="A735:B735"/>
    <mergeCell ref="A737:E737"/>
    <mergeCell ref="A694:E694"/>
    <mergeCell ref="A700:B700"/>
    <mergeCell ref="A701:B701"/>
    <mergeCell ref="A710:B710"/>
    <mergeCell ref="A711:B711"/>
    <mergeCell ref="A788:B788"/>
    <mergeCell ref="A798:B798"/>
    <mergeCell ref="A799:B799"/>
    <mergeCell ref="A761:E761"/>
    <mergeCell ref="A778:B778"/>
    <mergeCell ref="A780:E780"/>
    <mergeCell ref="A786:B786"/>
    <mergeCell ref="A743:B743"/>
    <mergeCell ref="A745:B745"/>
    <mergeCell ref="A755:B755"/>
    <mergeCell ref="A756:B756"/>
    <mergeCell ref="A744:B744"/>
    <mergeCell ref="A787:B787"/>
    <mergeCell ref="A842:E842"/>
    <mergeCell ref="A858:B858"/>
    <mergeCell ref="A860:E860"/>
    <mergeCell ref="A866:B866"/>
    <mergeCell ref="A829:B829"/>
    <mergeCell ref="A838:B838"/>
    <mergeCell ref="A804:E804"/>
    <mergeCell ref="A820:B820"/>
    <mergeCell ref="A822:E822"/>
    <mergeCell ref="A828:B828"/>
    <mergeCell ref="A988:B988"/>
    <mergeCell ref="A989:B989"/>
    <mergeCell ref="A954:E954"/>
    <mergeCell ref="A970:B970"/>
    <mergeCell ref="A972:E972"/>
    <mergeCell ref="A932:E932"/>
    <mergeCell ref="A938:B938"/>
    <mergeCell ref="A939:B939"/>
    <mergeCell ref="A948:B948"/>
    <mergeCell ref="A949:B949"/>
    <mergeCell ref="A914:E914"/>
    <mergeCell ref="A930:B930"/>
    <mergeCell ref="A894:B894"/>
    <mergeCell ref="A896:E896"/>
    <mergeCell ref="A902:B902"/>
    <mergeCell ref="A910:B910"/>
    <mergeCell ref="A874:B874"/>
    <mergeCell ref="A978:B978"/>
    <mergeCell ref="A979:B979"/>
    <mergeCell ref="A878:E878"/>
  </mergeCells>
  <pageMargins left="0.70866141732283472" right="0.70866141732283472" top="0.74803149606299213" bottom="0.74803149606299213" header="0.31496062992125984" footer="0.31496062992125984"/>
  <pageSetup paperSize="9" scale="62" fitToHeight="0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Расчет НМЦД</vt:lpstr>
      <vt:lpstr>'Расчет НМЦД'!Область_печати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Шипова Светлана Николаевна</dc:creator>
  <cp:lastModifiedBy>o_brusenskaya</cp:lastModifiedBy>
  <cp:lastPrinted>2026-01-27T07:21:27Z</cp:lastPrinted>
  <dcterms:created xsi:type="dcterms:W3CDTF">2015-06-05T18:19:34Z</dcterms:created>
  <dcterms:modified xsi:type="dcterms:W3CDTF">2026-04-15T07:57:35Z</dcterms:modified>
</cp:coreProperties>
</file>