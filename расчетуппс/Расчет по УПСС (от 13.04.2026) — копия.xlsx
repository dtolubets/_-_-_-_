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_brusenskaya\Desktop\Реновация\"/>
    </mc:Choice>
  </mc:AlternateContent>
  <xr:revisionPtr revIDLastSave="0" documentId="13_ncr:1_{C127753B-E1B2-47E7-8204-22C34EDFB2DE}" xr6:coauthVersionLast="47" xr6:coauthVersionMax="47" xr10:uidLastSave="{00000000-0000-0000-0000-000000000000}"/>
  <bookViews>
    <workbookView xWindow="-120" yWindow="-120" windowWidth="29040" windowHeight="15720" xr2:uid="{23729702-9317-E648-A98A-4D2DE5773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3" i="1" l="1"/>
  <c r="Y38" i="1"/>
  <c r="W38" i="1"/>
  <c r="U38" i="1"/>
  <c r="S38" i="1"/>
  <c r="Q38" i="1"/>
  <c r="O38" i="1"/>
  <c r="L66" i="1"/>
  <c r="L65" i="1"/>
  <c r="L61" i="1"/>
  <c r="L60" i="1"/>
  <c r="L56" i="1"/>
  <c r="L55" i="1"/>
  <c r="L51" i="1"/>
  <c r="L50" i="1"/>
  <c r="L46" i="1"/>
  <c r="L45" i="1"/>
  <c r="L41" i="1"/>
  <c r="L40" i="1"/>
  <c r="L36" i="1"/>
  <c r="L35" i="1"/>
  <c r="L31" i="1"/>
  <c r="L30" i="1"/>
  <c r="L26" i="1"/>
  <c r="L25" i="1"/>
  <c r="L21" i="1"/>
  <c r="L20" i="1"/>
  <c r="L11" i="1"/>
  <c r="L16" i="1"/>
  <c r="L6" i="1"/>
  <c r="M53" i="1"/>
  <c r="J48" i="1"/>
  <c r="AB38" i="1" l="1"/>
  <c r="O53" i="1"/>
  <c r="S53" i="1"/>
  <c r="U53" i="1"/>
  <c r="W53" i="1"/>
  <c r="Y53" i="1"/>
  <c r="Q53" i="1"/>
  <c r="AB53" i="1" l="1"/>
  <c r="AA53" i="1"/>
  <c r="Z28" i="1"/>
  <c r="M13" i="1"/>
  <c r="M58" i="1"/>
  <c r="M48" i="1"/>
  <c r="M43" i="1"/>
  <c r="M28" i="1"/>
  <c r="M23" i="1"/>
  <c r="M18" i="1"/>
  <c r="J8" i="1"/>
  <c r="M8" i="1" s="1"/>
  <c r="J33" i="1"/>
  <c r="M33" i="1" s="1"/>
  <c r="J68" i="1"/>
  <c r="M68" i="1" s="1"/>
  <c r="J63" i="1"/>
  <c r="M63" i="1" s="1"/>
  <c r="I67" i="1"/>
  <c r="I62" i="1"/>
  <c r="I57" i="1"/>
  <c r="Z69" i="1"/>
  <c r="Z68" i="1"/>
  <c r="Z67" i="1"/>
  <c r="L67" i="1"/>
  <c r="Z66" i="1"/>
  <c r="M66" i="1"/>
  <c r="Z65" i="1"/>
  <c r="M65" i="1"/>
  <c r="Z64" i="1"/>
  <c r="Z63" i="1"/>
  <c r="Z62" i="1"/>
  <c r="L62" i="1"/>
  <c r="Z61" i="1"/>
  <c r="M61" i="1"/>
  <c r="Z60" i="1"/>
  <c r="M60" i="1"/>
  <c r="Z59" i="1"/>
  <c r="Z58" i="1"/>
  <c r="Z57" i="1"/>
  <c r="L57" i="1"/>
  <c r="Z56" i="1"/>
  <c r="M56" i="1"/>
  <c r="Z55" i="1"/>
  <c r="M55" i="1"/>
  <c r="Z6" i="1"/>
  <c r="Z7" i="1"/>
  <c r="Z8" i="1"/>
  <c r="Z9" i="1"/>
  <c r="Z10" i="1"/>
  <c r="Z11" i="1"/>
  <c r="Z12" i="1"/>
  <c r="Z13" i="1"/>
  <c r="Z14" i="1"/>
  <c r="Z17" i="1"/>
  <c r="Z18" i="1"/>
  <c r="Z19" i="1"/>
  <c r="Z20" i="1"/>
  <c r="Z21" i="1"/>
  <c r="Z22" i="1"/>
  <c r="Z23" i="1"/>
  <c r="Z24" i="1"/>
  <c r="Z25" i="1"/>
  <c r="Z26" i="1"/>
  <c r="Z27" i="1"/>
  <c r="Z29" i="1"/>
  <c r="Z30" i="1"/>
  <c r="Z31" i="1"/>
  <c r="Z32" i="1"/>
  <c r="Z33" i="1"/>
  <c r="Z34" i="1"/>
  <c r="Z35" i="1"/>
  <c r="Z36" i="1"/>
  <c r="Z37" i="1"/>
  <c r="Z38" i="1"/>
  <c r="AA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M51" i="1"/>
  <c r="M46" i="1"/>
  <c r="M41" i="1"/>
  <c r="M36" i="1"/>
  <c r="M26" i="1"/>
  <c r="M21" i="1"/>
  <c r="M16" i="1"/>
  <c r="M11" i="1"/>
  <c r="M6" i="1"/>
  <c r="M31" i="1"/>
  <c r="M50" i="1"/>
  <c r="M45" i="1"/>
  <c r="M40" i="1"/>
  <c r="M35" i="1"/>
  <c r="M30" i="1"/>
  <c r="M25" i="1"/>
  <c r="M20" i="1"/>
  <c r="L52" i="1"/>
  <c r="M52" i="1" s="1"/>
  <c r="L47" i="1"/>
  <c r="I47" i="1"/>
  <c r="I42" i="1"/>
  <c r="I37" i="1"/>
  <c r="I32" i="1"/>
  <c r="I22" i="1"/>
  <c r="L42" i="1"/>
  <c r="L37" i="1"/>
  <c r="L32" i="1"/>
  <c r="L27" i="1"/>
  <c r="M27" i="1" s="1"/>
  <c r="L22" i="1"/>
  <c r="L17" i="1"/>
  <c r="L15" i="1"/>
  <c r="M15" i="1" s="1"/>
  <c r="L10" i="1"/>
  <c r="M10" i="1" s="1"/>
  <c r="L12" i="1"/>
  <c r="L7" i="1"/>
  <c r="I17" i="1"/>
  <c r="I12" i="1"/>
  <c r="I7" i="1"/>
  <c r="L5" i="1"/>
  <c r="M5" i="1" s="1"/>
  <c r="Z5" i="1"/>
  <c r="Y23" i="1" l="1"/>
  <c r="W23" i="1"/>
  <c r="U23" i="1"/>
  <c r="O23" i="1"/>
  <c r="S23" i="1"/>
  <c r="Q23" i="1"/>
  <c r="S28" i="1"/>
  <c r="Q28" i="1"/>
  <c r="O28" i="1"/>
  <c r="Y28" i="1"/>
  <c r="W28" i="1"/>
  <c r="U28" i="1"/>
  <c r="W65" i="1"/>
  <c r="U65" i="1"/>
  <c r="Y65" i="1"/>
  <c r="S65" i="1"/>
  <c r="Q65" i="1"/>
  <c r="O65" i="1"/>
  <c r="S61" i="1"/>
  <c r="U61" i="1"/>
  <c r="Q61" i="1"/>
  <c r="O61" i="1"/>
  <c r="W61" i="1"/>
  <c r="Y61" i="1"/>
  <c r="Y66" i="1"/>
  <c r="Q66" i="1"/>
  <c r="W66" i="1"/>
  <c r="U66" i="1"/>
  <c r="O66" i="1"/>
  <c r="S66" i="1"/>
  <c r="Y5" i="1"/>
  <c r="W5" i="1"/>
  <c r="S5" i="1"/>
  <c r="O5" i="1"/>
  <c r="Q5" i="1"/>
  <c r="U5" i="1"/>
  <c r="W52" i="1"/>
  <c r="U52" i="1"/>
  <c r="S52" i="1"/>
  <c r="Q52" i="1"/>
  <c r="O52" i="1"/>
  <c r="Y52" i="1"/>
  <c r="S31" i="1"/>
  <c r="Q31" i="1"/>
  <c r="Y31" i="1"/>
  <c r="O31" i="1"/>
  <c r="W31" i="1"/>
  <c r="U31" i="1"/>
  <c r="S21" i="1"/>
  <c r="Q21" i="1"/>
  <c r="O21" i="1"/>
  <c r="Y21" i="1"/>
  <c r="W21" i="1"/>
  <c r="U21" i="1"/>
  <c r="Y63" i="1"/>
  <c r="W63" i="1"/>
  <c r="U63" i="1"/>
  <c r="Q63" i="1"/>
  <c r="S63" i="1"/>
  <c r="O63" i="1"/>
  <c r="S48" i="1"/>
  <c r="Q48" i="1"/>
  <c r="W48" i="1"/>
  <c r="O48" i="1"/>
  <c r="Y48" i="1"/>
  <c r="U48" i="1"/>
  <c r="O60" i="1"/>
  <c r="Q60" i="1"/>
  <c r="Y60" i="1"/>
  <c r="U60" i="1"/>
  <c r="S60" i="1"/>
  <c r="W60" i="1"/>
  <c r="Q56" i="1"/>
  <c r="Y56" i="1"/>
  <c r="W56" i="1"/>
  <c r="U56" i="1"/>
  <c r="O56" i="1"/>
  <c r="S56" i="1"/>
  <c r="Q43" i="1"/>
  <c r="Y43" i="1"/>
  <c r="W43" i="1"/>
  <c r="U43" i="1"/>
  <c r="S43" i="1"/>
  <c r="O43" i="1"/>
  <c r="O20" i="1"/>
  <c r="Y20" i="1"/>
  <c r="U20" i="1"/>
  <c r="S20" i="1"/>
  <c r="W20" i="1"/>
  <c r="Q20" i="1"/>
  <c r="W6" i="1"/>
  <c r="S6" i="1"/>
  <c r="O6" i="1"/>
  <c r="Y6" i="1"/>
  <c r="U6" i="1"/>
  <c r="Q6" i="1"/>
  <c r="O26" i="1"/>
  <c r="Y26" i="1"/>
  <c r="W26" i="1"/>
  <c r="U26" i="1"/>
  <c r="Q26" i="1"/>
  <c r="S26" i="1"/>
  <c r="S68" i="1"/>
  <c r="Y68" i="1"/>
  <c r="Q68" i="1"/>
  <c r="O68" i="1"/>
  <c r="W68" i="1"/>
  <c r="U68" i="1"/>
  <c r="S58" i="1"/>
  <c r="Q58" i="1"/>
  <c r="Y58" i="1"/>
  <c r="O58" i="1"/>
  <c r="W58" i="1"/>
  <c r="U58" i="1"/>
  <c r="S51" i="1"/>
  <c r="U51" i="1"/>
  <c r="Q51" i="1"/>
  <c r="Y51" i="1"/>
  <c r="O51" i="1"/>
  <c r="W51" i="1"/>
  <c r="O15" i="1"/>
  <c r="U15" i="1"/>
  <c r="S15" i="1"/>
  <c r="Y15" i="1"/>
  <c r="W15" i="1"/>
  <c r="Q15" i="1"/>
  <c r="Q33" i="1"/>
  <c r="Y33" i="1"/>
  <c r="W33" i="1"/>
  <c r="U33" i="1"/>
  <c r="O33" i="1"/>
  <c r="S33" i="1"/>
  <c r="S13" i="1"/>
  <c r="Q13" i="1"/>
  <c r="O13" i="1"/>
  <c r="Y13" i="1"/>
  <c r="W13" i="1"/>
  <c r="U13" i="1"/>
  <c r="O27" i="1"/>
  <c r="U27" i="1"/>
  <c r="S27" i="1"/>
  <c r="Y27" i="1"/>
  <c r="W27" i="1"/>
  <c r="Q27" i="1"/>
  <c r="W25" i="1"/>
  <c r="Y25" i="1"/>
  <c r="U25" i="1"/>
  <c r="S25" i="1"/>
  <c r="Q25" i="1"/>
  <c r="O25" i="1"/>
  <c r="O30" i="1"/>
  <c r="U30" i="1"/>
  <c r="Q30" i="1"/>
  <c r="Y30" i="1"/>
  <c r="S30" i="1"/>
  <c r="W30" i="1"/>
  <c r="S16" i="1"/>
  <c r="Q16" i="1"/>
  <c r="O16" i="1"/>
  <c r="Y16" i="1"/>
  <c r="W16" i="1"/>
  <c r="U16" i="1"/>
  <c r="S41" i="1"/>
  <c r="Y41" i="1"/>
  <c r="U41" i="1"/>
  <c r="Q41" i="1"/>
  <c r="W41" i="1"/>
  <c r="O41" i="1"/>
  <c r="W8" i="1"/>
  <c r="Y8" i="1"/>
  <c r="U8" i="1"/>
  <c r="Q8" i="1"/>
  <c r="S8" i="1"/>
  <c r="O8" i="1"/>
  <c r="O40" i="1"/>
  <c r="Q40" i="1"/>
  <c r="Y40" i="1"/>
  <c r="U40" i="1"/>
  <c r="S40" i="1"/>
  <c r="W40" i="1"/>
  <c r="W55" i="1"/>
  <c r="U55" i="1"/>
  <c r="S55" i="1"/>
  <c r="Q55" i="1"/>
  <c r="O55" i="1"/>
  <c r="Y55" i="1"/>
  <c r="Y10" i="1"/>
  <c r="Q10" i="1"/>
  <c r="U10" i="1"/>
  <c r="W10" i="1"/>
  <c r="O10" i="1"/>
  <c r="S10" i="1"/>
  <c r="W45" i="1"/>
  <c r="U45" i="1"/>
  <c r="S45" i="1"/>
  <c r="Q45" i="1"/>
  <c r="O45" i="1"/>
  <c r="Y45" i="1"/>
  <c r="O50" i="1"/>
  <c r="Q50" i="1"/>
  <c r="Y50" i="1"/>
  <c r="S50" i="1"/>
  <c r="W50" i="1"/>
  <c r="U50" i="1"/>
  <c r="U54" i="1" s="1"/>
  <c r="S11" i="1"/>
  <c r="U11" i="1"/>
  <c r="Y11" i="1"/>
  <c r="Q11" i="1"/>
  <c r="W11" i="1"/>
  <c r="O11" i="1"/>
  <c r="Y36" i="1"/>
  <c r="W36" i="1"/>
  <c r="U36" i="1"/>
  <c r="O36" i="1"/>
  <c r="S36" i="1"/>
  <c r="Q36" i="1"/>
  <c r="W35" i="1"/>
  <c r="U35" i="1"/>
  <c r="S35" i="1"/>
  <c r="Q35" i="1"/>
  <c r="O35" i="1"/>
  <c r="Y35" i="1"/>
  <c r="Y46" i="1"/>
  <c r="Q46" i="1"/>
  <c r="W46" i="1"/>
  <c r="U46" i="1"/>
  <c r="S46" i="1"/>
  <c r="O46" i="1"/>
  <c r="Y18" i="1"/>
  <c r="W18" i="1"/>
  <c r="U18" i="1"/>
  <c r="Q18" i="1"/>
  <c r="S18" i="1"/>
  <c r="O18" i="1"/>
  <c r="M62" i="1"/>
  <c r="M57" i="1"/>
  <c r="M67" i="1"/>
  <c r="Z16" i="1"/>
  <c r="Z15" i="1"/>
  <c r="M29" i="1"/>
  <c r="M54" i="1"/>
  <c r="M32" i="1"/>
  <c r="M17" i="1"/>
  <c r="M47" i="1"/>
  <c r="M42" i="1"/>
  <c r="M37" i="1"/>
  <c r="M22" i="1"/>
  <c r="M12" i="1"/>
  <c r="M7" i="1"/>
  <c r="S29" i="1" l="1"/>
  <c r="AB16" i="1"/>
  <c r="AA23" i="1"/>
  <c r="AB36" i="1"/>
  <c r="AB27" i="1"/>
  <c r="AB33" i="1"/>
  <c r="AB26" i="1"/>
  <c r="AB60" i="1"/>
  <c r="AB63" i="1"/>
  <c r="U29" i="1"/>
  <c r="AB45" i="1"/>
  <c r="AB20" i="1"/>
  <c r="W69" i="1"/>
  <c r="O57" i="1"/>
  <c r="O59" i="1" s="1"/>
  <c r="U57" i="1"/>
  <c r="U59" i="1" s="1"/>
  <c r="S57" i="1"/>
  <c r="Y57" i="1"/>
  <c r="W57" i="1"/>
  <c r="Q57" i="1"/>
  <c r="AA18" i="1"/>
  <c r="AA58" i="1"/>
  <c r="W54" i="1"/>
  <c r="AB10" i="1"/>
  <c r="Q29" i="1"/>
  <c r="O54" i="1"/>
  <c r="O29" i="1"/>
  <c r="AB66" i="1"/>
  <c r="M44" i="1"/>
  <c r="W42" i="1"/>
  <c r="W44" i="1" s="1"/>
  <c r="U42" i="1"/>
  <c r="U44" i="1" s="1"/>
  <c r="S42" i="1"/>
  <c r="S44" i="1" s="1"/>
  <c r="Q42" i="1"/>
  <c r="Q44" i="1" s="1"/>
  <c r="O42" i="1"/>
  <c r="O44" i="1" s="1"/>
  <c r="Y42" i="1"/>
  <c r="W32" i="1"/>
  <c r="W34" i="1" s="1"/>
  <c r="U32" i="1"/>
  <c r="U34" i="1" s="1"/>
  <c r="S32" i="1"/>
  <c r="S34" i="1" s="1"/>
  <c r="Q32" i="1"/>
  <c r="Q34" i="1" s="1"/>
  <c r="O32" i="1"/>
  <c r="Y32" i="1"/>
  <c r="AB46" i="1"/>
  <c r="S54" i="1"/>
  <c r="AB55" i="1"/>
  <c r="AB41" i="1"/>
  <c r="AB51" i="1"/>
  <c r="AB58" i="1"/>
  <c r="AB68" i="1"/>
  <c r="AB5" i="1"/>
  <c r="AB28" i="1"/>
  <c r="AB52" i="1"/>
  <c r="AA33" i="1"/>
  <c r="AA8" i="1"/>
  <c r="W59" i="1"/>
  <c r="O34" i="1"/>
  <c r="AB13" i="1"/>
  <c r="M9" i="1"/>
  <c r="Y7" i="1"/>
  <c r="Y9" i="1" s="1"/>
  <c r="U7" i="1"/>
  <c r="Q7" i="1"/>
  <c r="Q9" i="1" s="1"/>
  <c r="W7" i="1"/>
  <c r="W9" i="1" s="1"/>
  <c r="S7" i="1"/>
  <c r="S9" i="1" s="1"/>
  <c r="O7" i="1"/>
  <c r="O9" i="1" s="1"/>
  <c r="M19" i="1"/>
  <c r="W17" i="1"/>
  <c r="W19" i="1" s="1"/>
  <c r="U17" i="1"/>
  <c r="U19" i="1" s="1"/>
  <c r="S17" i="1"/>
  <c r="S19" i="1" s="1"/>
  <c r="Q17" i="1"/>
  <c r="Q19" i="1" s="1"/>
  <c r="O17" i="1"/>
  <c r="O19" i="1" s="1"/>
  <c r="Y17" i="1"/>
  <c r="AA13" i="1"/>
  <c r="AB18" i="1"/>
  <c r="AB50" i="1"/>
  <c r="Y54" i="1"/>
  <c r="AB8" i="1"/>
  <c r="AB56" i="1"/>
  <c r="AB21" i="1"/>
  <c r="AB31" i="1"/>
  <c r="AB61" i="1"/>
  <c r="M14" i="1"/>
  <c r="O12" i="1"/>
  <c r="O14" i="1" s="1"/>
  <c r="S12" i="1"/>
  <c r="S14" i="1" s="1"/>
  <c r="Y12" i="1"/>
  <c r="Y14" i="1" s="1"/>
  <c r="W12" i="1"/>
  <c r="W14" i="1" s="1"/>
  <c r="U12" i="1"/>
  <c r="U14" i="1" s="1"/>
  <c r="Q12" i="1"/>
  <c r="Q14" i="1" s="1"/>
  <c r="M49" i="1"/>
  <c r="O47" i="1"/>
  <c r="O49" i="1" s="1"/>
  <c r="Y47" i="1"/>
  <c r="U47" i="1"/>
  <c r="U49" i="1" s="1"/>
  <c r="S47" i="1"/>
  <c r="S49" i="1" s="1"/>
  <c r="W47" i="1"/>
  <c r="W49" i="1" s="1"/>
  <c r="Q47" i="1"/>
  <c r="Q49" i="1" s="1"/>
  <c r="W62" i="1"/>
  <c r="W64" i="1" s="1"/>
  <c r="U62" i="1"/>
  <c r="U64" i="1" s="1"/>
  <c r="S62" i="1"/>
  <c r="S64" i="1" s="1"/>
  <c r="Q62" i="1"/>
  <c r="Q64" i="1" s="1"/>
  <c r="O62" i="1"/>
  <c r="O64" i="1" s="1"/>
  <c r="Y62" i="1"/>
  <c r="Y64" i="1" s="1"/>
  <c r="AB35" i="1"/>
  <c r="Q54" i="1"/>
  <c r="Q59" i="1"/>
  <c r="AB40" i="1"/>
  <c r="AB30" i="1"/>
  <c r="Y29" i="1"/>
  <c r="AB25" i="1"/>
  <c r="AB15" i="1"/>
  <c r="S59" i="1"/>
  <c r="Y44" i="1"/>
  <c r="AB43" i="1"/>
  <c r="AB23" i="1"/>
  <c r="M39" i="1"/>
  <c r="O37" i="1"/>
  <c r="Y37" i="1"/>
  <c r="W37" i="1"/>
  <c r="W39" i="1" s="1"/>
  <c r="U37" i="1"/>
  <c r="U39" i="1" s="1"/>
  <c r="S37" i="1"/>
  <c r="S39" i="1" s="1"/>
  <c r="Q37" i="1"/>
  <c r="Q39" i="1" s="1"/>
  <c r="M24" i="1"/>
  <c r="W22" i="1"/>
  <c r="W24" i="1" s="1"/>
  <c r="U22" i="1"/>
  <c r="U24" i="1" s="1"/>
  <c r="S22" i="1"/>
  <c r="S24" i="1" s="1"/>
  <c r="Q22" i="1"/>
  <c r="Q24" i="1" s="1"/>
  <c r="O22" i="1"/>
  <c r="O24" i="1" s="1"/>
  <c r="Y22" i="1"/>
  <c r="O67" i="1"/>
  <c r="O69" i="1" s="1"/>
  <c r="Y67" i="1"/>
  <c r="S67" i="1"/>
  <c r="S69" i="1" s="1"/>
  <c r="W67" i="1"/>
  <c r="U67" i="1"/>
  <c r="U69" i="1" s="1"/>
  <c r="Q67" i="1"/>
  <c r="Q69" i="1" s="1"/>
  <c r="O39" i="1"/>
  <c r="AB11" i="1"/>
  <c r="W29" i="1"/>
  <c r="AB6" i="1"/>
  <c r="AB48" i="1"/>
  <c r="U9" i="1"/>
  <c r="AB65" i="1"/>
  <c r="M59" i="1"/>
  <c r="AA68" i="1"/>
  <c r="M64" i="1"/>
  <c r="AA48" i="1"/>
  <c r="AA28" i="1"/>
  <c r="AA43" i="1"/>
  <c r="AA63" i="1"/>
  <c r="M69" i="1"/>
  <c r="AA66" i="1"/>
  <c r="AA65" i="1"/>
  <c r="AA61" i="1"/>
  <c r="AA56" i="1"/>
  <c r="AA55" i="1"/>
  <c r="AA60" i="1"/>
  <c r="AA27" i="1"/>
  <c r="AA26" i="1"/>
  <c r="AA15" i="1"/>
  <c r="AA11" i="1"/>
  <c r="AA45" i="1"/>
  <c r="AA51" i="1"/>
  <c r="AA36" i="1"/>
  <c r="AA31" i="1"/>
  <c r="AA10" i="1"/>
  <c r="AA50" i="1"/>
  <c r="AA25" i="1"/>
  <c r="AA6" i="1"/>
  <c r="AA21" i="1"/>
  <c r="AA41" i="1"/>
  <c r="AA40" i="1"/>
  <c r="AA52" i="1"/>
  <c r="AA30" i="1"/>
  <c r="AA35" i="1"/>
  <c r="AA20" i="1"/>
  <c r="AA46" i="1"/>
  <c r="AA16" i="1"/>
  <c r="M34" i="1"/>
  <c r="AA5" i="1"/>
  <c r="AB67" i="1" l="1"/>
  <c r="AB17" i="1"/>
  <c r="S70" i="1"/>
  <c r="AB14" i="1"/>
  <c r="AB47" i="1"/>
  <c r="AB64" i="1"/>
  <c r="AB22" i="1"/>
  <c r="Y19" i="1"/>
  <c r="AB19" i="1" s="1"/>
  <c r="AB42" i="1"/>
  <c r="Y59" i="1"/>
  <c r="AB59" i="1" s="1"/>
  <c r="AB57" i="1"/>
  <c r="Y24" i="1"/>
  <c r="AB24" i="1" s="1"/>
  <c r="AB37" i="1"/>
  <c r="Q70" i="1"/>
  <c r="Y39" i="1"/>
  <c r="AB39" i="1" s="1"/>
  <c r="AB54" i="1"/>
  <c r="AB7" i="1"/>
  <c r="Y49" i="1"/>
  <c r="AB49" i="1" s="1"/>
  <c r="O70" i="1"/>
  <c r="Y34" i="1"/>
  <c r="AB34" i="1" s="1"/>
  <c r="AB32" i="1"/>
  <c r="Y69" i="1"/>
  <c r="AB29" i="1"/>
  <c r="AB62" i="1"/>
  <c r="AB9" i="1"/>
  <c r="AB44" i="1"/>
  <c r="U70" i="1"/>
  <c r="W70" i="1"/>
  <c r="AB12" i="1"/>
  <c r="AA62" i="1"/>
  <c r="AA57" i="1"/>
  <c r="AA64" i="1"/>
  <c r="M70" i="1"/>
  <c r="AA67" i="1"/>
  <c r="AA69" i="1"/>
  <c r="AA59" i="1"/>
  <c r="AA37" i="1"/>
  <c r="AA54" i="1"/>
  <c r="AA22" i="1"/>
  <c r="AA42" i="1"/>
  <c r="AA29" i="1"/>
  <c r="AA7" i="1"/>
  <c r="AA47" i="1"/>
  <c r="AA19" i="1"/>
  <c r="AA17" i="1"/>
  <c r="AA14" i="1"/>
  <c r="AA12" i="1"/>
  <c r="AA32" i="1"/>
  <c r="AA39" i="1"/>
  <c r="AA44" i="1"/>
  <c r="AA24" i="1"/>
  <c r="AA49" i="1"/>
  <c r="AA34" i="1"/>
  <c r="AB69" i="1" l="1"/>
  <c r="Y70" i="1"/>
  <c r="AB70" i="1" s="1"/>
  <c r="AA9" i="1"/>
  <c r="AA70" i="1" l="1"/>
</calcChain>
</file>

<file path=xl/sharedStrings.xml><?xml version="1.0" encoding="utf-8"?>
<sst xmlns="http://schemas.openxmlformats.org/spreadsheetml/2006/main" count="177" uniqueCount="48">
  <si>
    <t>190-1225-КЭФ-ДРТ54/Н</t>
  </si>
  <si>
    <t>МКР. 1,14,18</t>
  </si>
  <si>
    <t>СМР со сносом</t>
  </si>
  <si>
    <t>Сумма</t>
  </si>
  <si>
    <t>Зона № 22.1</t>
  </si>
  <si>
    <t>Зона № 4.1</t>
  </si>
  <si>
    <t>Зона № 7.1</t>
  </si>
  <si>
    <t>Зона № 3.1</t>
  </si>
  <si>
    <t>Зона № 13.2</t>
  </si>
  <si>
    <t>СМР</t>
  </si>
  <si>
    <t>ул. Ленская, земельный участок 12/1</t>
  </si>
  <si>
    <t>ул. Коминтерна, земельный участок 2</t>
  </si>
  <si>
    <t>191-1225-КЭФ-ДРТ55/Н</t>
  </si>
  <si>
    <t>МКР. 10,13</t>
  </si>
  <si>
    <t>7-0126-КЭФ-ДРТ57</t>
  </si>
  <si>
    <t xml:space="preserve">ул. Летчика Бабушкина, земельный участок 33/2/1 </t>
  </si>
  <si>
    <t>ул. Летчика Бабушкина, земельный участок 33/2/2</t>
  </si>
  <si>
    <t>улица Лётчика Бабушкина, земельный участок 35А</t>
  </si>
  <si>
    <t>Общая площадь (СПП), кв м</t>
  </si>
  <si>
    <t>общая площадь квартир, кв м</t>
  </si>
  <si>
    <t>расценка</t>
  </si>
  <si>
    <t>1-1-1-1</t>
  </si>
  <si>
    <t>1-1-1-3</t>
  </si>
  <si>
    <t>общая стоимость на 1 кв м</t>
  </si>
  <si>
    <t>доля в %</t>
  </si>
  <si>
    <t>1-1-2-1</t>
  </si>
  <si>
    <t>ед цена за м2 в руб.</t>
  </si>
  <si>
    <t>кол-во машиномест * площадь 1 м/м</t>
  </si>
  <si>
    <t>стоянка</t>
  </si>
  <si>
    <t>снос</t>
  </si>
  <si>
    <t>нежилые части жилых зданий</t>
  </si>
  <si>
    <t>ОБЪЕКТ</t>
  </si>
  <si>
    <t>Зона № 2.1</t>
  </si>
  <si>
    <t xml:space="preserve"> Зона 14.1</t>
  </si>
  <si>
    <t>Зона №14.1</t>
  </si>
  <si>
    <t>Зона №11.1</t>
  </si>
  <si>
    <t>Строительный объем, м3</t>
  </si>
  <si>
    <t>1-1-4-2</t>
  </si>
  <si>
    <t>ИТОГО</t>
  </si>
  <si>
    <t>проектные и изыскательские работы, экспертиза, в том числе</t>
  </si>
  <si>
    <t>затраты по проектным работам (стадия П)</t>
  </si>
  <si>
    <t>затраты по проектным работам (стадия Р)</t>
  </si>
  <si>
    <t>затраты по проведению изыскательских работ</t>
  </si>
  <si>
    <t>затраты по оплате услуг за проведение государственной экспертизы проектной документации и результатов инженерных изысканий</t>
  </si>
  <si>
    <t>затраты по ведению авторского надзора за строитльством зданий и сооружений</t>
  </si>
  <si>
    <t>затраты на согласование проектной документации</t>
  </si>
  <si>
    <t>проверка итога</t>
  </si>
  <si>
    <t>проверка ПИР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</si>
</sst>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_);_(@_)"/>
    <numFmt numFmtId="165" formatCode="_-* #,##0.00\ _₽_-;\-* #,##0.00\ _₽_-;_-* &quot;-&quot;??\ _₽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8">
    <xf numFmtId="0" fontId="0" fillId="0" borderId="0" xfId="0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164" fontId="0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0" fontId="0" fillId="0" borderId="1" xfId="0" applyNumberFormat="1" applyBorder="1"/>
    <xf numFmtId="10" fontId="0" fillId="0" borderId="0" xfId="0" applyNumberFormat="1"/>
    <xf numFmtId="164" fontId="0" fillId="0" borderId="0" xfId="1" applyNumberFormat="1" applyFont="1" applyFill="1" applyBorder="1" applyAlignment="1">
      <alignment horizontal="center" vertical="center"/>
    </xf>
    <xf numFmtId="0" fontId="0" fillId="0" borderId="2" xfId="0" applyBorder="1"/>
    <xf numFmtId="164" fontId="0" fillId="0" borderId="2" xfId="1" applyNumberFormat="1" applyFont="1" applyFill="1" applyBorder="1" applyAlignment="1">
      <alignment horizontal="center" vertical="center"/>
    </xf>
    <xf numFmtId="10" fontId="0" fillId="0" borderId="2" xfId="0" applyNumberFormat="1" applyBorder="1"/>
    <xf numFmtId="0" fontId="0" fillId="0" borderId="3" xfId="0" applyBorder="1"/>
    <xf numFmtId="164" fontId="0" fillId="0" borderId="3" xfId="1" applyNumberFormat="1" applyFont="1" applyFill="1" applyBorder="1" applyAlignment="1">
      <alignment horizontal="center" vertical="center"/>
    </xf>
    <xf numFmtId="10" fontId="0" fillId="0" borderId="3" xfId="0" applyNumberFormat="1" applyBorder="1"/>
    <xf numFmtId="4" fontId="0" fillId="0" borderId="3" xfId="0" applyNumberForma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4" fillId="2" borderId="4" xfId="0" applyFont="1" applyFill="1" applyBorder="1"/>
    <xf numFmtId="0" fontId="0" fillId="0" borderId="6" xfId="0" applyBorder="1" applyAlignment="1">
      <alignment horizontal="center" vertical="center"/>
    </xf>
    <xf numFmtId="164" fontId="0" fillId="0" borderId="7" xfId="1" applyNumberFormat="1" applyFont="1" applyFill="1" applyBorder="1" applyAlignment="1">
      <alignment horizontal="center" vertical="center"/>
    </xf>
    <xf numFmtId="10" fontId="0" fillId="0" borderId="7" xfId="0" applyNumberFormat="1" applyBorder="1"/>
    <xf numFmtId="4" fontId="0" fillId="0" borderId="7" xfId="0" applyNumberFormat="1" applyBorder="1"/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4" fillId="2" borderId="11" xfId="1" applyNumberFormat="1" applyFont="1" applyFill="1" applyBorder="1" applyAlignment="1">
      <alignment horizontal="center" vertical="center"/>
    </xf>
    <xf numFmtId="10" fontId="4" fillId="2" borderId="11" xfId="0" applyNumberFormat="1" applyFont="1" applyFill="1" applyBorder="1"/>
    <xf numFmtId="0" fontId="0" fillId="0" borderId="12" xfId="0" applyBorder="1"/>
    <xf numFmtId="0" fontId="4" fillId="2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64" fontId="5" fillId="2" borderId="11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1" xfId="0" applyFont="1" applyFill="1" applyBorder="1"/>
    <xf numFmtId="41" fontId="3" fillId="0" borderId="6" xfId="1" applyFont="1" applyBorder="1" applyAlignment="1">
      <alignment horizontal="center" vertical="center" wrapText="1"/>
    </xf>
    <xf numFmtId="41" fontId="3" fillId="0" borderId="7" xfId="1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0" borderId="7" xfId="0" applyBorder="1"/>
    <xf numFmtId="0" fontId="6" fillId="0" borderId="1" xfId="0" applyFont="1" applyBorder="1"/>
    <xf numFmtId="0" fontId="7" fillId="0" borderId="9" xfId="0" applyFont="1" applyBorder="1" applyAlignment="1">
      <alignment horizontal="center" vertical="center"/>
    </xf>
    <xf numFmtId="0" fontId="4" fillId="2" borderId="15" xfId="0" applyFont="1" applyFill="1" applyBorder="1"/>
    <xf numFmtId="164" fontId="4" fillId="2" borderId="15" xfId="1" applyNumberFormat="1" applyFont="1" applyFill="1" applyBorder="1" applyAlignment="1">
      <alignment horizontal="center" vertical="center"/>
    </xf>
    <xf numFmtId="2" fontId="4" fillId="2" borderId="15" xfId="0" applyNumberFormat="1" applyFont="1" applyFill="1" applyBorder="1"/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vertical="center"/>
    </xf>
    <xf numFmtId="164" fontId="4" fillId="4" borderId="17" xfId="1" applyNumberFormat="1" applyFont="1" applyFill="1" applyBorder="1" applyAlignment="1">
      <alignment horizontal="center" vertical="center"/>
    </xf>
    <xf numFmtId="2" fontId="4" fillId="4" borderId="17" xfId="0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horizontal="center" vertical="center"/>
    </xf>
    <xf numFmtId="4" fontId="4" fillId="2" borderId="2" xfId="1" applyNumberFormat="1" applyFont="1" applyFill="1" applyBorder="1" applyAlignment="1">
      <alignment horizontal="center" vertical="center"/>
    </xf>
    <xf numFmtId="4" fontId="4" fillId="2" borderId="11" xfId="1" applyNumberFormat="1" applyFont="1" applyFill="1" applyBorder="1" applyAlignment="1">
      <alignment horizontal="center" vertical="center"/>
    </xf>
    <xf numFmtId="4" fontId="0" fillId="0" borderId="7" xfId="1" applyNumberFormat="1" applyFont="1" applyFill="1" applyBorder="1" applyAlignment="1">
      <alignment horizontal="center" vertical="center"/>
    </xf>
    <xf numFmtId="4" fontId="0" fillId="0" borderId="3" xfId="1" applyNumberFormat="1" applyFont="1" applyFill="1" applyBorder="1" applyAlignment="1">
      <alignment horizontal="center" vertical="center"/>
    </xf>
    <xf numFmtId="4" fontId="4" fillId="2" borderId="11" xfId="0" applyNumberFormat="1" applyFont="1" applyFill="1" applyBorder="1"/>
    <xf numFmtId="4" fontId="0" fillId="0" borderId="2" xfId="1" applyNumberFormat="1" applyFont="1" applyFill="1" applyBorder="1" applyAlignment="1">
      <alignment horizontal="center" vertical="center"/>
    </xf>
    <xf numFmtId="164" fontId="4" fillId="2" borderId="21" xfId="1" applyNumberFormat="1" applyFont="1" applyFill="1" applyBorder="1" applyAlignment="1">
      <alignment horizontal="center" vertical="center"/>
    </xf>
    <xf numFmtId="10" fontId="4" fillId="2" borderId="22" xfId="0" applyNumberFormat="1" applyFont="1" applyFill="1" applyBorder="1"/>
    <xf numFmtId="10" fontId="0" fillId="0" borderId="11" xfId="0" applyNumberFormat="1" applyBorder="1"/>
    <xf numFmtId="4" fontId="0" fillId="0" borderId="11" xfId="0" applyNumberFormat="1" applyBorder="1"/>
    <xf numFmtId="164" fontId="4" fillId="5" borderId="17" xfId="1" applyNumberFormat="1" applyFont="1" applyFill="1" applyBorder="1" applyAlignment="1">
      <alignment horizontal="center" vertical="center"/>
    </xf>
    <xf numFmtId="165" fontId="0" fillId="0" borderId="0" xfId="0" applyNumberFormat="1"/>
    <xf numFmtId="0" fontId="4" fillId="0" borderId="7" xfId="0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</cellXfs>
  <cellStyles count="2">
    <cellStyle name="Обычный" xfId="0" builtinId="0"/>
    <cellStyle name="Финансовый [0]" xfId="1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24C8-9913-0C48-8911-2E8D116A0406}">
  <dimension ref="C2:AB73"/>
  <sheetViews>
    <sheetView tabSelected="1" zoomScale="70" zoomScaleNormal="70" workbookViewId="0">
      <pane xSplit="9" ySplit="4" topLeftCell="J5" activePane="bottomRight" state="frozen"/>
      <selection pane="topRight" activeCell="J1" sqref="J1"/>
      <selection pane="bottomLeft" activeCell="A5" sqref="A5"/>
      <selection pane="bottomRight" activeCell="L4" sqref="L4"/>
    </sheetView>
  </sheetViews>
  <sheetFormatPr defaultColWidth="11.5" defaultRowHeight="15.75" outlineLevelCol="1" x14ac:dyDescent="0.25"/>
  <cols>
    <col min="1" max="1" width="5.625" customWidth="1"/>
    <col min="2" max="2" width="2.625" customWidth="1"/>
    <col min="3" max="3" width="23.625" hidden="1" customWidth="1" outlineLevel="1"/>
    <col min="4" max="4" width="11.125" hidden="1" customWidth="1" outlineLevel="1"/>
    <col min="5" max="5" width="12.125" hidden="1" customWidth="1" outlineLevel="1"/>
    <col min="6" max="6" width="19.5" customWidth="1" collapsed="1"/>
    <col min="7" max="7" width="14" customWidth="1"/>
    <col min="8" max="8" width="12.75" customWidth="1"/>
    <col min="9" max="9" width="12.125" customWidth="1"/>
    <col min="10" max="10" width="15" customWidth="1"/>
    <col min="11" max="12" width="12.125" customWidth="1"/>
    <col min="13" max="13" width="22.75" customWidth="1"/>
    <col min="14" max="14" width="13" customWidth="1" outlineLevel="1"/>
    <col min="15" max="15" width="19.125" customWidth="1" outlineLevel="1"/>
    <col min="16" max="16" width="15.375" customWidth="1" outlineLevel="1"/>
    <col min="17" max="17" width="25" customWidth="1" outlineLevel="1"/>
    <col min="18" max="25" width="15.375" customWidth="1" outlineLevel="1"/>
    <col min="27" max="27" width="18.375" customWidth="1"/>
    <col min="28" max="28" width="14.5" customWidth="1"/>
  </cols>
  <sheetData>
    <row r="2" spans="3:28" ht="16.5" thickBot="1" x14ac:dyDescent="0.3">
      <c r="N2" s="74" t="s">
        <v>39</v>
      </c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</row>
    <row r="3" spans="3:28" ht="207" customHeight="1" x14ac:dyDescent="0.25">
      <c r="C3" s="2"/>
      <c r="D3" s="2"/>
      <c r="E3" s="18"/>
      <c r="F3" s="39" t="s">
        <v>31</v>
      </c>
      <c r="G3" s="40" t="s">
        <v>18</v>
      </c>
      <c r="H3" s="40" t="s">
        <v>19</v>
      </c>
      <c r="I3" s="40" t="s">
        <v>27</v>
      </c>
      <c r="J3" s="40" t="s">
        <v>36</v>
      </c>
      <c r="K3" s="40" t="s">
        <v>20</v>
      </c>
      <c r="L3" s="73" t="s">
        <v>23</v>
      </c>
      <c r="M3" s="73"/>
      <c r="N3" s="75" t="s">
        <v>40</v>
      </c>
      <c r="O3" s="76"/>
      <c r="P3" s="75" t="s">
        <v>41</v>
      </c>
      <c r="Q3" s="76"/>
      <c r="R3" s="75" t="s">
        <v>42</v>
      </c>
      <c r="S3" s="76"/>
      <c r="T3" s="75" t="s">
        <v>43</v>
      </c>
      <c r="U3" s="76"/>
      <c r="V3" s="75" t="s">
        <v>44</v>
      </c>
      <c r="W3" s="76"/>
      <c r="X3" s="75" t="s">
        <v>45</v>
      </c>
      <c r="Y3" s="76"/>
      <c r="AA3" t="s">
        <v>46</v>
      </c>
      <c r="AB3" t="s">
        <v>47</v>
      </c>
    </row>
    <row r="4" spans="3:28" ht="33.75" customHeight="1" thickBot="1" x14ac:dyDescent="0.3">
      <c r="C4" s="2"/>
      <c r="D4" s="2"/>
      <c r="E4" s="18"/>
      <c r="F4" s="41"/>
      <c r="G4" s="42"/>
      <c r="H4" s="42"/>
      <c r="I4" s="42"/>
      <c r="J4" s="42"/>
      <c r="K4" s="42"/>
      <c r="L4" s="77" t="s">
        <v>26</v>
      </c>
      <c r="M4" s="43" t="s">
        <v>3</v>
      </c>
      <c r="N4" s="43" t="s">
        <v>24</v>
      </c>
      <c r="O4" s="43" t="s">
        <v>3</v>
      </c>
      <c r="P4" s="43" t="s">
        <v>24</v>
      </c>
      <c r="Q4" s="43" t="s">
        <v>3</v>
      </c>
      <c r="R4" s="43" t="s">
        <v>24</v>
      </c>
      <c r="S4" s="43" t="s">
        <v>3</v>
      </c>
      <c r="T4" s="43" t="s">
        <v>24</v>
      </c>
      <c r="U4" s="43" t="s">
        <v>3</v>
      </c>
      <c r="V4" s="43" t="s">
        <v>24</v>
      </c>
      <c r="W4" s="43" t="s">
        <v>3</v>
      </c>
      <c r="X4" s="43" t="s">
        <v>24</v>
      </c>
      <c r="Y4" s="43" t="s">
        <v>3</v>
      </c>
    </row>
    <row r="5" spans="3:28" x14ac:dyDescent="0.25">
      <c r="C5" s="2" t="s">
        <v>0</v>
      </c>
      <c r="D5" s="2" t="s">
        <v>1</v>
      </c>
      <c r="E5" s="18" t="s">
        <v>2</v>
      </c>
      <c r="F5" s="21" t="s">
        <v>4</v>
      </c>
      <c r="G5" s="22">
        <v>15760.8</v>
      </c>
      <c r="H5" s="22">
        <v>10048</v>
      </c>
      <c r="I5" s="22"/>
      <c r="J5" s="22"/>
      <c r="K5" s="22" t="s">
        <v>22</v>
      </c>
      <c r="L5" s="60">
        <f>183.27*1000</f>
        <v>183270</v>
      </c>
      <c r="M5" s="22">
        <f>L5*H5</f>
        <v>1841496960</v>
      </c>
      <c r="N5" s="23">
        <v>1.55E-2</v>
      </c>
      <c r="O5" s="24">
        <f t="shared" ref="O5:Y6" si="0">N5*$M5</f>
        <v>28543202.879999999</v>
      </c>
      <c r="P5" s="23">
        <v>2.1600000000000001E-2</v>
      </c>
      <c r="Q5" s="24">
        <f t="shared" si="0"/>
        <v>39776334.336000003</v>
      </c>
      <c r="R5" s="23">
        <v>5.3E-3</v>
      </c>
      <c r="S5" s="24">
        <f t="shared" si="0"/>
        <v>9759933.8880000003</v>
      </c>
      <c r="T5" s="23">
        <v>5.9999999999999995E-4</v>
      </c>
      <c r="U5" s="24">
        <f t="shared" si="0"/>
        <v>1104898.176</v>
      </c>
      <c r="V5" s="23">
        <v>1E-3</v>
      </c>
      <c r="W5" s="24">
        <f t="shared" si="0"/>
        <v>1841496.96</v>
      </c>
      <c r="X5" s="23">
        <v>1.4E-3</v>
      </c>
      <c r="Y5" s="24">
        <f t="shared" si="0"/>
        <v>2578095.7439999999</v>
      </c>
      <c r="Z5" s="7" t="e">
        <f>#REF!+#REF!+#REF!+#REF!+#REF!+#REF!+#REF!+#REF!+#REF!+#REF!+#REF!+#REF!</f>
        <v>#REF!</v>
      </c>
      <c r="AA5" s="1" t="e">
        <f>#REF!+#REF!+#REF!+#REF!+#REF!+#REF!+#REF!+#REF!+#REF!+#REF!+#REF!+#REF!-M5</f>
        <v>#REF!</v>
      </c>
      <c r="AB5" s="1" t="e">
        <f>Y5+W5+U5+S5+Q5+O5-#REF!</f>
        <v>#REF!</v>
      </c>
    </row>
    <row r="6" spans="3:28" ht="31.5" x14ac:dyDescent="0.25">
      <c r="C6" s="2"/>
      <c r="D6" s="2"/>
      <c r="E6" s="18"/>
      <c r="F6" s="25" t="s">
        <v>30</v>
      </c>
      <c r="G6" s="4"/>
      <c r="H6" s="4">
        <v>303</v>
      </c>
      <c r="I6" s="4"/>
      <c r="J6" s="4"/>
      <c r="K6" s="4" t="s">
        <v>22</v>
      </c>
      <c r="L6" s="60">
        <f>126.27*1000</f>
        <v>126270</v>
      </c>
      <c r="M6" s="4">
        <f>L6*H6</f>
        <v>38259810</v>
      </c>
      <c r="N6" s="14">
        <v>1.55E-2</v>
      </c>
      <c r="O6" s="3">
        <f t="shared" si="0"/>
        <v>593027.05500000005</v>
      </c>
      <c r="P6" s="14">
        <v>2.1600000000000001E-2</v>
      </c>
      <c r="Q6" s="3">
        <f t="shared" si="0"/>
        <v>826411.89600000007</v>
      </c>
      <c r="R6" s="14">
        <v>5.3E-3</v>
      </c>
      <c r="S6" s="3">
        <f t="shared" si="0"/>
        <v>202776.99299999999</v>
      </c>
      <c r="T6" s="14">
        <v>5.9999999999999995E-4</v>
      </c>
      <c r="U6" s="3">
        <f t="shared" si="0"/>
        <v>22955.885999999999</v>
      </c>
      <c r="V6" s="14">
        <v>1E-3</v>
      </c>
      <c r="W6" s="3">
        <f t="shared" si="0"/>
        <v>38259.81</v>
      </c>
      <c r="X6" s="14">
        <v>1.4E-3</v>
      </c>
      <c r="Y6" s="3">
        <f t="shared" si="0"/>
        <v>53563.733999999997</v>
      </c>
      <c r="Z6" s="7" t="e">
        <f>#REF!+#REF!+#REF!+#REF!+#REF!+#REF!+#REF!+#REF!+#REF!+#REF!+#REF!+#REF!</f>
        <v>#REF!</v>
      </c>
      <c r="AA6" s="1" t="e">
        <f>#REF!+#REF!+#REF!+#REF!+#REF!+#REF!+#REF!+#REF!+#REF!+#REF!+#REF!+#REF!-M6</f>
        <v>#REF!</v>
      </c>
      <c r="AB6" s="1" t="e">
        <f>Y6+W6+U6+S6+Q6+O6-#REF!</f>
        <v>#REF!</v>
      </c>
    </row>
    <row r="7" spans="3:28" x14ac:dyDescent="0.25">
      <c r="C7" s="2"/>
      <c r="D7" s="2"/>
      <c r="E7" s="18"/>
      <c r="F7" s="26" t="s">
        <v>28</v>
      </c>
      <c r="G7" s="4"/>
      <c r="H7" s="4"/>
      <c r="I7" s="4">
        <f>52*3*6</f>
        <v>936</v>
      </c>
      <c r="J7" s="4"/>
      <c r="K7" s="4" t="s">
        <v>25</v>
      </c>
      <c r="L7" s="60">
        <f>276.67*1000</f>
        <v>276670</v>
      </c>
      <c r="M7" s="4">
        <f>L7*I7</f>
        <v>258963120</v>
      </c>
      <c r="N7" s="6">
        <v>1.5900000000000001E-2</v>
      </c>
      <c r="O7" s="3">
        <f t="shared" ref="O7:Y8" si="1">N7*$M7</f>
        <v>4117513.6080000005</v>
      </c>
      <c r="P7" s="6">
        <v>2.4500000000000001E-2</v>
      </c>
      <c r="Q7" s="3">
        <f t="shared" si="1"/>
        <v>6344596.4400000004</v>
      </c>
      <c r="R7" s="6">
        <v>2.8999999999999998E-3</v>
      </c>
      <c r="S7" s="3">
        <f t="shared" si="1"/>
        <v>750993.04799999995</v>
      </c>
      <c r="T7" s="6">
        <v>5.0000000000000001E-4</v>
      </c>
      <c r="U7" s="3">
        <f t="shared" si="1"/>
        <v>129481.56</v>
      </c>
      <c r="V7" s="6">
        <v>1.1000000000000001E-3</v>
      </c>
      <c r="W7" s="3">
        <f t="shared" si="1"/>
        <v>284859.43200000003</v>
      </c>
      <c r="X7" s="6">
        <v>1.4E-3</v>
      </c>
      <c r="Y7" s="3">
        <f t="shared" si="1"/>
        <v>362548.36800000002</v>
      </c>
      <c r="Z7" s="7" t="e">
        <f>#REF!+#REF!+#REF!+#REF!+#REF!+#REF!+#REF!+#REF!+#REF!+#REF!+#REF!+#REF!</f>
        <v>#REF!</v>
      </c>
      <c r="AA7" s="1" t="e">
        <f>#REF!+#REF!+#REF!+#REF!+#REF!+#REF!+#REF!+#REF!+#REF!+#REF!+#REF!+#REF!-M7</f>
        <v>#REF!</v>
      </c>
      <c r="AB7" s="1" t="e">
        <f>Y7+W7+U7+S7+Q7+O7-#REF!</f>
        <v>#REF!</v>
      </c>
    </row>
    <row r="8" spans="3:28" x14ac:dyDescent="0.25">
      <c r="C8" s="9"/>
      <c r="D8" s="9"/>
      <c r="E8" s="19"/>
      <c r="F8" s="27" t="s">
        <v>29</v>
      </c>
      <c r="G8" s="10"/>
      <c r="H8" s="10"/>
      <c r="I8" s="8"/>
      <c r="J8" s="4">
        <f>2*9500</f>
        <v>19000</v>
      </c>
      <c r="K8" s="10" t="s">
        <v>37</v>
      </c>
      <c r="L8" s="60">
        <v>382230</v>
      </c>
      <c r="M8" s="4">
        <f>J8*L8/100</f>
        <v>72623700</v>
      </c>
      <c r="N8" s="11">
        <v>1.8100000000000002E-2</v>
      </c>
      <c r="O8" s="3">
        <f t="shared" si="1"/>
        <v>1314488.9700000002</v>
      </c>
      <c r="P8" s="11">
        <v>3.0000000000000001E-3</v>
      </c>
      <c r="Q8" s="3">
        <f t="shared" si="1"/>
        <v>217871.1</v>
      </c>
      <c r="R8" s="11">
        <v>7.6E-3</v>
      </c>
      <c r="S8" s="3">
        <f t="shared" si="1"/>
        <v>551940.12</v>
      </c>
      <c r="T8" s="11">
        <v>5.1000000000000004E-3</v>
      </c>
      <c r="U8" s="3">
        <f t="shared" si="1"/>
        <v>370380.87000000005</v>
      </c>
      <c r="V8" s="11"/>
      <c r="W8" s="3">
        <f t="shared" si="1"/>
        <v>0</v>
      </c>
      <c r="X8" s="11">
        <v>1.4E-3</v>
      </c>
      <c r="Y8" s="3">
        <f t="shared" si="1"/>
        <v>101673.18</v>
      </c>
      <c r="Z8" s="7" t="e">
        <f>#REF!+#REF!+#REF!+#REF!+#REF!+#REF!+#REF!+#REF!+#REF!+#REF!+#REF!+#REF!</f>
        <v>#REF!</v>
      </c>
      <c r="AA8" s="1" t="e">
        <f>#REF!+#REF!+#REF!+#REF!+#REF!+#REF!+#REF!+#REF!+#REF!+#REF!+#REF!+#REF!-M8</f>
        <v>#REF!</v>
      </c>
      <c r="AB8" s="1" t="e">
        <f>Y8+W8+U8+S8+Q8+O8-#REF!</f>
        <v>#REF!</v>
      </c>
    </row>
    <row r="9" spans="3:28" ht="16.5" thickBot="1" x14ac:dyDescent="0.3">
      <c r="C9" s="16"/>
      <c r="D9" s="16"/>
      <c r="E9" s="20"/>
      <c r="F9" s="28" t="s">
        <v>4</v>
      </c>
      <c r="G9" s="29"/>
      <c r="H9" s="29"/>
      <c r="I9" s="29"/>
      <c r="J9" s="29"/>
      <c r="K9" s="29"/>
      <c r="L9" s="61"/>
      <c r="M9" s="29">
        <f>SUM(M5:M8)</f>
        <v>2211343590</v>
      </c>
      <c r="N9" s="30"/>
      <c r="O9" s="29">
        <f>SUM(O5:O8)</f>
        <v>34568232.512999997</v>
      </c>
      <c r="P9" s="30"/>
      <c r="Q9" s="29">
        <f>SUM(Q5:Q8)</f>
        <v>47165213.772</v>
      </c>
      <c r="R9" s="30"/>
      <c r="S9" s="29">
        <f>SUM(S5:S8)</f>
        <v>11265644.049000001</v>
      </c>
      <c r="T9" s="30"/>
      <c r="U9" s="29">
        <f>SUM(U5:U8)</f>
        <v>1627716.4920000001</v>
      </c>
      <c r="V9" s="30"/>
      <c r="W9" s="29">
        <f>SUM(W5:W8)</f>
        <v>2164616.202</v>
      </c>
      <c r="X9" s="30"/>
      <c r="Y9" s="29">
        <f>SUM(Y5:Y8)</f>
        <v>3095881.0260000001</v>
      </c>
      <c r="Z9" s="7" t="e">
        <f>#REF!+#REF!+#REF!+#REF!+#REF!+#REF!+#REF!+#REF!+#REF!+#REF!+#REF!+#REF!</f>
        <v>#REF!</v>
      </c>
      <c r="AA9" s="1" t="e">
        <f>#REF!+#REF!+#REF!+#REF!+#REF!+#REF!+#REF!+#REF!+#REF!+#REF!+#REF!+#REF!-M9</f>
        <v>#REF!</v>
      </c>
      <c r="AB9" s="1" t="e">
        <f>Y9+W9+U9+S9+Q9+O9-#REF!</f>
        <v>#REF!</v>
      </c>
    </row>
    <row r="10" spans="3:28" x14ac:dyDescent="0.25">
      <c r="C10" s="12" t="s">
        <v>0</v>
      </c>
      <c r="D10" s="12" t="s">
        <v>1</v>
      </c>
      <c r="E10" s="31" t="s">
        <v>2</v>
      </c>
      <c r="F10" s="21" t="s">
        <v>5</v>
      </c>
      <c r="G10" s="22">
        <v>17615.8</v>
      </c>
      <c r="H10" s="22">
        <v>11230</v>
      </c>
      <c r="I10" s="50"/>
      <c r="J10" s="50"/>
      <c r="K10" s="22" t="s">
        <v>21</v>
      </c>
      <c r="L10" s="60">
        <f>179.64*1000</f>
        <v>179640</v>
      </c>
      <c r="M10" s="22">
        <f>L10*H10</f>
        <v>2017357200</v>
      </c>
      <c r="N10" s="23">
        <v>1.6E-2</v>
      </c>
      <c r="O10" s="24">
        <f t="shared" ref="O10:O13" si="2">N10*$M10</f>
        <v>32277715.199999999</v>
      </c>
      <c r="P10" s="23">
        <v>2.3300000000000001E-2</v>
      </c>
      <c r="Q10" s="3">
        <f t="shared" ref="Q10:Q13" si="3">P10*$M10</f>
        <v>47004422.760000005</v>
      </c>
      <c r="R10" s="23">
        <v>7.0000000000000001E-3</v>
      </c>
      <c r="S10" s="3">
        <f t="shared" ref="S10:S13" si="4">R10*$M10</f>
        <v>14121500.4</v>
      </c>
      <c r="T10" s="23">
        <v>6.9999999999999999E-4</v>
      </c>
      <c r="U10" s="3">
        <f t="shared" ref="U10:U13" si="5">T10*$M10</f>
        <v>1412150.04</v>
      </c>
      <c r="V10" s="23">
        <v>1E-3</v>
      </c>
      <c r="W10" s="3">
        <f t="shared" ref="W10:W13" si="6">V10*$M10</f>
        <v>2017357.2</v>
      </c>
      <c r="X10" s="23">
        <v>1.4E-3</v>
      </c>
      <c r="Y10" s="3">
        <f t="shared" ref="Y10:Y13" si="7">X10*$M10</f>
        <v>2824300.08</v>
      </c>
      <c r="Z10" s="7" t="e">
        <f>#REF!+#REF!+#REF!+#REF!+#REF!+#REF!+#REF!+#REF!+#REF!+#REF!+#REF!+#REF!</f>
        <v>#REF!</v>
      </c>
      <c r="AA10" s="1" t="e">
        <f>#REF!+#REF!+#REF!+#REF!+#REF!+#REF!+#REF!+#REF!+#REF!+#REF!+#REF!+#REF!-M10</f>
        <v>#REF!</v>
      </c>
      <c r="AB10" s="1" t="e">
        <f>Y10+W10+U10+S10+Q10+O10-#REF!</f>
        <v>#REF!</v>
      </c>
    </row>
    <row r="11" spans="3:28" ht="31.5" x14ac:dyDescent="0.25">
      <c r="C11" s="12"/>
      <c r="D11" s="12"/>
      <c r="E11" s="31"/>
      <c r="F11" s="25" t="s">
        <v>30</v>
      </c>
      <c r="G11" s="13"/>
      <c r="H11" s="13">
        <v>339</v>
      </c>
      <c r="I11" s="2"/>
      <c r="J11" s="12"/>
      <c r="K11" s="13" t="s">
        <v>21</v>
      </c>
      <c r="L11" s="60">
        <f>125.81*1000</f>
        <v>125810</v>
      </c>
      <c r="M11" s="13">
        <f>L11*H11</f>
        <v>42649590</v>
      </c>
      <c r="N11" s="14">
        <v>1.6E-2</v>
      </c>
      <c r="O11" s="15">
        <f t="shared" si="2"/>
        <v>682393.44000000006</v>
      </c>
      <c r="P11" s="14">
        <v>2.3300000000000001E-2</v>
      </c>
      <c r="Q11" s="3">
        <f t="shared" si="3"/>
        <v>993735.44700000004</v>
      </c>
      <c r="R11" s="14">
        <v>7.0000000000000001E-3</v>
      </c>
      <c r="S11" s="3">
        <f t="shared" si="4"/>
        <v>298547.13</v>
      </c>
      <c r="T11" s="14">
        <v>6.9999999999999999E-4</v>
      </c>
      <c r="U11" s="3">
        <f t="shared" si="5"/>
        <v>29854.713</v>
      </c>
      <c r="V11" s="14">
        <v>1E-3</v>
      </c>
      <c r="W11" s="3">
        <f t="shared" si="6"/>
        <v>42649.590000000004</v>
      </c>
      <c r="X11" s="14">
        <v>1.4E-3</v>
      </c>
      <c r="Y11" s="3">
        <f t="shared" si="7"/>
        <v>59709.425999999999</v>
      </c>
      <c r="Z11" s="7" t="e">
        <f>#REF!+#REF!+#REF!+#REF!+#REF!+#REF!+#REF!+#REF!+#REF!+#REF!+#REF!+#REF!</f>
        <v>#REF!</v>
      </c>
      <c r="AA11" s="1" t="e">
        <f>#REF!+#REF!+#REF!+#REF!+#REF!+#REF!+#REF!+#REF!+#REF!+#REF!+#REF!+#REF!-M11</f>
        <v>#REF!</v>
      </c>
      <c r="AB11" s="1" t="e">
        <f>Y11+W11+U11+S11+Q11+O11-#REF!</f>
        <v>#REF!</v>
      </c>
    </row>
    <row r="12" spans="3:28" x14ac:dyDescent="0.25">
      <c r="C12" s="2"/>
      <c r="D12" s="2"/>
      <c r="E12" s="18"/>
      <c r="F12" s="26" t="s">
        <v>28</v>
      </c>
      <c r="G12" s="4"/>
      <c r="H12" s="4"/>
      <c r="I12" s="4">
        <f>49*3*6</f>
        <v>882</v>
      </c>
      <c r="J12" s="4"/>
      <c r="K12" s="4" t="s">
        <v>25</v>
      </c>
      <c r="L12" s="60">
        <f>276.67*1000</f>
        <v>276670</v>
      </c>
      <c r="M12" s="4">
        <f>L12*I12</f>
        <v>244022940</v>
      </c>
      <c r="N12" s="6">
        <v>1.5900000000000001E-2</v>
      </c>
      <c r="O12" s="3">
        <f t="shared" si="2"/>
        <v>3879964.7460000003</v>
      </c>
      <c r="P12" s="6">
        <v>2.4500000000000001E-2</v>
      </c>
      <c r="Q12" s="3">
        <f t="shared" si="3"/>
        <v>5978562.0300000003</v>
      </c>
      <c r="R12" s="6">
        <v>2.8999999999999998E-3</v>
      </c>
      <c r="S12" s="3">
        <f t="shared" si="4"/>
        <v>707666.52599999995</v>
      </c>
      <c r="T12" s="6">
        <v>5.0000000000000001E-4</v>
      </c>
      <c r="U12" s="3">
        <f t="shared" si="5"/>
        <v>122011.47</v>
      </c>
      <c r="V12" s="6">
        <v>1.1000000000000001E-3</v>
      </c>
      <c r="W12" s="3">
        <f t="shared" si="6"/>
        <v>268425.234</v>
      </c>
      <c r="X12" s="6">
        <v>1.4E-3</v>
      </c>
      <c r="Y12" s="3">
        <f t="shared" si="7"/>
        <v>341632.11599999998</v>
      </c>
      <c r="Z12" s="7" t="e">
        <f>#REF!+#REF!+#REF!+#REF!+#REF!+#REF!+#REF!+#REF!+#REF!+#REF!+#REF!+#REF!</f>
        <v>#REF!</v>
      </c>
      <c r="AA12" s="1" t="e">
        <f>#REF!+#REF!+#REF!+#REF!+#REF!+#REF!+#REF!+#REF!+#REF!+#REF!+#REF!+#REF!-M12</f>
        <v>#REF!</v>
      </c>
      <c r="AB12" s="1" t="e">
        <f>Y12+W12+U12+S12+Q12+O12-#REF!</f>
        <v>#REF!</v>
      </c>
    </row>
    <row r="13" spans="3:28" x14ac:dyDescent="0.25">
      <c r="C13" s="2"/>
      <c r="D13" s="2"/>
      <c r="E13" s="18"/>
      <c r="F13" s="46" t="s">
        <v>29</v>
      </c>
      <c r="G13" s="4"/>
      <c r="H13" s="4"/>
      <c r="I13" s="4"/>
      <c r="J13" s="4">
        <v>9500</v>
      </c>
      <c r="K13" s="4" t="s">
        <v>37</v>
      </c>
      <c r="L13" s="60">
        <v>382230</v>
      </c>
      <c r="M13" s="4">
        <f>J13*L13/100</f>
        <v>36311850</v>
      </c>
      <c r="N13" s="11">
        <v>1.8100000000000002E-2</v>
      </c>
      <c r="O13" s="3">
        <f t="shared" si="2"/>
        <v>657244.4850000001</v>
      </c>
      <c r="P13" s="11">
        <v>3.0000000000000001E-3</v>
      </c>
      <c r="Q13" s="3">
        <f t="shared" si="3"/>
        <v>108935.55</v>
      </c>
      <c r="R13" s="11">
        <v>7.6E-3</v>
      </c>
      <c r="S13" s="3">
        <f t="shared" si="4"/>
        <v>275970.06</v>
      </c>
      <c r="T13" s="11">
        <v>5.1000000000000004E-3</v>
      </c>
      <c r="U13" s="3">
        <f t="shared" si="5"/>
        <v>185190.43500000003</v>
      </c>
      <c r="V13" s="11"/>
      <c r="W13" s="3">
        <f t="shared" si="6"/>
        <v>0</v>
      </c>
      <c r="X13" s="11">
        <v>1.4E-3</v>
      </c>
      <c r="Y13" s="3">
        <f t="shared" si="7"/>
        <v>50836.59</v>
      </c>
      <c r="Z13" s="7" t="e">
        <f>#REF!+#REF!+#REF!+#REF!+#REF!+#REF!+#REF!+#REF!+#REF!+#REF!+#REF!+#REF!</f>
        <v>#REF!</v>
      </c>
      <c r="AA13" s="1" t="e">
        <f>#REF!+#REF!+#REF!+#REF!+#REF!+#REF!+#REF!+#REF!+#REF!+#REF!+#REF!+#REF!-M13</f>
        <v>#REF!</v>
      </c>
      <c r="AB13" s="1" t="e">
        <f>Y13+W13+U13+S13+Q13+O13-#REF!</f>
        <v>#REF!</v>
      </c>
    </row>
    <row r="14" spans="3:28" ht="16.5" thickBot="1" x14ac:dyDescent="0.3">
      <c r="C14" s="16"/>
      <c r="D14" s="16"/>
      <c r="E14" s="20"/>
      <c r="F14" s="32" t="s">
        <v>5</v>
      </c>
      <c r="G14" s="29"/>
      <c r="H14" s="29"/>
      <c r="I14" s="29"/>
      <c r="J14" s="29"/>
      <c r="K14" s="29"/>
      <c r="L14" s="61"/>
      <c r="M14" s="29">
        <f>SUM(M10:M13)</f>
        <v>2340341580</v>
      </c>
      <c r="N14" s="30"/>
      <c r="O14" s="29">
        <f>SUM(O10:O13)</f>
        <v>37497317.870999999</v>
      </c>
      <c r="P14" s="30"/>
      <c r="Q14" s="29">
        <f>SUM(Q10:Q13)</f>
        <v>54085655.787</v>
      </c>
      <c r="R14" s="30"/>
      <c r="S14" s="29">
        <f>SUM(S10:S13)</f>
        <v>15403684.116000002</v>
      </c>
      <c r="T14" s="30"/>
      <c r="U14" s="29">
        <f>SUM(U10:U13)</f>
        <v>1749206.6580000001</v>
      </c>
      <c r="V14" s="30"/>
      <c r="W14" s="29">
        <f>SUM(W10:W13)</f>
        <v>2328432.0240000002</v>
      </c>
      <c r="X14" s="30"/>
      <c r="Y14" s="29">
        <f>SUM(Y10:Y13)</f>
        <v>3276478.2119999998</v>
      </c>
      <c r="Z14" s="7" t="e">
        <f>#REF!+#REF!+#REF!+#REF!+#REF!+#REF!+#REF!+#REF!+#REF!+#REF!+#REF!+#REF!</f>
        <v>#REF!</v>
      </c>
      <c r="AA14" s="1" t="e">
        <f>#REF!+#REF!+#REF!+#REF!+#REF!+#REF!+#REF!+#REF!+#REF!+#REF!+#REF!+#REF!-M14</f>
        <v>#REF!</v>
      </c>
      <c r="AB14" s="1" t="e">
        <f>Y14+W14+U14+S14+Q14+O14-#REF!</f>
        <v>#REF!</v>
      </c>
    </row>
    <row r="15" spans="3:28" x14ac:dyDescent="0.25">
      <c r="C15" s="2" t="s">
        <v>0</v>
      </c>
      <c r="D15" s="2" t="s">
        <v>1</v>
      </c>
      <c r="E15" s="18" t="s">
        <v>2</v>
      </c>
      <c r="F15" s="21" t="s">
        <v>6</v>
      </c>
      <c r="G15" s="22">
        <v>16202.7</v>
      </c>
      <c r="H15" s="22">
        <v>10329</v>
      </c>
      <c r="I15" s="50"/>
      <c r="J15" s="50"/>
      <c r="K15" s="22" t="s">
        <v>22</v>
      </c>
      <c r="L15" s="60">
        <f>183.27*1000</f>
        <v>183270</v>
      </c>
      <c r="M15" s="22">
        <f>L15*H15</f>
        <v>1892995830</v>
      </c>
      <c r="N15" s="23">
        <v>1.55E-2</v>
      </c>
      <c r="O15" s="24">
        <f t="shared" ref="O15:O18" si="8">N15*$M15</f>
        <v>29341435.364999998</v>
      </c>
      <c r="P15" s="23">
        <v>2.1600000000000001E-2</v>
      </c>
      <c r="Q15" s="24">
        <f t="shared" ref="Q15:Q18" si="9">P15*$M15</f>
        <v>40888709.928000003</v>
      </c>
      <c r="R15" s="23">
        <v>5.3E-3</v>
      </c>
      <c r="S15" s="24">
        <f t="shared" ref="S15:S18" si="10">R15*$M15</f>
        <v>10032877.899</v>
      </c>
      <c r="T15" s="23">
        <v>5.9999999999999995E-4</v>
      </c>
      <c r="U15" s="24">
        <f t="shared" ref="U15:U18" si="11">T15*$M15</f>
        <v>1135797.4979999999</v>
      </c>
      <c r="V15" s="23">
        <v>1E-3</v>
      </c>
      <c r="W15" s="24">
        <f t="shared" ref="W15:W18" si="12">V15*$M15</f>
        <v>1892995.83</v>
      </c>
      <c r="X15" s="23">
        <v>1.4E-3</v>
      </c>
      <c r="Y15" s="24">
        <f t="shared" ref="Y15:Y18" si="13">X15*$M15</f>
        <v>2650194.162</v>
      </c>
      <c r="Z15" s="7" t="e">
        <f>#REF!+#REF!+#REF!+#REF!+#REF!+#REF!+#REF!+#REF!+#REF!+#REF!+#REF!+#REF!</f>
        <v>#REF!</v>
      </c>
      <c r="AA15" s="1" t="e">
        <f>#REF!+#REF!+#REF!+#REF!+#REF!+#REF!+#REF!+#REF!+#REF!+#REF!+#REF!+#REF!-M15</f>
        <v>#REF!</v>
      </c>
      <c r="AB15" s="1" t="e">
        <f>Y15+W15+U15+S15+Q15+O15-#REF!</f>
        <v>#REF!</v>
      </c>
    </row>
    <row r="16" spans="3:28" ht="31.5" x14ac:dyDescent="0.25">
      <c r="C16" s="2"/>
      <c r="D16" s="2"/>
      <c r="E16" s="18"/>
      <c r="F16" s="25" t="s">
        <v>30</v>
      </c>
      <c r="G16" s="4"/>
      <c r="H16" s="4">
        <v>311.5</v>
      </c>
      <c r="I16" s="2"/>
      <c r="J16" s="2"/>
      <c r="K16" s="4" t="s">
        <v>22</v>
      </c>
      <c r="L16" s="60">
        <f>126.27*1000</f>
        <v>126270</v>
      </c>
      <c r="M16" s="4">
        <f>L16*H16</f>
        <v>39333105</v>
      </c>
      <c r="N16" s="14">
        <v>1.55E-2</v>
      </c>
      <c r="O16" s="3">
        <f t="shared" si="8"/>
        <v>609663.12749999994</v>
      </c>
      <c r="P16" s="14">
        <v>2.1600000000000001E-2</v>
      </c>
      <c r="Q16" s="3">
        <f t="shared" si="9"/>
        <v>849595.06800000009</v>
      </c>
      <c r="R16" s="14">
        <v>5.3E-3</v>
      </c>
      <c r="S16" s="3">
        <f t="shared" si="10"/>
        <v>208465.4565</v>
      </c>
      <c r="T16" s="14">
        <v>5.9999999999999995E-4</v>
      </c>
      <c r="U16" s="3">
        <f t="shared" si="11"/>
        <v>23599.862999999998</v>
      </c>
      <c r="V16" s="14">
        <v>1E-3</v>
      </c>
      <c r="W16" s="3">
        <f t="shared" si="12"/>
        <v>39333.105000000003</v>
      </c>
      <c r="X16" s="14">
        <v>1.4E-3</v>
      </c>
      <c r="Y16" s="3">
        <f t="shared" si="13"/>
        <v>55066.347000000002</v>
      </c>
      <c r="Z16" s="7" t="e">
        <f>#REF!+#REF!+#REF!+#REF!+#REF!+#REF!+#REF!+#REF!+#REF!+#REF!+#REF!+#REF!</f>
        <v>#REF!</v>
      </c>
      <c r="AA16" s="1" t="e">
        <f>#REF!+#REF!+#REF!+#REF!+#REF!+#REF!+#REF!+#REF!+#REF!+#REF!+#REF!+#REF!-M16</f>
        <v>#REF!</v>
      </c>
      <c r="AB16" s="1" t="e">
        <f>Y16+W16+U16+S16+Q16+O16-#REF!</f>
        <v>#REF!</v>
      </c>
    </row>
    <row r="17" spans="3:28" x14ac:dyDescent="0.25">
      <c r="C17" s="2"/>
      <c r="D17" s="2"/>
      <c r="E17" s="18"/>
      <c r="F17" s="26" t="s">
        <v>28</v>
      </c>
      <c r="G17" s="4"/>
      <c r="H17" s="4"/>
      <c r="I17" s="4">
        <f>43*3*6</f>
        <v>774</v>
      </c>
      <c r="J17" s="4"/>
      <c r="K17" s="4" t="s">
        <v>25</v>
      </c>
      <c r="L17" s="60">
        <f>276.67*1000</f>
        <v>276670</v>
      </c>
      <c r="M17" s="4">
        <f>L17*I17</f>
        <v>214142580</v>
      </c>
      <c r="N17" s="6">
        <v>1.5900000000000001E-2</v>
      </c>
      <c r="O17" s="3">
        <f t="shared" si="8"/>
        <v>3404867.0220000003</v>
      </c>
      <c r="P17" s="6">
        <v>2.4500000000000001E-2</v>
      </c>
      <c r="Q17" s="3">
        <f t="shared" si="9"/>
        <v>5246493.21</v>
      </c>
      <c r="R17" s="6">
        <v>2.8999999999999998E-3</v>
      </c>
      <c r="S17" s="3">
        <f t="shared" si="10"/>
        <v>621013.48199999996</v>
      </c>
      <c r="T17" s="6">
        <v>5.0000000000000001E-4</v>
      </c>
      <c r="U17" s="3">
        <f t="shared" si="11"/>
        <v>107071.29000000001</v>
      </c>
      <c r="V17" s="6">
        <v>1.1000000000000001E-3</v>
      </c>
      <c r="W17" s="3">
        <f t="shared" si="12"/>
        <v>235556.83800000002</v>
      </c>
      <c r="X17" s="6">
        <v>1.4E-3</v>
      </c>
      <c r="Y17" s="3">
        <f t="shared" si="13"/>
        <v>299799.61200000002</v>
      </c>
      <c r="Z17" s="7" t="e">
        <f>#REF!+#REF!+#REF!+#REF!+#REF!+#REF!+#REF!+#REF!+#REF!+#REF!+#REF!+#REF!</f>
        <v>#REF!</v>
      </c>
      <c r="AA17" s="1" t="e">
        <f>#REF!+#REF!+#REF!+#REF!+#REF!+#REF!+#REF!+#REF!+#REF!+#REF!+#REF!+#REF!-M17</f>
        <v>#REF!</v>
      </c>
      <c r="AB17" s="1" t="e">
        <f>Y17+W17+U17+S17+Q17+O17-#REF!</f>
        <v>#REF!</v>
      </c>
    </row>
    <row r="18" spans="3:28" x14ac:dyDescent="0.25">
      <c r="C18" s="2"/>
      <c r="D18" s="2"/>
      <c r="E18" s="18"/>
      <c r="F18" s="46" t="s">
        <v>29</v>
      </c>
      <c r="G18" s="4"/>
      <c r="H18" s="4"/>
      <c r="I18" s="4"/>
      <c r="J18" s="4">
        <v>9500</v>
      </c>
      <c r="K18" s="4" t="s">
        <v>37</v>
      </c>
      <c r="L18" s="60">
        <v>382230</v>
      </c>
      <c r="M18" s="4">
        <f>J18*L18/100</f>
        <v>36311850</v>
      </c>
      <c r="N18" s="11">
        <v>1.8100000000000002E-2</v>
      </c>
      <c r="O18" s="3">
        <f t="shared" si="8"/>
        <v>657244.4850000001</v>
      </c>
      <c r="P18" s="11">
        <v>3.0000000000000001E-3</v>
      </c>
      <c r="Q18" s="3">
        <f t="shared" si="9"/>
        <v>108935.55</v>
      </c>
      <c r="R18" s="11">
        <v>7.6E-3</v>
      </c>
      <c r="S18" s="3">
        <f t="shared" si="10"/>
        <v>275970.06</v>
      </c>
      <c r="T18" s="11">
        <v>5.1000000000000004E-3</v>
      </c>
      <c r="U18" s="3">
        <f t="shared" si="11"/>
        <v>185190.43500000003</v>
      </c>
      <c r="V18" s="11"/>
      <c r="W18" s="3">
        <f t="shared" si="12"/>
        <v>0</v>
      </c>
      <c r="X18" s="11">
        <v>1.4E-3</v>
      </c>
      <c r="Y18" s="3">
        <f t="shared" si="13"/>
        <v>50836.59</v>
      </c>
      <c r="Z18" s="7" t="e">
        <f>#REF!+#REF!+#REF!+#REF!+#REF!+#REF!+#REF!+#REF!+#REF!+#REF!+#REF!+#REF!</f>
        <v>#REF!</v>
      </c>
      <c r="AA18" s="1" t="e">
        <f>#REF!+#REF!+#REF!+#REF!+#REF!+#REF!+#REF!+#REF!+#REF!+#REF!+#REF!+#REF!-M18</f>
        <v>#REF!</v>
      </c>
      <c r="AB18" s="1" t="e">
        <f>Y18+W18+U18+S18+Q18+O18-#REF!</f>
        <v>#REF!</v>
      </c>
    </row>
    <row r="19" spans="3:28" ht="16.5" thickBot="1" x14ac:dyDescent="0.3">
      <c r="C19" s="16"/>
      <c r="D19" s="16"/>
      <c r="E19" s="20"/>
      <c r="F19" s="28" t="s">
        <v>6</v>
      </c>
      <c r="G19" s="29"/>
      <c r="H19" s="29"/>
      <c r="I19" s="29"/>
      <c r="J19" s="29"/>
      <c r="K19" s="29"/>
      <c r="L19" s="62"/>
      <c r="M19" s="29">
        <f>SUM(M15:M18)</f>
        <v>2182783365</v>
      </c>
      <c r="N19" s="30"/>
      <c r="O19" s="29">
        <f>SUM(O15:O18)</f>
        <v>34013209.999499999</v>
      </c>
      <c r="P19" s="30"/>
      <c r="Q19" s="29">
        <f>SUM(Q15:Q18)</f>
        <v>47093733.756000005</v>
      </c>
      <c r="R19" s="30"/>
      <c r="S19" s="29">
        <f>SUM(S15:S18)</f>
        <v>11138326.897500001</v>
      </c>
      <c r="T19" s="30"/>
      <c r="U19" s="29">
        <f>SUM(U15:U18)</f>
        <v>1451659.0859999999</v>
      </c>
      <c r="V19" s="30"/>
      <c r="W19" s="29">
        <f>SUM(W15:W18)</f>
        <v>2167885.773</v>
      </c>
      <c r="X19" s="30"/>
      <c r="Y19" s="29">
        <f>SUM(Y15:Y18)</f>
        <v>3055896.7110000001</v>
      </c>
      <c r="Z19" s="7" t="e">
        <f>#REF!+#REF!+#REF!+#REF!+#REF!+#REF!+#REF!+#REF!+#REF!+#REF!+#REF!+#REF!</f>
        <v>#REF!</v>
      </c>
      <c r="AA19" s="1" t="e">
        <f>#REF!+#REF!+#REF!+#REF!+#REF!+#REF!+#REF!+#REF!+#REF!+#REF!+#REF!+#REF!-M19</f>
        <v>#REF!</v>
      </c>
      <c r="AB19" s="1" t="e">
        <f>Y19+W19+U19+S19+Q19+O19-#REF!</f>
        <v>#REF!</v>
      </c>
    </row>
    <row r="20" spans="3:28" x14ac:dyDescent="0.25">
      <c r="C20" s="2" t="s">
        <v>0</v>
      </c>
      <c r="D20" s="2" t="s">
        <v>1</v>
      </c>
      <c r="E20" s="18" t="s">
        <v>2</v>
      </c>
      <c r="F20" s="21" t="s">
        <v>7</v>
      </c>
      <c r="G20" s="22">
        <v>25763.599999999999</v>
      </c>
      <c r="H20" s="22">
        <v>16424</v>
      </c>
      <c r="I20" s="22"/>
      <c r="J20" s="22"/>
      <c r="K20" s="22" t="s">
        <v>21</v>
      </c>
      <c r="L20" s="63">
        <f>179.64*1000</f>
        <v>179640</v>
      </c>
      <c r="M20" s="22">
        <f>L20*H20</f>
        <v>2950407360</v>
      </c>
      <c r="N20" s="23">
        <v>1.6E-2</v>
      </c>
      <c r="O20" s="24">
        <f t="shared" ref="O20:O21" si="14">N20*$M20</f>
        <v>47206517.759999998</v>
      </c>
      <c r="P20" s="23">
        <v>2.3300000000000001E-2</v>
      </c>
      <c r="Q20" s="3">
        <f t="shared" ref="Q20:Q21" si="15">P20*$M20</f>
        <v>68744491.488000005</v>
      </c>
      <c r="R20" s="23">
        <v>7.0000000000000001E-3</v>
      </c>
      <c r="S20" s="3">
        <f t="shared" ref="S20:S21" si="16">R20*$M20</f>
        <v>20652851.52</v>
      </c>
      <c r="T20" s="23">
        <v>6.9999999999999999E-4</v>
      </c>
      <c r="U20" s="3">
        <f t="shared" ref="U20:U21" si="17">T20*$M20</f>
        <v>2065285.152</v>
      </c>
      <c r="V20" s="23">
        <v>1E-3</v>
      </c>
      <c r="W20" s="3">
        <f t="shared" ref="W20:W21" si="18">V20*$M20</f>
        <v>2950407.36</v>
      </c>
      <c r="X20" s="23">
        <v>1.4E-3</v>
      </c>
      <c r="Y20" s="3">
        <f t="shared" ref="Y20:Y21" si="19">X20*$M20</f>
        <v>4130570.304</v>
      </c>
      <c r="Z20" s="7" t="e">
        <f>#REF!+#REF!+#REF!+#REF!+#REF!+#REF!+#REF!+#REF!+#REF!+#REF!+#REF!+#REF!</f>
        <v>#REF!</v>
      </c>
      <c r="AA20" s="1" t="e">
        <f>#REF!+#REF!+#REF!+#REF!+#REF!+#REF!+#REF!+#REF!+#REF!+#REF!+#REF!+#REF!-M20</f>
        <v>#REF!</v>
      </c>
      <c r="AB20" s="1" t="e">
        <f>Y20+W20+U20+S20+Q20+O20-#REF!</f>
        <v>#REF!</v>
      </c>
    </row>
    <row r="21" spans="3:28" ht="31.5" x14ac:dyDescent="0.25">
      <c r="C21" s="2"/>
      <c r="D21" s="2"/>
      <c r="E21" s="18"/>
      <c r="F21" s="25" t="s">
        <v>30</v>
      </c>
      <c r="G21" s="4"/>
      <c r="H21" s="4">
        <v>495.5</v>
      </c>
      <c r="I21" s="4"/>
      <c r="J21" s="13"/>
      <c r="K21" s="13" t="s">
        <v>21</v>
      </c>
      <c r="L21" s="64">
        <f>125.81*1000</f>
        <v>125810</v>
      </c>
      <c r="M21" s="13">
        <f>L21*H21</f>
        <v>62338855</v>
      </c>
      <c r="N21" s="14">
        <v>1.6E-2</v>
      </c>
      <c r="O21" s="15">
        <f t="shared" si="14"/>
        <v>997421.68</v>
      </c>
      <c r="P21" s="14">
        <v>2.3300000000000001E-2</v>
      </c>
      <c r="Q21" s="3">
        <f t="shared" si="15"/>
        <v>1452495.3215000001</v>
      </c>
      <c r="R21" s="14">
        <v>7.0000000000000001E-3</v>
      </c>
      <c r="S21" s="3">
        <f t="shared" si="16"/>
        <v>436371.98499999999</v>
      </c>
      <c r="T21" s="14">
        <v>6.9999999999999999E-4</v>
      </c>
      <c r="U21" s="3">
        <f t="shared" si="17"/>
        <v>43637.198499999999</v>
      </c>
      <c r="V21" s="14">
        <v>1E-3</v>
      </c>
      <c r="W21" s="3">
        <f t="shared" si="18"/>
        <v>62338.855000000003</v>
      </c>
      <c r="X21" s="14">
        <v>1.4E-3</v>
      </c>
      <c r="Y21" s="3">
        <f t="shared" si="19"/>
        <v>87274.396999999997</v>
      </c>
      <c r="Z21" s="7" t="e">
        <f>#REF!+#REF!+#REF!+#REF!+#REF!+#REF!+#REF!+#REF!+#REF!+#REF!+#REF!+#REF!</f>
        <v>#REF!</v>
      </c>
      <c r="AA21" s="1" t="e">
        <f>#REF!+#REF!+#REF!+#REF!+#REF!+#REF!+#REF!+#REF!+#REF!+#REF!+#REF!+#REF!-M21</f>
        <v>#REF!</v>
      </c>
      <c r="AB21" s="1" t="e">
        <f>Y21+W21+U21+S21+Q21+O21-#REF!</f>
        <v>#REF!</v>
      </c>
    </row>
    <row r="22" spans="3:28" x14ac:dyDescent="0.25">
      <c r="C22" s="2"/>
      <c r="D22" s="2"/>
      <c r="E22" s="18"/>
      <c r="F22" s="26" t="s">
        <v>28</v>
      </c>
      <c r="G22" s="4"/>
      <c r="H22" s="4"/>
      <c r="I22" s="4">
        <f>77*3*6</f>
        <v>1386</v>
      </c>
      <c r="J22" s="4"/>
      <c r="K22" s="4" t="s">
        <v>25</v>
      </c>
      <c r="L22" s="60">
        <f>276.67*1000</f>
        <v>276670</v>
      </c>
      <c r="M22" s="4">
        <f>L22*I22</f>
        <v>383464620</v>
      </c>
      <c r="N22" s="6">
        <v>1.5900000000000001E-2</v>
      </c>
      <c r="O22" s="3">
        <f t="shared" ref="O22:O23" si="20">N22*$M22</f>
        <v>6097087.4580000006</v>
      </c>
      <c r="P22" s="6">
        <v>2.4500000000000001E-2</v>
      </c>
      <c r="Q22" s="3">
        <f t="shared" ref="Q22:Q23" si="21">P22*$M22</f>
        <v>9394883.1899999995</v>
      </c>
      <c r="R22" s="6">
        <v>2.8999999999999998E-3</v>
      </c>
      <c r="S22" s="3">
        <f t="shared" ref="S22:S23" si="22">R22*$M22</f>
        <v>1112047.3979999998</v>
      </c>
      <c r="T22" s="6">
        <v>5.0000000000000001E-4</v>
      </c>
      <c r="U22" s="3">
        <f t="shared" ref="U22:U23" si="23">T22*$M22</f>
        <v>191732.31</v>
      </c>
      <c r="V22" s="6">
        <v>1.1000000000000001E-3</v>
      </c>
      <c r="W22" s="3">
        <f t="shared" ref="W22:W23" si="24">V22*$M22</f>
        <v>421811.08200000005</v>
      </c>
      <c r="X22" s="6">
        <v>1.4E-3</v>
      </c>
      <c r="Y22" s="3">
        <f t="shared" ref="Y22:Y23" si="25">X22*$M22</f>
        <v>536850.46799999999</v>
      </c>
      <c r="Z22" s="7" t="e">
        <f>#REF!+#REF!+#REF!+#REF!+#REF!+#REF!+#REF!+#REF!+#REF!+#REF!+#REF!+#REF!</f>
        <v>#REF!</v>
      </c>
      <c r="AA22" s="1" t="e">
        <f>#REF!+#REF!+#REF!+#REF!+#REF!+#REF!+#REF!+#REF!+#REF!+#REF!+#REF!+#REF!-M22</f>
        <v>#REF!</v>
      </c>
      <c r="AB22" s="1" t="e">
        <f>Y22+W22+U22+S22+Q22+O22-#REF!</f>
        <v>#REF!</v>
      </c>
    </row>
    <row r="23" spans="3:28" x14ac:dyDescent="0.25">
      <c r="C23" s="2"/>
      <c r="D23" s="2"/>
      <c r="E23" s="18"/>
      <c r="F23" s="46" t="s">
        <v>29</v>
      </c>
      <c r="G23" s="4"/>
      <c r="H23" s="4"/>
      <c r="I23" s="4"/>
      <c r="J23" s="4">
        <v>9500</v>
      </c>
      <c r="K23" s="4" t="s">
        <v>37</v>
      </c>
      <c r="L23" s="60">
        <v>382230</v>
      </c>
      <c r="M23" s="4">
        <f>J23*L23/100</f>
        <v>36311850</v>
      </c>
      <c r="N23" s="11">
        <v>1.8100000000000002E-2</v>
      </c>
      <c r="O23" s="3">
        <f t="shared" si="20"/>
        <v>657244.4850000001</v>
      </c>
      <c r="P23" s="11">
        <v>3.0000000000000001E-3</v>
      </c>
      <c r="Q23" s="3">
        <f t="shared" si="21"/>
        <v>108935.55</v>
      </c>
      <c r="R23" s="11">
        <v>7.6E-3</v>
      </c>
      <c r="S23" s="3">
        <f t="shared" si="22"/>
        <v>275970.06</v>
      </c>
      <c r="T23" s="11">
        <v>5.1000000000000004E-3</v>
      </c>
      <c r="U23" s="3">
        <f t="shared" si="23"/>
        <v>185190.43500000003</v>
      </c>
      <c r="V23" s="11"/>
      <c r="W23" s="3">
        <f t="shared" si="24"/>
        <v>0</v>
      </c>
      <c r="X23" s="11">
        <v>1.4E-3</v>
      </c>
      <c r="Y23" s="3">
        <f t="shared" si="25"/>
        <v>50836.59</v>
      </c>
      <c r="Z23" s="7" t="e">
        <f>#REF!+#REF!+#REF!+#REF!+#REF!+#REF!+#REF!+#REF!+#REF!+#REF!+#REF!+#REF!</f>
        <v>#REF!</v>
      </c>
      <c r="AA23" s="1" t="e">
        <f>#REF!+#REF!+#REF!+#REF!+#REF!+#REF!+#REF!+#REF!+#REF!+#REF!+#REF!+#REF!-M23</f>
        <v>#REF!</v>
      </c>
      <c r="AB23" s="1" t="e">
        <f>Y23+W23+U23+S23+Q23+O23-#REF!</f>
        <v>#REF!</v>
      </c>
    </row>
    <row r="24" spans="3:28" ht="16.5" thickBot="1" x14ac:dyDescent="0.3">
      <c r="C24" s="16"/>
      <c r="D24" s="16"/>
      <c r="E24" s="20"/>
      <c r="F24" s="28" t="s">
        <v>7</v>
      </c>
      <c r="G24" s="29"/>
      <c r="H24" s="29"/>
      <c r="I24" s="29"/>
      <c r="J24" s="29"/>
      <c r="K24" s="29"/>
      <c r="L24" s="62"/>
      <c r="M24" s="29">
        <f>SUM(M20:M23)</f>
        <v>3432522685</v>
      </c>
      <c r="N24" s="30"/>
      <c r="O24" s="29">
        <f>SUM(O20:O23)</f>
        <v>54958271.383000001</v>
      </c>
      <c r="P24" s="30"/>
      <c r="Q24" s="29">
        <f>SUM(Q20:Q23)</f>
        <v>79700805.549500003</v>
      </c>
      <c r="R24" s="30"/>
      <c r="S24" s="29">
        <f>SUM(S20:S23)</f>
        <v>22477240.962999996</v>
      </c>
      <c r="T24" s="30"/>
      <c r="U24" s="29">
        <f>SUM(U20:U23)</f>
        <v>2485845.0955000003</v>
      </c>
      <c r="V24" s="30"/>
      <c r="W24" s="29">
        <f>SUM(W20:W23)</f>
        <v>3434557.2969999998</v>
      </c>
      <c r="X24" s="30"/>
      <c r="Y24" s="29">
        <f>SUM(Y20:Y23)</f>
        <v>4805531.7590000005</v>
      </c>
      <c r="Z24" s="7" t="e">
        <f>#REF!+#REF!+#REF!+#REF!+#REF!+#REF!+#REF!+#REF!+#REF!+#REF!+#REF!+#REF!</f>
        <v>#REF!</v>
      </c>
      <c r="AA24" s="1" t="e">
        <f>#REF!+#REF!+#REF!+#REF!+#REF!+#REF!+#REF!+#REF!+#REF!+#REF!+#REF!+#REF!-M24</f>
        <v>#REF!</v>
      </c>
      <c r="AB24" s="1" t="e">
        <f>Y24+W24+U24+S24+Q24+O24-#REF!</f>
        <v>#REF!</v>
      </c>
    </row>
    <row r="25" spans="3:28" x14ac:dyDescent="0.25">
      <c r="C25" s="2" t="s">
        <v>0</v>
      </c>
      <c r="D25" s="2" t="s">
        <v>1</v>
      </c>
      <c r="E25" s="18" t="s">
        <v>2</v>
      </c>
      <c r="F25" s="21" t="s">
        <v>8</v>
      </c>
      <c r="G25" s="22">
        <v>20505</v>
      </c>
      <c r="H25" s="22">
        <v>13072</v>
      </c>
      <c r="I25" s="22">
        <v>0</v>
      </c>
      <c r="J25" s="22"/>
      <c r="K25" s="22" t="s">
        <v>21</v>
      </c>
      <c r="L25" s="63">
        <f>179.64*1000</f>
        <v>179640</v>
      </c>
      <c r="M25" s="22">
        <f>L25*H25</f>
        <v>2348254080</v>
      </c>
      <c r="N25" s="23">
        <v>1.6E-2</v>
      </c>
      <c r="O25" s="24">
        <f t="shared" ref="O25:O26" si="26">N25*$M25</f>
        <v>37572065.280000001</v>
      </c>
      <c r="P25" s="23">
        <v>2.3300000000000001E-2</v>
      </c>
      <c r="Q25" s="3">
        <f t="shared" ref="Q25:Q26" si="27">P25*$M25</f>
        <v>54714320.064000003</v>
      </c>
      <c r="R25" s="23">
        <v>7.0000000000000001E-3</v>
      </c>
      <c r="S25" s="3">
        <f t="shared" ref="S25:S26" si="28">R25*$M25</f>
        <v>16437778.560000001</v>
      </c>
      <c r="T25" s="23">
        <v>6.9999999999999999E-4</v>
      </c>
      <c r="U25" s="3">
        <f t="shared" ref="U25:U26" si="29">T25*$M25</f>
        <v>1643777.8559999999</v>
      </c>
      <c r="V25" s="23">
        <v>1E-3</v>
      </c>
      <c r="W25" s="3">
        <f t="shared" ref="W25:W26" si="30">V25*$M25</f>
        <v>2348254.08</v>
      </c>
      <c r="X25" s="23">
        <v>1.4E-3</v>
      </c>
      <c r="Y25" s="3">
        <f t="shared" ref="Y25:Y26" si="31">X25*$M25</f>
        <v>3287555.7119999998</v>
      </c>
      <c r="Z25" s="7" t="e">
        <f>#REF!+#REF!+#REF!+#REF!+#REF!+#REF!+#REF!+#REF!+#REF!+#REF!+#REF!+#REF!</f>
        <v>#REF!</v>
      </c>
      <c r="AA25" s="1" t="e">
        <f>#REF!+#REF!+#REF!+#REF!+#REF!+#REF!+#REF!+#REF!+#REF!+#REF!+#REF!+#REF!-M25</f>
        <v>#REF!</v>
      </c>
      <c r="AB25" s="1" t="e">
        <f>Y25+W25+U25+S25+Q25+O25-#REF!</f>
        <v>#REF!</v>
      </c>
    </row>
    <row r="26" spans="3:28" ht="31.5" x14ac:dyDescent="0.25">
      <c r="C26" s="2"/>
      <c r="D26" s="2"/>
      <c r="E26" s="18"/>
      <c r="F26" s="25" t="s">
        <v>30</v>
      </c>
      <c r="G26" s="4"/>
      <c r="H26" s="4">
        <v>394.5</v>
      </c>
      <c r="I26" s="4"/>
      <c r="J26" s="13"/>
      <c r="K26" s="13" t="s">
        <v>21</v>
      </c>
      <c r="L26" s="64">
        <f>125.81*1000</f>
        <v>125810</v>
      </c>
      <c r="M26" s="13">
        <f>L26*H26</f>
        <v>49632045</v>
      </c>
      <c r="N26" s="14">
        <v>1.6E-2</v>
      </c>
      <c r="O26" s="15">
        <f t="shared" si="26"/>
        <v>794112.72</v>
      </c>
      <c r="P26" s="14">
        <v>2.3300000000000001E-2</v>
      </c>
      <c r="Q26" s="3">
        <f t="shared" si="27"/>
        <v>1156426.6485000001</v>
      </c>
      <c r="R26" s="14">
        <v>7.0000000000000001E-3</v>
      </c>
      <c r="S26" s="3">
        <f t="shared" si="28"/>
        <v>347424.315</v>
      </c>
      <c r="T26" s="14">
        <v>6.9999999999999999E-4</v>
      </c>
      <c r="U26" s="3">
        <f t="shared" si="29"/>
        <v>34742.431499999999</v>
      </c>
      <c r="V26" s="14">
        <v>1E-3</v>
      </c>
      <c r="W26" s="3">
        <f t="shared" si="30"/>
        <v>49632.044999999998</v>
      </c>
      <c r="X26" s="14">
        <v>1.4E-3</v>
      </c>
      <c r="Y26" s="3">
        <f t="shared" si="31"/>
        <v>69484.862999999998</v>
      </c>
      <c r="Z26" s="7" t="e">
        <f>#REF!+#REF!+#REF!+#REF!+#REF!+#REF!+#REF!+#REF!+#REF!+#REF!+#REF!+#REF!</f>
        <v>#REF!</v>
      </c>
      <c r="AA26" s="1" t="e">
        <f>#REF!+#REF!+#REF!+#REF!+#REF!+#REF!+#REF!+#REF!+#REF!+#REF!+#REF!+#REF!-M26</f>
        <v>#REF!</v>
      </c>
      <c r="AB26" s="1" t="e">
        <f>Y26+W26+U26+S26+Q26+O26-#REF!</f>
        <v>#REF!</v>
      </c>
    </row>
    <row r="27" spans="3:28" x14ac:dyDescent="0.25">
      <c r="C27" s="2"/>
      <c r="D27" s="2"/>
      <c r="E27" s="18"/>
      <c r="F27" s="26" t="s">
        <v>28</v>
      </c>
      <c r="G27" s="4"/>
      <c r="H27" s="4"/>
      <c r="I27" s="4"/>
      <c r="J27" s="4"/>
      <c r="K27" s="4" t="s">
        <v>25</v>
      </c>
      <c r="L27" s="60">
        <f>276.67*1000</f>
        <v>276670</v>
      </c>
      <c r="M27" s="4">
        <f>L27*I27</f>
        <v>0</v>
      </c>
      <c r="N27" s="6">
        <v>1.5900000000000001E-2</v>
      </c>
      <c r="O27" s="3">
        <f t="shared" ref="O27:O28" si="32">N27*$M27</f>
        <v>0</v>
      </c>
      <c r="P27" s="6">
        <v>2.4500000000000001E-2</v>
      </c>
      <c r="Q27" s="3">
        <f t="shared" ref="Q27:Q28" si="33">P27*$M27</f>
        <v>0</v>
      </c>
      <c r="R27" s="6">
        <v>2.8999999999999998E-3</v>
      </c>
      <c r="S27" s="3">
        <f t="shared" ref="S27:S28" si="34">R27*$M27</f>
        <v>0</v>
      </c>
      <c r="T27" s="6">
        <v>5.0000000000000001E-4</v>
      </c>
      <c r="U27" s="3">
        <f t="shared" ref="U27:U28" si="35">T27*$M27</f>
        <v>0</v>
      </c>
      <c r="V27" s="6">
        <v>1.1000000000000001E-3</v>
      </c>
      <c r="W27" s="3">
        <f t="shared" ref="W27:W28" si="36">V27*$M27</f>
        <v>0</v>
      </c>
      <c r="X27" s="6">
        <v>1.4E-3</v>
      </c>
      <c r="Y27" s="3">
        <f t="shared" ref="Y27:Y28" si="37">X27*$M27</f>
        <v>0</v>
      </c>
      <c r="Z27" s="7" t="e">
        <f>#REF!+#REF!+#REF!+#REF!+#REF!+#REF!+#REF!+#REF!+#REF!+#REF!+#REF!+#REF!</f>
        <v>#REF!</v>
      </c>
      <c r="AA27" s="1" t="e">
        <f>#REF!+#REF!+#REF!+#REF!+#REF!+#REF!+#REF!+#REF!+#REF!+#REF!+#REF!+#REF!-M27</f>
        <v>#REF!</v>
      </c>
      <c r="AB27" s="1" t="e">
        <f>Y27+W27+U27+S27+Q27+O27-#REF!</f>
        <v>#REF!</v>
      </c>
    </row>
    <row r="28" spans="3:28" x14ac:dyDescent="0.25">
      <c r="C28" s="2"/>
      <c r="D28" s="2"/>
      <c r="E28" s="18"/>
      <c r="F28" s="46" t="s">
        <v>29</v>
      </c>
      <c r="G28" s="4"/>
      <c r="H28" s="4"/>
      <c r="I28" s="4"/>
      <c r="J28" s="4">
        <v>9500</v>
      </c>
      <c r="K28" s="4" t="s">
        <v>37</v>
      </c>
      <c r="L28" s="60">
        <v>382230</v>
      </c>
      <c r="M28" s="4">
        <f>J28*L28/100</f>
        <v>36311850</v>
      </c>
      <c r="N28" s="11">
        <v>1.8100000000000002E-2</v>
      </c>
      <c r="O28" s="3">
        <f t="shared" si="32"/>
        <v>657244.4850000001</v>
      </c>
      <c r="P28" s="11">
        <v>3.0000000000000001E-3</v>
      </c>
      <c r="Q28" s="3">
        <f t="shared" si="33"/>
        <v>108935.55</v>
      </c>
      <c r="R28" s="11">
        <v>7.6E-3</v>
      </c>
      <c r="S28" s="3">
        <f t="shared" si="34"/>
        <v>275970.06</v>
      </c>
      <c r="T28" s="11">
        <v>5.1000000000000004E-3</v>
      </c>
      <c r="U28" s="3">
        <f t="shared" si="35"/>
        <v>185190.43500000003</v>
      </c>
      <c r="V28" s="11"/>
      <c r="W28" s="3">
        <f t="shared" si="36"/>
        <v>0</v>
      </c>
      <c r="X28" s="11">
        <v>1.4E-3</v>
      </c>
      <c r="Y28" s="3">
        <f t="shared" si="37"/>
        <v>50836.59</v>
      </c>
      <c r="Z28" s="7" t="e">
        <f>#REF!+#REF!+#REF!+#REF!+#REF!+#REF!+#REF!+#REF!+#REF!+#REF!+#REF!+#REF!</f>
        <v>#REF!</v>
      </c>
      <c r="AA28" s="1" t="e">
        <f>#REF!+#REF!+#REF!+#REF!+#REF!+#REF!+#REF!+#REF!+#REF!+#REF!+#REF!+#REF!-M28</f>
        <v>#REF!</v>
      </c>
      <c r="AB28" s="1" t="e">
        <f>Y28+W28+U28+S28+Q28+O28-#REF!</f>
        <v>#REF!</v>
      </c>
    </row>
    <row r="29" spans="3:28" ht="16.5" thickBot="1" x14ac:dyDescent="0.3">
      <c r="C29" s="16"/>
      <c r="D29" s="16"/>
      <c r="E29" s="20"/>
      <c r="F29" s="28" t="s">
        <v>8</v>
      </c>
      <c r="G29" s="29"/>
      <c r="H29" s="29"/>
      <c r="I29" s="29"/>
      <c r="J29" s="29"/>
      <c r="K29" s="29"/>
      <c r="L29" s="62"/>
      <c r="M29" s="29">
        <f>SUM(M25:M28)</f>
        <v>2434197975</v>
      </c>
      <c r="N29" s="30"/>
      <c r="O29" s="29">
        <f>SUM(O25:O28)</f>
        <v>39023422.484999999</v>
      </c>
      <c r="P29" s="30"/>
      <c r="Q29" s="29">
        <f>SUM(Q25:Q28)</f>
        <v>55979682.262500003</v>
      </c>
      <c r="R29" s="30"/>
      <c r="S29" s="29">
        <f>SUM(S25:S28)</f>
        <v>17061172.934999999</v>
      </c>
      <c r="T29" s="30"/>
      <c r="U29" s="29">
        <f>SUM(U25:U28)</f>
        <v>1863710.7224999999</v>
      </c>
      <c r="V29" s="30"/>
      <c r="W29" s="29">
        <f>SUM(W25:W28)</f>
        <v>2397886.125</v>
      </c>
      <c r="X29" s="30"/>
      <c r="Y29" s="29">
        <f>SUM(Y25:Y28)</f>
        <v>3407877.1649999996</v>
      </c>
      <c r="Z29" s="7" t="e">
        <f>#REF!+#REF!+#REF!+#REF!+#REF!+#REF!+#REF!+#REF!+#REF!+#REF!+#REF!+#REF!</f>
        <v>#REF!</v>
      </c>
      <c r="AA29" s="1" t="e">
        <f>#REF!+#REF!+#REF!+#REF!+#REF!+#REF!+#REF!+#REF!+#REF!+#REF!+#REF!+#REF!-M29</f>
        <v>#REF!</v>
      </c>
      <c r="AB29" s="1" t="e">
        <f>Y29+W29+U29+S29+Q29+O29-#REF!</f>
        <v>#REF!</v>
      </c>
    </row>
    <row r="30" spans="3:28" ht="47.25" x14ac:dyDescent="0.25">
      <c r="C30" s="2" t="s">
        <v>0</v>
      </c>
      <c r="D30" s="2" t="s">
        <v>1</v>
      </c>
      <c r="E30" s="18" t="s">
        <v>2</v>
      </c>
      <c r="F30" s="33" t="s">
        <v>10</v>
      </c>
      <c r="G30" s="22">
        <v>54641.5</v>
      </c>
      <c r="H30" s="22">
        <v>34834</v>
      </c>
      <c r="I30" s="22"/>
      <c r="J30" s="22"/>
      <c r="K30" s="22" t="s">
        <v>21</v>
      </c>
      <c r="L30" s="63">
        <f>179.64*1000</f>
        <v>179640</v>
      </c>
      <c r="M30" s="22">
        <f>L30*H30</f>
        <v>6257579760</v>
      </c>
      <c r="N30" s="23">
        <v>1.6E-2</v>
      </c>
      <c r="O30" s="24">
        <f t="shared" ref="O30:O31" si="38">N30*$M30</f>
        <v>100121276.16</v>
      </c>
      <c r="P30" s="23">
        <v>2.3300000000000001E-2</v>
      </c>
      <c r="Q30" s="3">
        <f t="shared" ref="Q30:Q31" si="39">P30*$M30</f>
        <v>145801608.40800002</v>
      </c>
      <c r="R30" s="23">
        <v>7.0000000000000001E-3</v>
      </c>
      <c r="S30" s="3">
        <f t="shared" ref="S30:S31" si="40">R30*$M30</f>
        <v>43803058.32</v>
      </c>
      <c r="T30" s="23">
        <v>6.9999999999999999E-4</v>
      </c>
      <c r="U30" s="3">
        <f t="shared" ref="U30:U31" si="41">T30*$M30</f>
        <v>4380305.8320000004</v>
      </c>
      <c r="V30" s="23">
        <v>1E-3</v>
      </c>
      <c r="W30" s="3">
        <f t="shared" ref="W30:W31" si="42">V30*$M30</f>
        <v>6257579.7599999998</v>
      </c>
      <c r="X30" s="23">
        <v>1.4E-3</v>
      </c>
      <c r="Y30" s="3">
        <f t="shared" ref="Y30:Y31" si="43">X30*$M30</f>
        <v>8760611.6640000008</v>
      </c>
      <c r="Z30" s="7" t="e">
        <f>#REF!+#REF!+#REF!+#REF!+#REF!+#REF!+#REF!+#REF!+#REF!+#REF!+#REF!+#REF!</f>
        <v>#REF!</v>
      </c>
      <c r="AA30" s="1" t="e">
        <f>#REF!+#REF!+#REF!+#REF!+#REF!+#REF!+#REF!+#REF!+#REF!+#REF!+#REF!+#REF!-M30</f>
        <v>#REF!</v>
      </c>
      <c r="AB30" s="1" t="e">
        <f>Y30+W30+U30+S30+Q30+O30-#REF!</f>
        <v>#REF!</v>
      </c>
    </row>
    <row r="31" spans="3:28" ht="31.5" x14ac:dyDescent="0.25">
      <c r="C31" s="2"/>
      <c r="D31" s="2"/>
      <c r="E31" s="18"/>
      <c r="F31" s="25" t="s">
        <v>30</v>
      </c>
      <c r="G31" s="4"/>
      <c r="H31" s="4">
        <v>1051</v>
      </c>
      <c r="I31" s="4"/>
      <c r="J31" s="13"/>
      <c r="K31" s="13" t="s">
        <v>21</v>
      </c>
      <c r="L31" s="64">
        <f>125.81*1000</f>
        <v>125810</v>
      </c>
      <c r="M31" s="13">
        <f>L31*H31</f>
        <v>132226310</v>
      </c>
      <c r="N31" s="14">
        <v>1.6E-2</v>
      </c>
      <c r="O31" s="15">
        <f t="shared" si="38"/>
        <v>2115620.96</v>
      </c>
      <c r="P31" s="14">
        <v>2.3300000000000001E-2</v>
      </c>
      <c r="Q31" s="3">
        <f t="shared" si="39"/>
        <v>3080873.023</v>
      </c>
      <c r="R31" s="14">
        <v>7.0000000000000001E-3</v>
      </c>
      <c r="S31" s="3">
        <f t="shared" si="40"/>
        <v>925584.17</v>
      </c>
      <c r="T31" s="14">
        <v>6.9999999999999999E-4</v>
      </c>
      <c r="U31" s="3">
        <f t="shared" si="41"/>
        <v>92558.417000000001</v>
      </c>
      <c r="V31" s="14">
        <v>1E-3</v>
      </c>
      <c r="W31" s="3">
        <f t="shared" si="42"/>
        <v>132226.31</v>
      </c>
      <c r="X31" s="14">
        <v>1.4E-3</v>
      </c>
      <c r="Y31" s="3">
        <f t="shared" si="43"/>
        <v>185116.834</v>
      </c>
      <c r="Z31" s="7" t="e">
        <f>#REF!+#REF!+#REF!+#REF!+#REF!+#REF!+#REF!+#REF!+#REF!+#REF!+#REF!+#REF!</f>
        <v>#REF!</v>
      </c>
      <c r="AA31" s="1" t="e">
        <f>#REF!+#REF!+#REF!+#REF!+#REF!+#REF!+#REF!+#REF!+#REF!+#REF!+#REF!+#REF!-M31</f>
        <v>#REF!</v>
      </c>
      <c r="AB31" s="1" t="e">
        <f>Y31+W31+U31+S31+Q31+O31-#REF!</f>
        <v>#REF!</v>
      </c>
    </row>
    <row r="32" spans="3:28" x14ac:dyDescent="0.25">
      <c r="C32" s="2"/>
      <c r="D32" s="2"/>
      <c r="E32" s="18"/>
      <c r="F32" s="26" t="s">
        <v>28</v>
      </c>
      <c r="G32" s="4"/>
      <c r="H32" s="4"/>
      <c r="I32" s="4">
        <f>149*3*6</f>
        <v>2682</v>
      </c>
      <c r="J32" s="4"/>
      <c r="K32" s="4" t="s">
        <v>25</v>
      </c>
      <c r="L32" s="60">
        <f>276.67*1000</f>
        <v>276670</v>
      </c>
      <c r="M32" s="4">
        <f>L32*I32</f>
        <v>742028940</v>
      </c>
      <c r="N32" s="6">
        <v>1.5900000000000001E-2</v>
      </c>
      <c r="O32" s="3">
        <f t="shared" ref="O32:O33" si="44">N32*$M32</f>
        <v>11798260.146000002</v>
      </c>
      <c r="P32" s="6">
        <v>2.4500000000000001E-2</v>
      </c>
      <c r="Q32" s="3">
        <f t="shared" ref="Q32:Q33" si="45">P32*$M32</f>
        <v>18179709.030000001</v>
      </c>
      <c r="R32" s="6">
        <v>2.8999999999999998E-3</v>
      </c>
      <c r="S32" s="3">
        <f t="shared" ref="S32:S33" si="46">R32*$M32</f>
        <v>2151883.926</v>
      </c>
      <c r="T32" s="6">
        <v>5.0000000000000001E-4</v>
      </c>
      <c r="U32" s="3">
        <f t="shared" ref="U32:U33" si="47">T32*$M32</f>
        <v>371014.47000000003</v>
      </c>
      <c r="V32" s="6">
        <v>1.1000000000000001E-3</v>
      </c>
      <c r="W32" s="3">
        <f t="shared" ref="W32:W33" si="48">V32*$M32</f>
        <v>816231.83400000003</v>
      </c>
      <c r="X32" s="6">
        <v>1.4E-3</v>
      </c>
      <c r="Y32" s="3">
        <f t="shared" ref="Y32:Y33" si="49">X32*$M32</f>
        <v>1038840.5159999999</v>
      </c>
      <c r="Z32" s="7" t="e">
        <f>#REF!+#REF!+#REF!+#REF!+#REF!+#REF!+#REF!+#REF!+#REF!+#REF!+#REF!+#REF!</f>
        <v>#REF!</v>
      </c>
      <c r="AA32" s="1" t="e">
        <f>#REF!+#REF!+#REF!+#REF!+#REF!+#REF!+#REF!+#REF!+#REF!+#REF!+#REF!+#REF!-M32</f>
        <v>#REF!</v>
      </c>
      <c r="AB32" s="1" t="e">
        <f>Y32+W32+U32+S32+Q32+O32-#REF!</f>
        <v>#REF!</v>
      </c>
    </row>
    <row r="33" spans="3:28" x14ac:dyDescent="0.25">
      <c r="C33" s="2"/>
      <c r="D33" s="2"/>
      <c r="E33" s="18"/>
      <c r="F33" s="46" t="s">
        <v>29</v>
      </c>
      <c r="G33" s="4"/>
      <c r="H33" s="4"/>
      <c r="I33" s="4"/>
      <c r="J33" s="4">
        <f>2*9500</f>
        <v>19000</v>
      </c>
      <c r="K33" s="4" t="s">
        <v>37</v>
      </c>
      <c r="L33" s="60">
        <v>382230</v>
      </c>
      <c r="M33" s="4">
        <f>J33*L33/100</f>
        <v>72623700</v>
      </c>
      <c r="N33" s="11">
        <v>1.8100000000000002E-2</v>
      </c>
      <c r="O33" s="3">
        <f t="shared" si="44"/>
        <v>1314488.9700000002</v>
      </c>
      <c r="P33" s="11">
        <v>3.0000000000000001E-3</v>
      </c>
      <c r="Q33" s="3">
        <f t="shared" si="45"/>
        <v>217871.1</v>
      </c>
      <c r="R33" s="11">
        <v>7.6E-3</v>
      </c>
      <c r="S33" s="3">
        <f t="shared" si="46"/>
        <v>551940.12</v>
      </c>
      <c r="T33" s="11">
        <v>5.1000000000000004E-3</v>
      </c>
      <c r="U33" s="3">
        <f t="shared" si="47"/>
        <v>370380.87000000005</v>
      </c>
      <c r="V33" s="11"/>
      <c r="W33" s="3">
        <f t="shared" si="48"/>
        <v>0</v>
      </c>
      <c r="X33" s="11">
        <v>1.4E-3</v>
      </c>
      <c r="Y33" s="3">
        <f t="shared" si="49"/>
        <v>101673.18</v>
      </c>
      <c r="Z33" s="7" t="e">
        <f>#REF!+#REF!+#REF!+#REF!+#REF!+#REF!+#REF!+#REF!+#REF!+#REF!+#REF!+#REF!</f>
        <v>#REF!</v>
      </c>
      <c r="AA33" s="1" t="e">
        <f>#REF!+#REF!+#REF!+#REF!+#REF!+#REF!+#REF!+#REF!+#REF!+#REF!+#REF!+#REF!-M33</f>
        <v>#REF!</v>
      </c>
      <c r="AB33" s="1" t="e">
        <f>Y33+W33+U33+S33+Q33+O33-#REF!</f>
        <v>#REF!</v>
      </c>
    </row>
    <row r="34" spans="3:28" ht="48" thickBot="1" x14ac:dyDescent="0.3">
      <c r="C34" s="16"/>
      <c r="D34" s="16"/>
      <c r="E34" s="20"/>
      <c r="F34" s="34" t="s">
        <v>10</v>
      </c>
      <c r="G34" s="29"/>
      <c r="H34" s="29"/>
      <c r="I34" s="29"/>
      <c r="J34" s="29"/>
      <c r="K34" s="29"/>
      <c r="L34" s="62"/>
      <c r="M34" s="35">
        <f>SUM(M30:M33)</f>
        <v>7204458710</v>
      </c>
      <c r="N34" s="30"/>
      <c r="O34" s="29">
        <f>SUM(O30:O33)</f>
        <v>115349646.23599999</v>
      </c>
      <c r="P34" s="30"/>
      <c r="Q34" s="29">
        <f>SUM(Q30:Q33)</f>
        <v>167280061.56100002</v>
      </c>
      <c r="R34" s="30"/>
      <c r="S34" s="29">
        <f>SUM(S30:S33)</f>
        <v>47432466.535999998</v>
      </c>
      <c r="T34" s="30"/>
      <c r="U34" s="29">
        <f>SUM(U30:U33)</f>
        <v>5214259.5890000006</v>
      </c>
      <c r="V34" s="30"/>
      <c r="W34" s="29">
        <f>SUM(W30:W33)</f>
        <v>7206037.9039999992</v>
      </c>
      <c r="X34" s="30"/>
      <c r="Y34" s="29">
        <f>SUM(Y30:Y33)</f>
        <v>10086242.194000002</v>
      </c>
      <c r="Z34" s="7" t="e">
        <f>#REF!+#REF!+#REF!+#REF!+#REF!+#REF!+#REF!+#REF!+#REF!+#REF!+#REF!+#REF!</f>
        <v>#REF!</v>
      </c>
      <c r="AA34" s="1" t="e">
        <f>#REF!+#REF!+#REF!+#REF!+#REF!+#REF!+#REF!+#REF!+#REF!+#REF!+#REF!+#REF!-M34</f>
        <v>#REF!</v>
      </c>
      <c r="AB34" s="1" t="e">
        <f>Y34+W34+U34+S34+Q34+O34-#REF!</f>
        <v>#REF!</v>
      </c>
    </row>
    <row r="35" spans="3:28" ht="31.5" x14ac:dyDescent="0.25">
      <c r="C35" s="2" t="s">
        <v>0</v>
      </c>
      <c r="D35" s="2" t="s">
        <v>1</v>
      </c>
      <c r="E35" s="36" t="s">
        <v>9</v>
      </c>
      <c r="F35" s="33" t="s">
        <v>11</v>
      </c>
      <c r="G35" s="22">
        <v>51690.51</v>
      </c>
      <c r="H35" s="22">
        <v>33039</v>
      </c>
      <c r="I35" s="22"/>
      <c r="J35" s="22"/>
      <c r="K35" s="22" t="s">
        <v>21</v>
      </c>
      <c r="L35" s="63">
        <f>179.64*1000</f>
        <v>179640</v>
      </c>
      <c r="M35" s="22">
        <f>L35*H35</f>
        <v>5935125960</v>
      </c>
      <c r="N35" s="23">
        <v>1.6E-2</v>
      </c>
      <c r="O35" s="24">
        <f t="shared" ref="O35:O36" si="50">N35*$M35</f>
        <v>94962015.359999999</v>
      </c>
      <c r="P35" s="23">
        <v>2.3300000000000001E-2</v>
      </c>
      <c r="Q35" s="3">
        <f t="shared" ref="Q35:Q36" si="51">P35*$M35</f>
        <v>138288434.868</v>
      </c>
      <c r="R35" s="23">
        <v>7.0000000000000001E-3</v>
      </c>
      <c r="S35" s="3">
        <f t="shared" ref="S35:S36" si="52">R35*$M35</f>
        <v>41545881.719999999</v>
      </c>
      <c r="T35" s="23">
        <v>6.9999999999999999E-4</v>
      </c>
      <c r="U35" s="3">
        <f t="shared" ref="U35:U36" si="53">T35*$M35</f>
        <v>4154588.1719999998</v>
      </c>
      <c r="V35" s="23">
        <v>1E-3</v>
      </c>
      <c r="W35" s="3">
        <f t="shared" ref="W35:W36" si="54">V35*$M35</f>
        <v>5935125.96</v>
      </c>
      <c r="X35" s="23">
        <v>1.4E-3</v>
      </c>
      <c r="Y35" s="3">
        <f t="shared" ref="Y35:Y36" si="55">X35*$M35</f>
        <v>8309176.3439999996</v>
      </c>
      <c r="Z35" s="7" t="e">
        <f>#REF!+#REF!+#REF!+#REF!+#REF!+#REF!+#REF!+#REF!+#REF!+#REF!+#REF!+#REF!</f>
        <v>#REF!</v>
      </c>
      <c r="AA35" s="1" t="e">
        <f>#REF!+#REF!+#REF!+#REF!+#REF!+#REF!+#REF!+#REF!+#REF!+#REF!+#REF!+#REF!-M35</f>
        <v>#REF!</v>
      </c>
      <c r="AB35" s="1" t="e">
        <f>Y35+W35+U35+S35+Q35+O35-#REF!</f>
        <v>#REF!</v>
      </c>
    </row>
    <row r="36" spans="3:28" ht="31.5" x14ac:dyDescent="0.25">
      <c r="C36" s="2"/>
      <c r="D36" s="2"/>
      <c r="E36" s="36"/>
      <c r="F36" s="25" t="s">
        <v>30</v>
      </c>
      <c r="G36" s="4"/>
      <c r="H36" s="4">
        <v>861.5</v>
      </c>
      <c r="I36" s="4"/>
      <c r="J36" s="13"/>
      <c r="K36" s="13" t="s">
        <v>21</v>
      </c>
      <c r="L36" s="64">
        <f>125.81*1000</f>
        <v>125810</v>
      </c>
      <c r="M36" s="13">
        <f>L36*H36</f>
        <v>108385315</v>
      </c>
      <c r="N36" s="14">
        <v>1.6E-2</v>
      </c>
      <c r="O36" s="15">
        <f t="shared" si="50"/>
        <v>1734165.04</v>
      </c>
      <c r="P36" s="14">
        <v>2.3300000000000001E-2</v>
      </c>
      <c r="Q36" s="3">
        <f t="shared" si="51"/>
        <v>2525377.8395000002</v>
      </c>
      <c r="R36" s="14">
        <v>7.0000000000000001E-3</v>
      </c>
      <c r="S36" s="3">
        <f t="shared" si="52"/>
        <v>758697.20499999996</v>
      </c>
      <c r="T36" s="14">
        <v>6.9999999999999999E-4</v>
      </c>
      <c r="U36" s="3">
        <f t="shared" si="53"/>
        <v>75869.720499999996</v>
      </c>
      <c r="V36" s="14">
        <v>1E-3</v>
      </c>
      <c r="W36" s="3">
        <f t="shared" si="54"/>
        <v>108385.315</v>
      </c>
      <c r="X36" s="14">
        <v>1.4E-3</v>
      </c>
      <c r="Y36" s="3">
        <f t="shared" si="55"/>
        <v>151739.44099999999</v>
      </c>
      <c r="Z36" s="7" t="e">
        <f>#REF!+#REF!+#REF!+#REF!+#REF!+#REF!+#REF!+#REF!+#REF!+#REF!+#REF!+#REF!</f>
        <v>#REF!</v>
      </c>
      <c r="AA36" s="1" t="e">
        <f>#REF!+#REF!+#REF!+#REF!+#REF!+#REF!+#REF!+#REF!+#REF!+#REF!+#REF!+#REF!-M36</f>
        <v>#REF!</v>
      </c>
      <c r="AB36" s="1" t="e">
        <f>Y36+W36+U36+S36+Q36+O36-#REF!</f>
        <v>#REF!</v>
      </c>
    </row>
    <row r="37" spans="3:28" x14ac:dyDescent="0.25">
      <c r="C37" s="2"/>
      <c r="D37" s="2"/>
      <c r="E37" s="36"/>
      <c r="F37" s="26" t="s">
        <v>28</v>
      </c>
      <c r="G37" s="4"/>
      <c r="H37" s="4"/>
      <c r="I37" s="4">
        <f>160*3*6</f>
        <v>2880</v>
      </c>
      <c r="J37" s="4"/>
      <c r="K37" s="4" t="s">
        <v>25</v>
      </c>
      <c r="L37" s="60">
        <f>276.67*1000</f>
        <v>276670</v>
      </c>
      <c r="M37" s="4">
        <f>L37*I37</f>
        <v>796809600</v>
      </c>
      <c r="N37" s="6">
        <v>1.5900000000000001E-2</v>
      </c>
      <c r="O37" s="3">
        <f t="shared" ref="O37:O38" si="56">N37*$M37</f>
        <v>12669272.640000001</v>
      </c>
      <c r="P37" s="6">
        <v>2.4500000000000001E-2</v>
      </c>
      <c r="Q37" s="3">
        <f t="shared" ref="Q37:Q38" si="57">P37*$M37</f>
        <v>19521835.199999999</v>
      </c>
      <c r="R37" s="6">
        <v>2.8999999999999998E-3</v>
      </c>
      <c r="S37" s="3">
        <f t="shared" ref="S37:S38" si="58">R37*$M37</f>
        <v>2310747.84</v>
      </c>
      <c r="T37" s="6">
        <v>5.0000000000000001E-4</v>
      </c>
      <c r="U37" s="3">
        <f t="shared" ref="U37:U38" si="59">T37*$M37</f>
        <v>398404.8</v>
      </c>
      <c r="V37" s="6">
        <v>1.1000000000000001E-3</v>
      </c>
      <c r="W37" s="3">
        <f t="shared" ref="W37:W38" si="60">V37*$M37</f>
        <v>876490.56</v>
      </c>
      <c r="X37" s="6">
        <v>1.4E-3</v>
      </c>
      <c r="Y37" s="3">
        <f t="shared" ref="Y37:Y38" si="61">X37*$M37</f>
        <v>1115533.44</v>
      </c>
      <c r="Z37" s="7" t="e">
        <f>#REF!+#REF!+#REF!+#REF!+#REF!+#REF!+#REF!+#REF!+#REF!+#REF!+#REF!+#REF!</f>
        <v>#REF!</v>
      </c>
      <c r="AA37" s="1" t="e">
        <f>#REF!+#REF!+#REF!+#REF!+#REF!+#REF!+#REF!+#REF!+#REF!+#REF!+#REF!+#REF!-M37</f>
        <v>#REF!</v>
      </c>
      <c r="AB37" s="1" t="e">
        <f>Y37+W37+U37+S37+Q37+O37-#REF!</f>
        <v>#REF!</v>
      </c>
    </row>
    <row r="38" spans="3:28" x14ac:dyDescent="0.25">
      <c r="C38" s="2"/>
      <c r="D38" s="2"/>
      <c r="E38" s="36"/>
      <c r="F38" s="46" t="s">
        <v>29</v>
      </c>
      <c r="G38" s="4"/>
      <c r="H38" s="4"/>
      <c r="I38" s="4"/>
      <c r="J38" s="4">
        <v>0</v>
      </c>
      <c r="K38" s="4" t="s">
        <v>37</v>
      </c>
      <c r="L38" s="60"/>
      <c r="M38" s="4"/>
      <c r="N38" s="11">
        <v>1.8100000000000002E-2</v>
      </c>
      <c r="O38" s="3">
        <f t="shared" si="56"/>
        <v>0</v>
      </c>
      <c r="P38" s="11">
        <v>3.0000000000000001E-3</v>
      </c>
      <c r="Q38" s="3">
        <f t="shared" si="57"/>
        <v>0</v>
      </c>
      <c r="R38" s="11">
        <v>7.6E-3</v>
      </c>
      <c r="S38" s="3">
        <f t="shared" si="58"/>
        <v>0</v>
      </c>
      <c r="T38" s="11">
        <v>5.1000000000000004E-3</v>
      </c>
      <c r="U38" s="3">
        <f t="shared" si="59"/>
        <v>0</v>
      </c>
      <c r="V38" s="11"/>
      <c r="W38" s="3">
        <f t="shared" si="60"/>
        <v>0</v>
      </c>
      <c r="X38" s="11">
        <v>1.4E-3</v>
      </c>
      <c r="Y38" s="3">
        <f t="shared" si="61"/>
        <v>0</v>
      </c>
      <c r="Z38" s="7" t="e">
        <f>#REF!+#REF!+#REF!+#REF!+#REF!+#REF!+#REF!+#REF!+#REF!+#REF!+#REF!+#REF!</f>
        <v>#REF!</v>
      </c>
      <c r="AA38" s="1" t="e">
        <f>#REF!+#REF!+#REF!+#REF!+#REF!+#REF!+#REF!+#REF!+#REF!+#REF!+#REF!+#REF!-M38</f>
        <v>#REF!</v>
      </c>
      <c r="AB38" s="1" t="e">
        <f>Y38+W38+U38+S38+Q38+O38-#REF!</f>
        <v>#REF!</v>
      </c>
    </row>
    <row r="39" spans="3:28" ht="32.25" thickBot="1" x14ac:dyDescent="0.3">
      <c r="C39" s="16"/>
      <c r="D39" s="16"/>
      <c r="E39" s="37"/>
      <c r="F39" s="34" t="s">
        <v>11</v>
      </c>
      <c r="G39" s="29"/>
      <c r="H39" s="29"/>
      <c r="I39" s="29"/>
      <c r="J39" s="29"/>
      <c r="K39" s="29"/>
      <c r="L39" s="62"/>
      <c r="M39" s="35">
        <f>SUM(M35:M38)</f>
        <v>6840320875</v>
      </c>
      <c r="N39" s="30"/>
      <c r="O39" s="29">
        <f>SUM(O35:O38)</f>
        <v>109365453.04000001</v>
      </c>
      <c r="P39" s="30"/>
      <c r="Q39" s="29">
        <f>SUM(Q35:Q38)</f>
        <v>160335647.9075</v>
      </c>
      <c r="R39" s="30"/>
      <c r="S39" s="29">
        <f>SUM(S35:S38)</f>
        <v>44615326.765000001</v>
      </c>
      <c r="T39" s="30"/>
      <c r="U39" s="29">
        <f>SUM(U35:U38)</f>
        <v>4628862.6924999999</v>
      </c>
      <c r="V39" s="30"/>
      <c r="W39" s="29">
        <f>SUM(W35:W38)</f>
        <v>6920001.8350000009</v>
      </c>
      <c r="X39" s="30"/>
      <c r="Y39" s="29">
        <f>SUM(Y35:Y38)</f>
        <v>9576449.2249999996</v>
      </c>
      <c r="Z39" s="7" t="e">
        <f>#REF!+#REF!+#REF!+#REF!+#REF!+#REF!+#REF!+#REF!+#REF!+#REF!+#REF!+#REF!</f>
        <v>#REF!</v>
      </c>
      <c r="AA39" s="1" t="e">
        <f>#REF!+#REF!+#REF!+#REF!+#REF!+#REF!+#REF!+#REF!+#REF!+#REF!+#REF!+#REF!-M39</f>
        <v>#REF!</v>
      </c>
      <c r="AB39" s="1" t="e">
        <f>Y39+W39+U39+S39+Q39+O39-#REF!</f>
        <v>#REF!</v>
      </c>
    </row>
    <row r="40" spans="3:28" ht="63" x14ac:dyDescent="0.25">
      <c r="C40" s="5" t="s">
        <v>12</v>
      </c>
      <c r="D40" s="5" t="s">
        <v>13</v>
      </c>
      <c r="E40" s="36" t="s">
        <v>2</v>
      </c>
      <c r="F40" s="33" t="s">
        <v>15</v>
      </c>
      <c r="G40" s="22">
        <v>19443.84</v>
      </c>
      <c r="H40" s="22">
        <v>12395</v>
      </c>
      <c r="I40" s="22"/>
      <c r="J40" s="22"/>
      <c r="K40" s="22" t="s">
        <v>21</v>
      </c>
      <c r="L40" s="63">
        <f>179.64*1000</f>
        <v>179640</v>
      </c>
      <c r="M40" s="22">
        <f>L40*H40</f>
        <v>2226637800</v>
      </c>
      <c r="N40" s="23">
        <v>1.6E-2</v>
      </c>
      <c r="O40" s="24">
        <f t="shared" ref="O40:O41" si="62">N40*$M40</f>
        <v>35626204.799999997</v>
      </c>
      <c r="P40" s="23">
        <v>2.3300000000000001E-2</v>
      </c>
      <c r="Q40" s="3">
        <f t="shared" ref="Q40:Q41" si="63">P40*$M40</f>
        <v>51880660.740000002</v>
      </c>
      <c r="R40" s="23">
        <v>7.0000000000000001E-3</v>
      </c>
      <c r="S40" s="3">
        <f t="shared" ref="S40:S41" si="64">R40*$M40</f>
        <v>15586464.6</v>
      </c>
      <c r="T40" s="23">
        <v>6.9999999999999999E-4</v>
      </c>
      <c r="U40" s="3">
        <f t="shared" ref="U40:U41" si="65">T40*$M40</f>
        <v>1558646.46</v>
      </c>
      <c r="V40" s="23">
        <v>1E-3</v>
      </c>
      <c r="W40" s="3">
        <f t="shared" ref="W40:W41" si="66">V40*$M40</f>
        <v>2226637.7999999998</v>
      </c>
      <c r="X40" s="23">
        <v>1.4E-3</v>
      </c>
      <c r="Y40" s="3">
        <f t="shared" ref="Y40:Y41" si="67">X40*$M40</f>
        <v>3117292.92</v>
      </c>
      <c r="Z40" s="7" t="e">
        <f>#REF!+#REF!+#REF!+#REF!+#REF!+#REF!+#REF!+#REF!+#REF!+#REF!+#REF!+#REF!</f>
        <v>#REF!</v>
      </c>
      <c r="AA40" s="1" t="e">
        <f>#REF!+#REF!+#REF!+#REF!+#REF!+#REF!+#REF!+#REF!+#REF!+#REF!+#REF!+#REF!-M40</f>
        <v>#REF!</v>
      </c>
      <c r="AB40" s="1" t="e">
        <f>Y40+W40+U40+S40+Q40+O40-#REF!</f>
        <v>#REF!</v>
      </c>
    </row>
    <row r="41" spans="3:28" ht="31.5" x14ac:dyDescent="0.25">
      <c r="C41" s="5"/>
      <c r="D41" s="5"/>
      <c r="E41" s="36"/>
      <c r="F41" s="25" t="s">
        <v>30</v>
      </c>
      <c r="G41" s="4"/>
      <c r="H41" s="4">
        <v>374</v>
      </c>
      <c r="I41" s="4"/>
      <c r="J41" s="13"/>
      <c r="K41" s="13" t="s">
        <v>21</v>
      </c>
      <c r="L41" s="64">
        <f>125.81*1000</f>
        <v>125810</v>
      </c>
      <c r="M41" s="13">
        <f>L41*H41</f>
        <v>47052940</v>
      </c>
      <c r="N41" s="14">
        <v>1.6E-2</v>
      </c>
      <c r="O41" s="15">
        <f t="shared" si="62"/>
        <v>752847.04</v>
      </c>
      <c r="P41" s="14">
        <v>2.3300000000000001E-2</v>
      </c>
      <c r="Q41" s="3">
        <f t="shared" si="63"/>
        <v>1096333.5020000001</v>
      </c>
      <c r="R41" s="14">
        <v>7.0000000000000001E-3</v>
      </c>
      <c r="S41" s="3">
        <f t="shared" si="64"/>
        <v>329370.58</v>
      </c>
      <c r="T41" s="14">
        <v>6.9999999999999999E-4</v>
      </c>
      <c r="U41" s="3">
        <f t="shared" si="65"/>
        <v>32937.057999999997</v>
      </c>
      <c r="V41" s="14">
        <v>1E-3</v>
      </c>
      <c r="W41" s="3">
        <f t="shared" si="66"/>
        <v>47052.94</v>
      </c>
      <c r="X41" s="14">
        <v>1.4E-3</v>
      </c>
      <c r="Y41" s="3">
        <f t="shared" si="67"/>
        <v>65874.115999999995</v>
      </c>
      <c r="Z41" s="7" t="e">
        <f>#REF!+#REF!+#REF!+#REF!+#REF!+#REF!+#REF!+#REF!+#REF!+#REF!+#REF!+#REF!</f>
        <v>#REF!</v>
      </c>
      <c r="AA41" s="1" t="e">
        <f>#REF!+#REF!+#REF!+#REF!+#REF!+#REF!+#REF!+#REF!+#REF!+#REF!+#REF!+#REF!-M41</f>
        <v>#REF!</v>
      </c>
      <c r="AB41" s="1" t="e">
        <f>Y41+W41+U41+S41+Q41+O41-#REF!</f>
        <v>#REF!</v>
      </c>
    </row>
    <row r="42" spans="3:28" x14ac:dyDescent="0.25">
      <c r="C42" s="5"/>
      <c r="D42" s="5"/>
      <c r="E42" s="36"/>
      <c r="F42" s="26" t="s">
        <v>28</v>
      </c>
      <c r="G42" s="4"/>
      <c r="H42" s="4"/>
      <c r="I42" s="4">
        <f>72*3*6</f>
        <v>1296</v>
      </c>
      <c r="J42" s="4"/>
      <c r="K42" s="4" t="s">
        <v>25</v>
      </c>
      <c r="L42" s="60">
        <f>276.67*1000</f>
        <v>276670</v>
      </c>
      <c r="M42" s="4">
        <f>L42*I42</f>
        <v>358564320</v>
      </c>
      <c r="N42" s="6">
        <v>1.5900000000000001E-2</v>
      </c>
      <c r="O42" s="3">
        <f t="shared" ref="O42:O43" si="68">N42*$M42</f>
        <v>5701172.6880000001</v>
      </c>
      <c r="P42" s="6">
        <v>2.4500000000000001E-2</v>
      </c>
      <c r="Q42" s="3">
        <f t="shared" ref="Q42:Q43" si="69">P42*$M42</f>
        <v>8784825.8399999999</v>
      </c>
      <c r="R42" s="6">
        <v>2.8999999999999998E-3</v>
      </c>
      <c r="S42" s="3">
        <f t="shared" ref="S42:S43" si="70">R42*$M42</f>
        <v>1039836.5279999999</v>
      </c>
      <c r="T42" s="6">
        <v>5.0000000000000001E-4</v>
      </c>
      <c r="U42" s="3">
        <f t="shared" ref="U42:U43" si="71">T42*$M42</f>
        <v>179282.16</v>
      </c>
      <c r="V42" s="6">
        <v>1.1000000000000001E-3</v>
      </c>
      <c r="W42" s="3">
        <f t="shared" ref="W42:W43" si="72">V42*$M42</f>
        <v>394420.75200000004</v>
      </c>
      <c r="X42" s="6">
        <v>1.4E-3</v>
      </c>
      <c r="Y42" s="3">
        <f t="shared" ref="Y42:Y43" si="73">X42*$M42</f>
        <v>501990.04800000001</v>
      </c>
      <c r="Z42" s="7" t="e">
        <f>#REF!+#REF!+#REF!+#REF!+#REF!+#REF!+#REF!+#REF!+#REF!+#REF!+#REF!+#REF!</f>
        <v>#REF!</v>
      </c>
      <c r="AA42" s="1" t="e">
        <f>#REF!+#REF!+#REF!+#REF!+#REF!+#REF!+#REF!+#REF!+#REF!+#REF!+#REF!+#REF!-M42</f>
        <v>#REF!</v>
      </c>
      <c r="AB42" s="1" t="e">
        <f>Y42+W42+U42+S42+Q42+O42-#REF!</f>
        <v>#REF!</v>
      </c>
    </row>
    <row r="43" spans="3:28" x14ac:dyDescent="0.25">
      <c r="C43" s="5"/>
      <c r="D43" s="5"/>
      <c r="E43" s="36"/>
      <c r="F43" s="46" t="s">
        <v>29</v>
      </c>
      <c r="G43" s="4"/>
      <c r="H43" s="4"/>
      <c r="I43" s="4"/>
      <c r="J43" s="4">
        <v>9500</v>
      </c>
      <c r="K43" s="4" t="s">
        <v>37</v>
      </c>
      <c r="L43" s="60">
        <v>382230</v>
      </c>
      <c r="M43" s="4">
        <f>J43*L43/100</f>
        <v>36311850</v>
      </c>
      <c r="N43" s="11">
        <v>1.8100000000000002E-2</v>
      </c>
      <c r="O43" s="3">
        <f t="shared" si="68"/>
        <v>657244.4850000001</v>
      </c>
      <c r="P43" s="11">
        <v>3.0000000000000001E-3</v>
      </c>
      <c r="Q43" s="3">
        <f t="shared" si="69"/>
        <v>108935.55</v>
      </c>
      <c r="R43" s="11">
        <v>7.6E-3</v>
      </c>
      <c r="S43" s="3">
        <f t="shared" si="70"/>
        <v>275970.06</v>
      </c>
      <c r="T43" s="11">
        <v>5.1000000000000004E-3</v>
      </c>
      <c r="U43" s="3">
        <f t="shared" si="71"/>
        <v>185190.43500000003</v>
      </c>
      <c r="V43" s="11"/>
      <c r="W43" s="3">
        <f t="shared" si="72"/>
        <v>0</v>
      </c>
      <c r="X43" s="11">
        <v>1.4E-3</v>
      </c>
      <c r="Y43" s="3">
        <f t="shared" si="73"/>
        <v>50836.59</v>
      </c>
      <c r="Z43" s="7" t="e">
        <f>#REF!+#REF!+#REF!+#REF!+#REF!+#REF!+#REF!+#REF!+#REF!+#REF!+#REF!+#REF!</f>
        <v>#REF!</v>
      </c>
      <c r="AA43" s="1" t="e">
        <f>#REF!+#REF!+#REF!+#REF!+#REF!+#REF!+#REF!+#REF!+#REF!+#REF!+#REF!+#REF!-M43</f>
        <v>#REF!</v>
      </c>
      <c r="AB43" s="1" t="e">
        <f>Y43+W43+U43+S43+Q43+O43-#REF!</f>
        <v>#REF!</v>
      </c>
    </row>
    <row r="44" spans="3:28" ht="63.75" thickBot="1" x14ac:dyDescent="0.3">
      <c r="C44" s="17"/>
      <c r="D44" s="17"/>
      <c r="E44" s="37"/>
      <c r="F44" s="34" t="s">
        <v>15</v>
      </c>
      <c r="G44" s="29"/>
      <c r="H44" s="29"/>
      <c r="I44" s="29"/>
      <c r="J44" s="29"/>
      <c r="K44" s="29"/>
      <c r="L44" s="62"/>
      <c r="M44" s="29">
        <f>SUM(M40:M43)</f>
        <v>2668566910</v>
      </c>
      <c r="N44" s="30"/>
      <c r="O44" s="29">
        <f>SUM(O40:O43)</f>
        <v>42737469.012999997</v>
      </c>
      <c r="P44" s="30"/>
      <c r="Q44" s="29">
        <f>SUM(Q40:Q43)</f>
        <v>61870755.631999999</v>
      </c>
      <c r="R44" s="30"/>
      <c r="S44" s="29">
        <f>SUM(S40:S43)</f>
        <v>17231641.767999999</v>
      </c>
      <c r="T44" s="30"/>
      <c r="U44" s="29">
        <f>SUM(U40:U43)</f>
        <v>1956056.1129999999</v>
      </c>
      <c r="V44" s="30"/>
      <c r="W44" s="29">
        <f>SUM(W40:W43)</f>
        <v>2668111.4919999996</v>
      </c>
      <c r="X44" s="30"/>
      <c r="Y44" s="29">
        <f>SUM(Y40:Y43)</f>
        <v>3735993.6739999996</v>
      </c>
      <c r="Z44" s="7" t="e">
        <f>#REF!+#REF!+#REF!+#REF!+#REF!+#REF!+#REF!+#REF!+#REF!+#REF!+#REF!+#REF!</f>
        <v>#REF!</v>
      </c>
      <c r="AA44" s="1" t="e">
        <f>#REF!+#REF!+#REF!+#REF!+#REF!+#REF!+#REF!+#REF!+#REF!+#REF!+#REF!+#REF!-M44</f>
        <v>#REF!</v>
      </c>
      <c r="AB44" s="1" t="e">
        <f>Y44+W44+U44+S44+Q44+O44-#REF!</f>
        <v>#REF!</v>
      </c>
    </row>
    <row r="45" spans="3:28" ht="63" x14ac:dyDescent="0.25">
      <c r="C45" s="5" t="s">
        <v>12</v>
      </c>
      <c r="D45" s="5" t="s">
        <v>13</v>
      </c>
      <c r="E45" s="36" t="s">
        <v>9</v>
      </c>
      <c r="F45" s="33" t="s">
        <v>16</v>
      </c>
      <c r="G45" s="22">
        <v>19236.8</v>
      </c>
      <c r="H45" s="22">
        <v>12263</v>
      </c>
      <c r="I45" s="22"/>
      <c r="J45" s="22"/>
      <c r="K45" s="22" t="s">
        <v>21</v>
      </c>
      <c r="L45" s="63">
        <f>179.64*1000</f>
        <v>179640</v>
      </c>
      <c r="M45" s="22">
        <f>L45*H45</f>
        <v>2202925320</v>
      </c>
      <c r="N45" s="23">
        <v>1.6E-2</v>
      </c>
      <c r="O45" s="24">
        <f t="shared" ref="O45:O46" si="74">N45*$M45</f>
        <v>35246805.119999997</v>
      </c>
      <c r="P45" s="23">
        <v>2.3300000000000001E-2</v>
      </c>
      <c r="Q45" s="3">
        <f t="shared" ref="Q45:Q46" si="75">P45*$M45</f>
        <v>51328159.956</v>
      </c>
      <c r="R45" s="23">
        <v>7.0000000000000001E-3</v>
      </c>
      <c r="S45" s="3">
        <f t="shared" ref="S45:S46" si="76">R45*$M45</f>
        <v>15420477.24</v>
      </c>
      <c r="T45" s="23">
        <v>6.9999999999999999E-4</v>
      </c>
      <c r="U45" s="3">
        <f t="shared" ref="U45:U46" si="77">T45*$M45</f>
        <v>1542047.7239999999</v>
      </c>
      <c r="V45" s="23">
        <v>1E-3</v>
      </c>
      <c r="W45" s="3">
        <f t="shared" ref="W45:W46" si="78">V45*$M45</f>
        <v>2202925.3199999998</v>
      </c>
      <c r="X45" s="23">
        <v>1.4E-3</v>
      </c>
      <c r="Y45" s="3">
        <f t="shared" ref="Y45:Y46" si="79">X45*$M45</f>
        <v>3084095.4479999999</v>
      </c>
      <c r="Z45" s="7" t="e">
        <f>#REF!+#REF!+#REF!+#REF!+#REF!+#REF!+#REF!+#REF!+#REF!+#REF!+#REF!+#REF!</f>
        <v>#REF!</v>
      </c>
      <c r="AA45" s="1" t="e">
        <f>#REF!+#REF!+#REF!+#REF!+#REF!+#REF!+#REF!+#REF!+#REF!+#REF!+#REF!+#REF!-M45</f>
        <v>#REF!</v>
      </c>
      <c r="AB45" s="1" t="e">
        <f>Y45+W45+U45+S45+Q45+O45-#REF!</f>
        <v>#REF!</v>
      </c>
    </row>
    <row r="46" spans="3:28" ht="31.5" x14ac:dyDescent="0.25">
      <c r="C46" s="5"/>
      <c r="D46" s="5"/>
      <c r="E46" s="36"/>
      <c r="F46" s="25" t="s">
        <v>30</v>
      </c>
      <c r="G46" s="4"/>
      <c r="H46" s="4">
        <v>370</v>
      </c>
      <c r="I46" s="4"/>
      <c r="J46" s="13"/>
      <c r="K46" s="13" t="s">
        <v>21</v>
      </c>
      <c r="L46" s="64">
        <f>125.81*1000</f>
        <v>125810</v>
      </c>
      <c r="M46" s="13">
        <f>L46*H46</f>
        <v>46549700</v>
      </c>
      <c r="N46" s="14">
        <v>1.6E-2</v>
      </c>
      <c r="O46" s="15">
        <f t="shared" si="74"/>
        <v>744795.20000000007</v>
      </c>
      <c r="P46" s="14">
        <v>2.3300000000000001E-2</v>
      </c>
      <c r="Q46" s="3">
        <f t="shared" si="75"/>
        <v>1084608.01</v>
      </c>
      <c r="R46" s="14">
        <v>7.0000000000000001E-3</v>
      </c>
      <c r="S46" s="3">
        <f t="shared" si="76"/>
        <v>325847.90000000002</v>
      </c>
      <c r="T46" s="14">
        <v>6.9999999999999999E-4</v>
      </c>
      <c r="U46" s="3">
        <f t="shared" si="77"/>
        <v>32584.79</v>
      </c>
      <c r="V46" s="14">
        <v>1E-3</v>
      </c>
      <c r="W46" s="3">
        <f t="shared" si="78"/>
        <v>46549.700000000004</v>
      </c>
      <c r="X46" s="14">
        <v>1.4E-3</v>
      </c>
      <c r="Y46" s="3">
        <f t="shared" si="79"/>
        <v>65169.58</v>
      </c>
      <c r="Z46" s="7" t="e">
        <f>#REF!+#REF!+#REF!+#REF!+#REF!+#REF!+#REF!+#REF!+#REF!+#REF!+#REF!+#REF!</f>
        <v>#REF!</v>
      </c>
      <c r="AA46" s="1" t="e">
        <f>#REF!+#REF!+#REF!+#REF!+#REF!+#REF!+#REF!+#REF!+#REF!+#REF!+#REF!+#REF!-M46</f>
        <v>#REF!</v>
      </c>
      <c r="AB46" s="1" t="e">
        <f>Y46+W46+U46+S46+Q46+O46-#REF!</f>
        <v>#REF!</v>
      </c>
    </row>
    <row r="47" spans="3:28" x14ac:dyDescent="0.25">
      <c r="C47" s="5"/>
      <c r="D47" s="5"/>
      <c r="E47" s="36"/>
      <c r="F47" s="26" t="s">
        <v>28</v>
      </c>
      <c r="G47" s="4"/>
      <c r="H47" s="4"/>
      <c r="I47" s="4">
        <f>82*3*6</f>
        <v>1476</v>
      </c>
      <c r="J47" s="4"/>
      <c r="K47" s="4" t="s">
        <v>25</v>
      </c>
      <c r="L47" s="60">
        <f>276.67*1000</f>
        <v>276670</v>
      </c>
      <c r="M47" s="4">
        <f>L47*I47</f>
        <v>408364920</v>
      </c>
      <c r="N47" s="6">
        <v>1.5900000000000001E-2</v>
      </c>
      <c r="O47" s="3">
        <f t="shared" ref="O47:O48" si="80">N47*$M47</f>
        <v>6493002.2280000001</v>
      </c>
      <c r="P47" s="6">
        <v>2.4500000000000001E-2</v>
      </c>
      <c r="Q47" s="3">
        <f t="shared" ref="Q47:Q48" si="81">P47*$M47</f>
        <v>10004940.540000001</v>
      </c>
      <c r="R47" s="6">
        <v>2.8999999999999998E-3</v>
      </c>
      <c r="S47" s="3">
        <f t="shared" ref="S47:S48" si="82">R47*$M47</f>
        <v>1184258.2679999999</v>
      </c>
      <c r="T47" s="6">
        <v>5.0000000000000001E-4</v>
      </c>
      <c r="U47" s="3">
        <f t="shared" ref="U47:U48" si="83">T47*$M47</f>
        <v>204182.46</v>
      </c>
      <c r="V47" s="6">
        <v>1.1000000000000001E-3</v>
      </c>
      <c r="W47" s="3">
        <f t="shared" ref="W47:W48" si="84">V47*$M47</f>
        <v>449201.41200000001</v>
      </c>
      <c r="X47" s="6">
        <v>1.4E-3</v>
      </c>
      <c r="Y47" s="3">
        <f t="shared" ref="Y47:Y48" si="85">X47*$M47</f>
        <v>571710.88800000004</v>
      </c>
      <c r="Z47" s="7" t="e">
        <f>#REF!+#REF!+#REF!+#REF!+#REF!+#REF!+#REF!+#REF!+#REF!+#REF!+#REF!+#REF!</f>
        <v>#REF!</v>
      </c>
      <c r="AA47" s="1" t="e">
        <f>#REF!+#REF!+#REF!+#REF!+#REF!+#REF!+#REF!+#REF!+#REF!+#REF!+#REF!+#REF!-M47</f>
        <v>#REF!</v>
      </c>
      <c r="AB47" s="1" t="e">
        <f>Y47+W47+U47+S47+Q47+O47-#REF!</f>
        <v>#REF!</v>
      </c>
    </row>
    <row r="48" spans="3:28" x14ac:dyDescent="0.25">
      <c r="C48" s="5"/>
      <c r="D48" s="5"/>
      <c r="E48" s="36"/>
      <c r="F48" s="44" t="s">
        <v>29</v>
      </c>
      <c r="G48" s="4"/>
      <c r="H48" s="4"/>
      <c r="I48" s="4"/>
      <c r="J48" s="47">
        <f>9500*0</f>
        <v>0</v>
      </c>
      <c r="K48" s="4" t="s">
        <v>37</v>
      </c>
      <c r="L48" s="60">
        <v>382230</v>
      </c>
      <c r="M48" s="4">
        <f>J48*L48/100</f>
        <v>0</v>
      </c>
      <c r="N48" s="11">
        <v>1.8100000000000002E-2</v>
      </c>
      <c r="O48" s="3">
        <f t="shared" si="80"/>
        <v>0</v>
      </c>
      <c r="P48" s="11">
        <v>3.0000000000000001E-3</v>
      </c>
      <c r="Q48" s="3">
        <f t="shared" si="81"/>
        <v>0</v>
      </c>
      <c r="R48" s="11">
        <v>7.6E-3</v>
      </c>
      <c r="S48" s="3">
        <f t="shared" si="82"/>
        <v>0</v>
      </c>
      <c r="T48" s="11">
        <v>5.1000000000000004E-3</v>
      </c>
      <c r="U48" s="3">
        <f t="shared" si="83"/>
        <v>0</v>
      </c>
      <c r="V48" s="11"/>
      <c r="W48" s="3">
        <f t="shared" si="84"/>
        <v>0</v>
      </c>
      <c r="X48" s="11">
        <v>1.4E-3</v>
      </c>
      <c r="Y48" s="3">
        <f t="shared" si="85"/>
        <v>0</v>
      </c>
      <c r="Z48" s="7" t="e">
        <f>#REF!+#REF!+#REF!+#REF!+#REF!+#REF!+#REF!+#REF!+#REF!+#REF!+#REF!+#REF!</f>
        <v>#REF!</v>
      </c>
      <c r="AA48" s="1" t="e">
        <f>#REF!+#REF!+#REF!+#REF!+#REF!+#REF!+#REF!+#REF!+#REF!+#REF!+#REF!+#REF!-M48</f>
        <v>#REF!</v>
      </c>
      <c r="AB48" s="1" t="e">
        <f>Y48+W48+U48+S48+Q48+O48-#REF!</f>
        <v>#REF!</v>
      </c>
    </row>
    <row r="49" spans="3:28" ht="63.75" thickBot="1" x14ac:dyDescent="0.3">
      <c r="C49" s="17"/>
      <c r="D49" s="17"/>
      <c r="E49" s="37"/>
      <c r="F49" s="34" t="s">
        <v>16</v>
      </c>
      <c r="G49" s="29"/>
      <c r="H49" s="29"/>
      <c r="I49" s="29"/>
      <c r="J49" s="29"/>
      <c r="K49" s="29"/>
      <c r="L49" s="62"/>
      <c r="M49" s="29">
        <f>SUM(M45:M48)</f>
        <v>2657839940</v>
      </c>
      <c r="N49" s="30"/>
      <c r="O49" s="29">
        <f>SUM(O45:O48)</f>
        <v>42484602.548</v>
      </c>
      <c r="P49" s="30"/>
      <c r="Q49" s="29">
        <f>SUM(Q45:Q48)</f>
        <v>62417708.505999997</v>
      </c>
      <c r="R49" s="30"/>
      <c r="S49" s="29">
        <f>SUM(S45:S48)</f>
        <v>16930583.408</v>
      </c>
      <c r="T49" s="30"/>
      <c r="U49" s="29">
        <f>SUM(U45:U48)</f>
        <v>1778814.9739999999</v>
      </c>
      <c r="V49" s="30"/>
      <c r="W49" s="29">
        <f>SUM(W45:W48)</f>
        <v>2698676.432</v>
      </c>
      <c r="X49" s="30"/>
      <c r="Y49" s="29">
        <f>SUM(Y45:Y48)</f>
        <v>3720975.9160000002</v>
      </c>
      <c r="Z49" s="7" t="e">
        <f>#REF!+#REF!+#REF!+#REF!+#REF!+#REF!+#REF!+#REF!+#REF!+#REF!+#REF!+#REF!</f>
        <v>#REF!</v>
      </c>
      <c r="AA49" s="1" t="e">
        <f>#REF!+#REF!+#REF!+#REF!+#REF!+#REF!+#REF!+#REF!+#REF!+#REF!+#REF!+#REF!-M49</f>
        <v>#REF!</v>
      </c>
      <c r="AB49" s="1" t="e">
        <f>Y49+W49+U49+S49+Q49+O49-#REF!</f>
        <v>#REF!</v>
      </c>
    </row>
    <row r="50" spans="3:28" ht="63" x14ac:dyDescent="0.25">
      <c r="C50" s="5" t="s">
        <v>14</v>
      </c>
      <c r="D50" s="5" t="s">
        <v>13</v>
      </c>
      <c r="E50" s="36" t="s">
        <v>2</v>
      </c>
      <c r="F50" s="33" t="s">
        <v>17</v>
      </c>
      <c r="G50" s="22">
        <v>19421.36</v>
      </c>
      <c r="H50" s="22">
        <v>12070</v>
      </c>
      <c r="I50" s="22"/>
      <c r="J50" s="22"/>
      <c r="K50" s="22" t="s">
        <v>21</v>
      </c>
      <c r="L50" s="63">
        <f>179.64*1000</f>
        <v>179640</v>
      </c>
      <c r="M50" s="22">
        <f>L50*H50</f>
        <v>2168254800</v>
      </c>
      <c r="N50" s="23">
        <v>1.6E-2</v>
      </c>
      <c r="O50" s="24">
        <f t="shared" ref="O50:O51" si="86">N50*$M50</f>
        <v>34692076.799999997</v>
      </c>
      <c r="P50" s="23">
        <v>2.3300000000000001E-2</v>
      </c>
      <c r="Q50" s="3">
        <f t="shared" ref="Q50:Q51" si="87">P50*$M50</f>
        <v>50520336.840000004</v>
      </c>
      <c r="R50" s="23">
        <v>7.0000000000000001E-3</v>
      </c>
      <c r="S50" s="3">
        <f t="shared" ref="S50:S51" si="88">R50*$M50</f>
        <v>15177783.6</v>
      </c>
      <c r="T50" s="23">
        <v>6.9999999999999999E-4</v>
      </c>
      <c r="U50" s="3">
        <f t="shared" ref="U50:U51" si="89">T50*$M50</f>
        <v>1517778.3599999999</v>
      </c>
      <c r="V50" s="23">
        <v>1E-3</v>
      </c>
      <c r="W50" s="3">
        <f t="shared" ref="W50:W51" si="90">V50*$M50</f>
        <v>2168254.7999999998</v>
      </c>
      <c r="X50" s="23">
        <v>1.4E-3</v>
      </c>
      <c r="Y50" s="3">
        <f t="shared" ref="Y50:Y51" si="91">X50*$M50</f>
        <v>3035556.7199999997</v>
      </c>
      <c r="Z50" s="7" t="e">
        <f>#REF!+#REF!+#REF!+#REF!+#REF!+#REF!+#REF!+#REF!+#REF!+#REF!+#REF!+#REF!</f>
        <v>#REF!</v>
      </c>
      <c r="AA50" s="1" t="e">
        <f>#REF!+#REF!+#REF!+#REF!+#REF!+#REF!+#REF!+#REF!+#REF!+#REF!+#REF!+#REF!-M50</f>
        <v>#REF!</v>
      </c>
      <c r="AB50" s="1" t="e">
        <f>Y50+W50+U50+S50+Q50+O50-#REF!</f>
        <v>#REF!</v>
      </c>
    </row>
    <row r="51" spans="3:28" ht="31.5" x14ac:dyDescent="0.25">
      <c r="C51" s="5"/>
      <c r="D51" s="5"/>
      <c r="E51" s="36"/>
      <c r="F51" s="25" t="s">
        <v>30</v>
      </c>
      <c r="G51" s="4"/>
      <c r="H51" s="4">
        <v>380</v>
      </c>
      <c r="I51" s="4"/>
      <c r="J51" s="13"/>
      <c r="K51" s="13" t="s">
        <v>21</v>
      </c>
      <c r="L51" s="64">
        <f>125.81*1000</f>
        <v>125810</v>
      </c>
      <c r="M51" s="13">
        <f>L51*H51</f>
        <v>47807800</v>
      </c>
      <c r="N51" s="14">
        <v>1.6E-2</v>
      </c>
      <c r="O51" s="15">
        <f t="shared" si="86"/>
        <v>764924.8</v>
      </c>
      <c r="P51" s="14">
        <v>2.3300000000000001E-2</v>
      </c>
      <c r="Q51" s="3">
        <f t="shared" si="87"/>
        <v>1113921.74</v>
      </c>
      <c r="R51" s="14">
        <v>7.0000000000000001E-3</v>
      </c>
      <c r="S51" s="3">
        <f t="shared" si="88"/>
        <v>334654.60000000003</v>
      </c>
      <c r="T51" s="14">
        <v>6.9999999999999999E-4</v>
      </c>
      <c r="U51" s="3">
        <f t="shared" si="89"/>
        <v>33465.46</v>
      </c>
      <c r="V51" s="14">
        <v>1E-3</v>
      </c>
      <c r="W51" s="3">
        <f t="shared" si="90"/>
        <v>47807.8</v>
      </c>
      <c r="X51" s="14">
        <v>1.4E-3</v>
      </c>
      <c r="Y51" s="3">
        <f t="shared" si="91"/>
        <v>66930.92</v>
      </c>
      <c r="Z51" s="7" t="e">
        <f>#REF!+#REF!+#REF!+#REF!+#REF!+#REF!+#REF!+#REF!+#REF!+#REF!+#REF!+#REF!</f>
        <v>#REF!</v>
      </c>
      <c r="AA51" s="1" t="e">
        <f>#REF!+#REF!+#REF!+#REF!+#REF!+#REF!+#REF!+#REF!+#REF!+#REF!+#REF!+#REF!-M51</f>
        <v>#REF!</v>
      </c>
      <c r="AB51" s="1" t="e">
        <f>Y51+W51+U51+S51+Q51+O51-#REF!</f>
        <v>#REF!</v>
      </c>
    </row>
    <row r="52" spans="3:28" x14ac:dyDescent="0.25">
      <c r="C52" s="2"/>
      <c r="D52" s="2"/>
      <c r="E52" s="18"/>
      <c r="F52" s="26" t="s">
        <v>28</v>
      </c>
      <c r="G52" s="2"/>
      <c r="H52" s="2"/>
      <c r="I52" s="4">
        <v>0</v>
      </c>
      <c r="J52" s="4"/>
      <c r="K52" s="4" t="s">
        <v>25</v>
      </c>
      <c r="L52" s="60">
        <f>276.67*1000</f>
        <v>276670</v>
      </c>
      <c r="M52" s="4">
        <f>L52*I52</f>
        <v>0</v>
      </c>
      <c r="N52" s="6">
        <v>1.5900000000000001E-2</v>
      </c>
      <c r="O52" s="3">
        <f t="shared" ref="O52:O53" si="92">N52*$M52</f>
        <v>0</v>
      </c>
      <c r="P52" s="6">
        <v>2.4500000000000001E-2</v>
      </c>
      <c r="Q52" s="3">
        <f t="shared" ref="Q52:Q53" si="93">P52*$M52</f>
        <v>0</v>
      </c>
      <c r="R52" s="6">
        <v>2.8999999999999998E-3</v>
      </c>
      <c r="S52" s="3">
        <f t="shared" ref="S52:S53" si="94">R52*$M52</f>
        <v>0</v>
      </c>
      <c r="T52" s="6">
        <v>5.0000000000000001E-4</v>
      </c>
      <c r="U52" s="3">
        <f t="shared" ref="U52:U53" si="95">T52*$M52</f>
        <v>0</v>
      </c>
      <c r="V52" s="6">
        <v>1.1000000000000001E-3</v>
      </c>
      <c r="W52" s="3">
        <f t="shared" ref="W52:W53" si="96">V52*$M52</f>
        <v>0</v>
      </c>
      <c r="X52" s="6">
        <v>1.4E-3</v>
      </c>
      <c r="Y52" s="3">
        <f t="shared" ref="Y52:Y53" si="97">X52*$M52</f>
        <v>0</v>
      </c>
      <c r="Z52" s="7" t="e">
        <f>#REF!+#REF!+#REF!+#REF!+#REF!+#REF!+#REF!+#REF!+#REF!+#REF!+#REF!+#REF!</f>
        <v>#REF!</v>
      </c>
      <c r="AA52" s="1" t="e">
        <f>#REF!+#REF!+#REF!+#REF!+#REF!+#REF!+#REF!+#REF!+#REF!+#REF!+#REF!+#REF!-M52</f>
        <v>#REF!</v>
      </c>
      <c r="AB52" s="1" t="e">
        <f>Y52+W52+U52+S52+Q52+O52-#REF!</f>
        <v>#REF!</v>
      </c>
    </row>
    <row r="53" spans="3:28" x14ac:dyDescent="0.25">
      <c r="C53" s="2"/>
      <c r="D53" s="2"/>
      <c r="E53" s="18"/>
      <c r="F53" s="44" t="s">
        <v>29</v>
      </c>
      <c r="G53" s="51"/>
      <c r="H53" s="51"/>
      <c r="I53" s="51"/>
      <c r="J53" s="47">
        <v>21736</v>
      </c>
      <c r="K53" s="2"/>
      <c r="L53" s="60">
        <v>382230</v>
      </c>
      <c r="M53" s="4">
        <f>J53*L53/100</f>
        <v>83081512.799999997</v>
      </c>
      <c r="N53" s="11">
        <v>1.8100000000000002E-2</v>
      </c>
      <c r="O53" s="3">
        <f t="shared" si="92"/>
        <v>1503775.3816800001</v>
      </c>
      <c r="P53" s="11">
        <v>3.0000000000000001E-3</v>
      </c>
      <c r="Q53" s="3">
        <f t="shared" si="93"/>
        <v>249244.53839999999</v>
      </c>
      <c r="R53" s="11">
        <v>7.6E-3</v>
      </c>
      <c r="S53" s="3">
        <f t="shared" si="94"/>
        <v>631419.49728000001</v>
      </c>
      <c r="T53" s="11">
        <v>5.1000000000000004E-3</v>
      </c>
      <c r="U53" s="3">
        <f t="shared" si="95"/>
        <v>423715.71528</v>
      </c>
      <c r="V53" s="11"/>
      <c r="W53" s="3">
        <f t="shared" si="96"/>
        <v>0</v>
      </c>
      <c r="X53" s="11">
        <v>1.4E-3</v>
      </c>
      <c r="Y53" s="3">
        <f t="shared" si="97"/>
        <v>116314.11791999999</v>
      </c>
      <c r="Z53" s="7" t="e">
        <f>#REF!+#REF!+#REF!+#REF!+#REF!+#REF!+#REF!+#REF!+#REF!+#REF!+#REF!+#REF!</f>
        <v>#REF!</v>
      </c>
      <c r="AA53" s="1" t="e">
        <f>#REF!+#REF!+#REF!+#REF!+#REF!+#REF!+#REF!+#REF!+#REF!+#REF!+#REF!+#REF!-M53</f>
        <v>#REF!</v>
      </c>
      <c r="AB53" s="1" t="e">
        <f>Y53+W53+U53+S53+Q53+O53-#REF!</f>
        <v>#REF!</v>
      </c>
    </row>
    <row r="54" spans="3:28" ht="63.75" thickBot="1" x14ac:dyDescent="0.3">
      <c r="C54" s="16"/>
      <c r="D54" s="16"/>
      <c r="E54" s="20"/>
      <c r="F54" s="34" t="s">
        <v>17</v>
      </c>
      <c r="G54" s="38"/>
      <c r="H54" s="38"/>
      <c r="I54" s="38"/>
      <c r="J54" s="38"/>
      <c r="K54" s="38"/>
      <c r="L54" s="65"/>
      <c r="M54" s="29">
        <f>SUM(M50:M53)</f>
        <v>2299144112.8000002</v>
      </c>
      <c r="N54" s="30"/>
      <c r="O54" s="29">
        <f>SUM(O50:O53)</f>
        <v>36960776.981679991</v>
      </c>
      <c r="P54" s="30"/>
      <c r="Q54" s="29">
        <f>SUM(Q50:Q53)</f>
        <v>51883503.118400007</v>
      </c>
      <c r="R54" s="30"/>
      <c r="S54" s="29">
        <f>SUM(S50:S53)</f>
        <v>16143857.697279999</v>
      </c>
      <c r="T54" s="30"/>
      <c r="U54" s="29">
        <f>SUM(U50:U53)</f>
        <v>1974959.53528</v>
      </c>
      <c r="V54" s="30"/>
      <c r="W54" s="29">
        <f>SUM(W50:W53)</f>
        <v>2216062.5999999996</v>
      </c>
      <c r="X54" s="30"/>
      <c r="Y54" s="29">
        <f>SUM(Y50:Y53)</f>
        <v>3218801.7579199998</v>
      </c>
      <c r="Z54" s="7" t="e">
        <f>#REF!+#REF!+#REF!+#REF!+#REF!+#REF!+#REF!+#REF!+#REF!+#REF!+#REF!+#REF!</f>
        <v>#REF!</v>
      </c>
      <c r="AA54" s="1" t="e">
        <f>#REF!+#REF!+#REF!+#REF!+#REF!+#REF!+#REF!+#REF!+#REF!+#REF!+#REF!+#REF!-M54</f>
        <v>#REF!</v>
      </c>
      <c r="AB54" s="1" t="e">
        <f>Y54+W54+U54+S54+Q54+O54-#REF!</f>
        <v>#REF!</v>
      </c>
    </row>
    <row r="55" spans="3:28" x14ac:dyDescent="0.25">
      <c r="F55" s="33" t="s">
        <v>32</v>
      </c>
      <c r="G55" s="22">
        <v>45794.5</v>
      </c>
      <c r="H55" s="22">
        <v>29194</v>
      </c>
      <c r="I55" s="22"/>
      <c r="J55" s="22"/>
      <c r="K55" s="22" t="s">
        <v>21</v>
      </c>
      <c r="L55" s="63">
        <f>179.64*1000</f>
        <v>179640</v>
      </c>
      <c r="M55" s="22">
        <f>L55*H55</f>
        <v>5244410160</v>
      </c>
      <c r="N55" s="23">
        <v>1.6E-2</v>
      </c>
      <c r="O55" s="24">
        <f t="shared" ref="O55:O56" si="98">N55*$M55</f>
        <v>83910562.560000002</v>
      </c>
      <c r="P55" s="23">
        <v>2.3300000000000001E-2</v>
      </c>
      <c r="Q55" s="3">
        <f t="shared" ref="Q55:Q56" si="99">P55*$M55</f>
        <v>122194756.728</v>
      </c>
      <c r="R55" s="23">
        <v>7.0000000000000001E-3</v>
      </c>
      <c r="S55" s="3">
        <f t="shared" ref="S55:S56" si="100">R55*$M55</f>
        <v>36710871.119999997</v>
      </c>
      <c r="T55" s="23">
        <v>6.9999999999999999E-4</v>
      </c>
      <c r="U55" s="3">
        <f t="shared" ref="U55:U56" si="101">T55*$M55</f>
        <v>3671087.1119999997</v>
      </c>
      <c r="V55" s="23">
        <v>1E-3</v>
      </c>
      <c r="W55" s="3">
        <f t="shared" ref="W55:W56" si="102">V55*$M55</f>
        <v>5244410.16</v>
      </c>
      <c r="X55" s="23">
        <v>1.4E-3</v>
      </c>
      <c r="Y55" s="3">
        <f t="shared" ref="Y55:Y56" si="103">X55*$M55</f>
        <v>7342174.2239999995</v>
      </c>
      <c r="Z55" s="7" t="e">
        <f>#REF!+#REF!+#REF!+#REF!+#REF!+#REF!+#REF!+#REF!+#REF!+#REF!+#REF!+#REF!</f>
        <v>#REF!</v>
      </c>
      <c r="AA55" s="1" t="e">
        <f>#REF!+#REF!+#REF!+#REF!+#REF!+#REF!+#REF!+#REF!+#REF!+#REF!+#REF!+#REF!-M55</f>
        <v>#REF!</v>
      </c>
      <c r="AB55" s="1" t="e">
        <f>Y55+W55+U55+S55+Q55+O55-#REF!</f>
        <v>#REF!</v>
      </c>
    </row>
    <row r="56" spans="3:28" ht="31.5" x14ac:dyDescent="0.25">
      <c r="F56" s="25" t="s">
        <v>30</v>
      </c>
      <c r="G56" s="4"/>
      <c r="H56" s="4">
        <v>880.5</v>
      </c>
      <c r="I56" s="4"/>
      <c r="J56" s="13"/>
      <c r="K56" s="13" t="s">
        <v>21</v>
      </c>
      <c r="L56" s="64">
        <f>125.81*1000</f>
        <v>125810</v>
      </c>
      <c r="M56" s="13">
        <f>L56*H56</f>
        <v>110775705</v>
      </c>
      <c r="N56" s="14">
        <v>1.6E-2</v>
      </c>
      <c r="O56" s="15">
        <f t="shared" si="98"/>
        <v>1772411.28</v>
      </c>
      <c r="P56" s="14">
        <v>2.3300000000000001E-2</v>
      </c>
      <c r="Q56" s="3">
        <f t="shared" si="99"/>
        <v>2581073.9265000001</v>
      </c>
      <c r="R56" s="14">
        <v>7.0000000000000001E-3</v>
      </c>
      <c r="S56" s="3">
        <f t="shared" si="100"/>
        <v>775429.93500000006</v>
      </c>
      <c r="T56" s="14">
        <v>6.9999999999999999E-4</v>
      </c>
      <c r="U56" s="3">
        <f t="shared" si="101"/>
        <v>77542.993499999997</v>
      </c>
      <c r="V56" s="14">
        <v>1E-3</v>
      </c>
      <c r="W56" s="3">
        <f t="shared" si="102"/>
        <v>110775.705</v>
      </c>
      <c r="X56" s="14">
        <v>1.4E-3</v>
      </c>
      <c r="Y56" s="3">
        <f t="shared" si="103"/>
        <v>155085.98699999999</v>
      </c>
      <c r="Z56" s="7" t="e">
        <f>#REF!+#REF!+#REF!+#REF!+#REF!+#REF!+#REF!+#REF!+#REF!+#REF!+#REF!+#REF!</f>
        <v>#REF!</v>
      </c>
      <c r="AA56" s="1" t="e">
        <f>#REF!+#REF!+#REF!+#REF!+#REF!+#REF!+#REF!+#REF!+#REF!+#REF!+#REF!+#REF!-M56</f>
        <v>#REF!</v>
      </c>
      <c r="AB56" s="1" t="e">
        <f>Y56+W56+U56+S56+Q56+O56-#REF!</f>
        <v>#REF!</v>
      </c>
    </row>
    <row r="57" spans="3:28" x14ac:dyDescent="0.25">
      <c r="F57" s="26" t="s">
        <v>28</v>
      </c>
      <c r="G57" s="2"/>
      <c r="H57" s="2"/>
      <c r="I57" s="4">
        <f>73*3*6</f>
        <v>1314</v>
      </c>
      <c r="J57" s="4"/>
      <c r="K57" s="4" t="s">
        <v>25</v>
      </c>
      <c r="L57" s="60">
        <f>276.67*1000</f>
        <v>276670</v>
      </c>
      <c r="M57" s="4">
        <f>L57*I57</f>
        <v>363544380</v>
      </c>
      <c r="N57" s="6">
        <v>1.5900000000000001E-2</v>
      </c>
      <c r="O57" s="3">
        <f t="shared" ref="O57:O58" si="104">N57*$M57</f>
        <v>5780355.642</v>
      </c>
      <c r="P57" s="6">
        <v>2.4500000000000001E-2</v>
      </c>
      <c r="Q57" s="3">
        <f t="shared" ref="Q57:Q58" si="105">P57*$M57</f>
        <v>8906837.3100000005</v>
      </c>
      <c r="R57" s="6">
        <v>2.8999999999999998E-3</v>
      </c>
      <c r="S57" s="3">
        <f t="shared" ref="S57:S58" si="106">R57*$M57</f>
        <v>1054278.7019999998</v>
      </c>
      <c r="T57" s="6">
        <v>5.0000000000000001E-4</v>
      </c>
      <c r="U57" s="3">
        <f t="shared" ref="U57:U58" si="107">T57*$M57</f>
        <v>181772.19</v>
      </c>
      <c r="V57" s="6">
        <v>1.1000000000000001E-3</v>
      </c>
      <c r="W57" s="3">
        <f t="shared" ref="W57:W58" si="108">V57*$M57</f>
        <v>399898.81800000003</v>
      </c>
      <c r="X57" s="6">
        <v>1.4E-3</v>
      </c>
      <c r="Y57" s="3">
        <f t="shared" ref="Y57:Y58" si="109">X57*$M57</f>
        <v>508962.13199999998</v>
      </c>
      <c r="Z57" s="7" t="e">
        <f>#REF!+#REF!+#REF!+#REF!+#REF!+#REF!+#REF!+#REF!+#REF!+#REF!+#REF!+#REF!</f>
        <v>#REF!</v>
      </c>
      <c r="AA57" s="1" t="e">
        <f>#REF!+#REF!+#REF!+#REF!+#REF!+#REF!+#REF!+#REF!+#REF!+#REF!+#REF!+#REF!-M57</f>
        <v>#REF!</v>
      </c>
      <c r="AB57" s="1" t="e">
        <f>Y57+W57+U57+S57+Q57+O57-#REF!</f>
        <v>#REF!</v>
      </c>
    </row>
    <row r="58" spans="3:28" ht="16.5" thickBot="1" x14ac:dyDescent="0.3">
      <c r="F58" s="46" t="s">
        <v>29</v>
      </c>
      <c r="G58" s="2"/>
      <c r="H58" s="2"/>
      <c r="I58" s="2"/>
      <c r="J58" s="4">
        <v>9500</v>
      </c>
      <c r="K58" s="4" t="s">
        <v>37</v>
      </c>
      <c r="L58" s="60">
        <v>382230</v>
      </c>
      <c r="M58" s="4">
        <f>J58*L58/100</f>
        <v>36311850</v>
      </c>
      <c r="N58" s="11">
        <v>1.8100000000000002E-2</v>
      </c>
      <c r="O58" s="3">
        <f t="shared" si="104"/>
        <v>657244.4850000001</v>
      </c>
      <c r="P58" s="11">
        <v>3.0000000000000001E-3</v>
      </c>
      <c r="Q58" s="3">
        <f t="shared" si="105"/>
        <v>108935.55</v>
      </c>
      <c r="R58" s="11">
        <v>7.6E-3</v>
      </c>
      <c r="S58" s="3">
        <f t="shared" si="106"/>
        <v>275970.06</v>
      </c>
      <c r="T58" s="11">
        <v>5.1000000000000004E-3</v>
      </c>
      <c r="U58" s="3">
        <f t="shared" si="107"/>
        <v>185190.43500000003</v>
      </c>
      <c r="V58" s="11"/>
      <c r="W58" s="3">
        <f t="shared" si="108"/>
        <v>0</v>
      </c>
      <c r="X58" s="11">
        <v>1.4E-3</v>
      </c>
      <c r="Y58" s="3">
        <f t="shared" si="109"/>
        <v>50836.59</v>
      </c>
      <c r="Z58" s="7" t="e">
        <f>#REF!+#REF!+#REF!+#REF!+#REF!+#REF!+#REF!+#REF!+#REF!+#REF!+#REF!+#REF!</f>
        <v>#REF!</v>
      </c>
      <c r="AA58" s="1" t="e">
        <f>#REF!+#REF!+#REF!+#REF!+#REF!+#REF!+#REF!+#REF!+#REF!+#REF!+#REF!+#REF!-M58</f>
        <v>#REF!</v>
      </c>
      <c r="AB58" s="1" t="e">
        <f>Y58+W58+U58+S58+Q58+O58-#REF!</f>
        <v>#REF!</v>
      </c>
    </row>
    <row r="59" spans="3:28" ht="16.5" thickBot="1" x14ac:dyDescent="0.3">
      <c r="F59" s="48" t="s">
        <v>32</v>
      </c>
      <c r="G59" s="38"/>
      <c r="H59" s="38"/>
      <c r="I59" s="38"/>
      <c r="J59" s="38"/>
      <c r="K59" s="38"/>
      <c r="L59" s="65"/>
      <c r="M59" s="29">
        <f>SUM(M55:M58)</f>
        <v>5755042095</v>
      </c>
      <c r="N59" s="30"/>
      <c r="O59" s="29">
        <f>SUM(O55:O58)</f>
        <v>92120573.967000008</v>
      </c>
      <c r="P59" s="30"/>
      <c r="Q59" s="29">
        <f>SUM(Q55:Q58)</f>
        <v>133791603.51450001</v>
      </c>
      <c r="R59" s="30"/>
      <c r="S59" s="29">
        <f>SUM(S55:S58)</f>
        <v>38816549.817000002</v>
      </c>
      <c r="T59" s="30"/>
      <c r="U59" s="29">
        <f>SUM(U55:U58)</f>
        <v>4115592.7304999996</v>
      </c>
      <c r="V59" s="30"/>
      <c r="W59" s="29">
        <f>SUM(W55:W58)</f>
        <v>5755084.6830000002</v>
      </c>
      <c r="X59" s="30"/>
      <c r="Y59" s="29">
        <f>SUM(Y55:Y58)</f>
        <v>8057058.9329999993</v>
      </c>
      <c r="Z59" s="7" t="e">
        <f>#REF!+#REF!+#REF!+#REF!+#REF!+#REF!+#REF!+#REF!+#REF!+#REF!+#REF!+#REF!</f>
        <v>#REF!</v>
      </c>
      <c r="AA59" s="1" t="e">
        <f>#REF!+#REF!+#REF!+#REF!+#REF!+#REF!+#REF!+#REF!+#REF!+#REF!+#REF!+#REF!-M59</f>
        <v>#REF!</v>
      </c>
      <c r="AB59" s="1" t="e">
        <f>Y59+W59+U59+S59+Q59+O59-#REF!</f>
        <v>#REF!</v>
      </c>
    </row>
    <row r="60" spans="3:28" ht="59.25" customHeight="1" x14ac:dyDescent="0.25">
      <c r="F60" s="45" t="s">
        <v>33</v>
      </c>
      <c r="G60" s="22">
        <v>122609.60000000001</v>
      </c>
      <c r="H60" s="22">
        <v>78368</v>
      </c>
      <c r="I60" s="22"/>
      <c r="J60" s="22"/>
      <c r="K60" s="22" t="s">
        <v>21</v>
      </c>
      <c r="L60" s="63">
        <f>179.64*1000</f>
        <v>179640</v>
      </c>
      <c r="M60" s="22">
        <f>L60*H60</f>
        <v>14078027520</v>
      </c>
      <c r="N60" s="23">
        <v>1.6E-2</v>
      </c>
      <c r="O60" s="24">
        <f t="shared" ref="O60:O61" si="110">N60*$M60</f>
        <v>225248440.31999999</v>
      </c>
      <c r="P60" s="23">
        <v>2.3300000000000001E-2</v>
      </c>
      <c r="Q60" s="3">
        <f t="shared" ref="Q60:Q61" si="111">P60*$M60</f>
        <v>328018041.21600002</v>
      </c>
      <c r="R60" s="23">
        <v>7.0000000000000001E-3</v>
      </c>
      <c r="S60" s="3">
        <f t="shared" ref="S60:S61" si="112">R60*$M60</f>
        <v>98546192.640000001</v>
      </c>
      <c r="T60" s="23">
        <v>6.9999999999999999E-4</v>
      </c>
      <c r="U60" s="3">
        <f t="shared" ref="U60:U61" si="113">T60*$M60</f>
        <v>9854619.2640000004</v>
      </c>
      <c r="V60" s="23">
        <v>1E-3</v>
      </c>
      <c r="W60" s="3">
        <f t="shared" ref="W60:W61" si="114">V60*$M60</f>
        <v>14078027.52</v>
      </c>
      <c r="X60" s="23">
        <v>1.4E-3</v>
      </c>
      <c r="Y60" s="3">
        <f t="shared" ref="Y60:Y61" si="115">X60*$M60</f>
        <v>19709238.528000001</v>
      </c>
      <c r="Z60" s="7" t="e">
        <f>#REF!+#REF!+#REF!+#REF!+#REF!+#REF!+#REF!+#REF!+#REF!+#REF!+#REF!+#REF!</f>
        <v>#REF!</v>
      </c>
      <c r="AA60" s="1" t="e">
        <f>#REF!+#REF!+#REF!+#REF!+#REF!+#REF!+#REF!+#REF!+#REF!+#REF!+#REF!+#REF!-M60</f>
        <v>#REF!</v>
      </c>
      <c r="AB60" s="1" t="e">
        <f>Y60+W60+U60+S60+Q60+O60-#REF!</f>
        <v>#REF!</v>
      </c>
    </row>
    <row r="61" spans="3:28" ht="31.5" x14ac:dyDescent="0.25">
      <c r="F61" s="25" t="s">
        <v>30</v>
      </c>
      <c r="G61" s="4"/>
      <c r="H61" s="4">
        <v>2043.5</v>
      </c>
      <c r="I61" s="4"/>
      <c r="J61" s="13"/>
      <c r="K61" s="13" t="s">
        <v>21</v>
      </c>
      <c r="L61" s="64">
        <f>125.81*1000</f>
        <v>125810</v>
      </c>
      <c r="M61" s="13">
        <f>L61*H61</f>
        <v>257092735</v>
      </c>
      <c r="N61" s="14">
        <v>1.6E-2</v>
      </c>
      <c r="O61" s="15">
        <f t="shared" si="110"/>
        <v>4113483.7600000002</v>
      </c>
      <c r="P61" s="14">
        <v>2.3300000000000001E-2</v>
      </c>
      <c r="Q61" s="3">
        <f t="shared" si="111"/>
        <v>5990260.7255000006</v>
      </c>
      <c r="R61" s="14">
        <v>7.0000000000000001E-3</v>
      </c>
      <c r="S61" s="3">
        <f t="shared" si="112"/>
        <v>1799649.145</v>
      </c>
      <c r="T61" s="14">
        <v>6.9999999999999999E-4</v>
      </c>
      <c r="U61" s="3">
        <f t="shared" si="113"/>
        <v>179964.91449999998</v>
      </c>
      <c r="V61" s="14">
        <v>1E-3</v>
      </c>
      <c r="W61" s="3">
        <f t="shared" si="114"/>
        <v>257092.73500000002</v>
      </c>
      <c r="X61" s="14">
        <v>1.4E-3</v>
      </c>
      <c r="Y61" s="3">
        <f t="shared" si="115"/>
        <v>359929.82899999997</v>
      </c>
      <c r="Z61" s="7" t="e">
        <f>#REF!+#REF!+#REF!+#REF!+#REF!+#REF!+#REF!+#REF!+#REF!+#REF!+#REF!+#REF!</f>
        <v>#REF!</v>
      </c>
      <c r="AA61" s="1" t="e">
        <f>#REF!+#REF!+#REF!+#REF!+#REF!+#REF!+#REF!+#REF!+#REF!+#REF!+#REF!+#REF!-M61</f>
        <v>#REF!</v>
      </c>
      <c r="AB61" s="1" t="e">
        <f>Y61+W61+U61+S61+Q61+O61-#REF!</f>
        <v>#REF!</v>
      </c>
    </row>
    <row r="62" spans="3:28" x14ac:dyDescent="0.25">
      <c r="F62" s="26" t="s">
        <v>28</v>
      </c>
      <c r="G62" s="2"/>
      <c r="H62" s="2"/>
      <c r="I62" s="4">
        <f>296*3*6</f>
        <v>5328</v>
      </c>
      <c r="J62" s="4"/>
      <c r="K62" s="4" t="s">
        <v>25</v>
      </c>
      <c r="L62" s="60">
        <f>276.67*1000</f>
        <v>276670</v>
      </c>
      <c r="M62" s="4">
        <f>L62*I62</f>
        <v>1474097760</v>
      </c>
      <c r="N62" s="6">
        <v>1.5900000000000001E-2</v>
      </c>
      <c r="O62" s="3">
        <f t="shared" ref="O62:O63" si="116">N62*$M62</f>
        <v>23438154.384</v>
      </c>
      <c r="P62" s="6">
        <v>2.4500000000000001E-2</v>
      </c>
      <c r="Q62" s="3">
        <f t="shared" ref="Q62:Q63" si="117">P62*$M62</f>
        <v>36115395.120000005</v>
      </c>
      <c r="R62" s="6">
        <v>2.8999999999999998E-3</v>
      </c>
      <c r="S62" s="3">
        <f t="shared" ref="S62:S63" si="118">R62*$M62</f>
        <v>4274883.5039999997</v>
      </c>
      <c r="T62" s="6">
        <v>5.0000000000000001E-4</v>
      </c>
      <c r="U62" s="3">
        <f t="shared" ref="U62:U63" si="119">T62*$M62</f>
        <v>737048.88</v>
      </c>
      <c r="V62" s="6">
        <v>1.1000000000000001E-3</v>
      </c>
      <c r="W62" s="3">
        <f t="shared" ref="W62:W63" si="120">V62*$M62</f>
        <v>1621507.5360000001</v>
      </c>
      <c r="X62" s="6">
        <v>1.4E-3</v>
      </c>
      <c r="Y62" s="3">
        <f t="shared" ref="Y62:Y63" si="121">X62*$M62</f>
        <v>2063736.8640000001</v>
      </c>
      <c r="Z62" s="7" t="e">
        <f>#REF!+#REF!+#REF!+#REF!+#REF!+#REF!+#REF!+#REF!+#REF!+#REF!+#REF!+#REF!</f>
        <v>#REF!</v>
      </c>
      <c r="AA62" s="1" t="e">
        <f>#REF!+#REF!+#REF!+#REF!+#REF!+#REF!+#REF!+#REF!+#REF!+#REF!+#REF!+#REF!-M62</f>
        <v>#REF!</v>
      </c>
      <c r="AB62" s="1" t="e">
        <f>Y62+W62+U62+S62+Q62+O62-#REF!</f>
        <v>#REF!</v>
      </c>
    </row>
    <row r="63" spans="3:28" x14ac:dyDescent="0.25">
      <c r="F63" s="46" t="s">
        <v>29</v>
      </c>
      <c r="G63" s="2"/>
      <c r="H63" s="2"/>
      <c r="I63" s="2"/>
      <c r="J63" s="4">
        <f>5*9500</f>
        <v>47500</v>
      </c>
      <c r="K63" s="4" t="s">
        <v>37</v>
      </c>
      <c r="L63" s="60">
        <v>382230</v>
      </c>
      <c r="M63" s="4">
        <f>J63*L63/100</f>
        <v>181559250</v>
      </c>
      <c r="N63" s="11">
        <v>1.8100000000000002E-2</v>
      </c>
      <c r="O63" s="3">
        <f t="shared" si="116"/>
        <v>3286222.4250000003</v>
      </c>
      <c r="P63" s="11">
        <v>3.0000000000000001E-3</v>
      </c>
      <c r="Q63" s="3">
        <f t="shared" si="117"/>
        <v>544677.75</v>
      </c>
      <c r="R63" s="11">
        <v>7.6E-3</v>
      </c>
      <c r="S63" s="3">
        <f t="shared" si="118"/>
        <v>1379850.3</v>
      </c>
      <c r="T63" s="11">
        <v>5.1000000000000004E-3</v>
      </c>
      <c r="U63" s="3">
        <f t="shared" si="119"/>
        <v>925952.17500000005</v>
      </c>
      <c r="V63" s="11"/>
      <c r="W63" s="3">
        <f t="shared" si="120"/>
        <v>0</v>
      </c>
      <c r="X63" s="11">
        <v>1.4E-3</v>
      </c>
      <c r="Y63" s="3">
        <f t="shared" si="121"/>
        <v>254182.95</v>
      </c>
      <c r="Z63" s="7" t="e">
        <f>#REF!+#REF!+#REF!+#REF!+#REF!+#REF!+#REF!+#REF!+#REF!+#REF!+#REF!+#REF!</f>
        <v>#REF!</v>
      </c>
      <c r="AA63" s="1" t="e">
        <f>#REF!+#REF!+#REF!+#REF!+#REF!+#REF!+#REF!+#REF!+#REF!+#REF!+#REF!+#REF!-M63</f>
        <v>#REF!</v>
      </c>
      <c r="AB63" s="1" t="e">
        <f>Y63+W63+U63+S63+Q63+O63-#REF!</f>
        <v>#REF!</v>
      </c>
    </row>
    <row r="64" spans="3:28" ht="16.5" thickBot="1" x14ac:dyDescent="0.3">
      <c r="F64" s="34" t="s">
        <v>34</v>
      </c>
      <c r="G64" s="38"/>
      <c r="H64" s="38"/>
      <c r="I64" s="38"/>
      <c r="J64" s="38"/>
      <c r="K64" s="38"/>
      <c r="L64" s="65"/>
      <c r="M64" s="29">
        <f>SUM(M60:M63)</f>
        <v>15990777265</v>
      </c>
      <c r="N64" s="30"/>
      <c r="O64" s="29">
        <f>SUM(O60:O63)</f>
        <v>256086300.889</v>
      </c>
      <c r="P64" s="30"/>
      <c r="Q64" s="29">
        <f>SUM(Q60:Q63)</f>
        <v>370668374.81150001</v>
      </c>
      <c r="R64" s="30"/>
      <c r="S64" s="29">
        <f>SUM(S60:S63)</f>
        <v>106000575.58899999</v>
      </c>
      <c r="T64" s="30"/>
      <c r="U64" s="29">
        <f>SUM(U60:U63)</f>
        <v>11697585.233500002</v>
      </c>
      <c r="V64" s="30"/>
      <c r="W64" s="29">
        <f>SUM(W60:W63)</f>
        <v>15956627.790999999</v>
      </c>
      <c r="X64" s="30"/>
      <c r="Y64" s="29">
        <f>SUM(Y60:Y63)</f>
        <v>22387088.171</v>
      </c>
      <c r="Z64" s="7" t="e">
        <f>#REF!+#REF!+#REF!+#REF!+#REF!+#REF!+#REF!+#REF!+#REF!+#REF!+#REF!+#REF!</f>
        <v>#REF!</v>
      </c>
      <c r="AA64" s="1" t="e">
        <f>#REF!+#REF!+#REF!+#REF!+#REF!+#REF!+#REF!+#REF!+#REF!+#REF!+#REF!+#REF!-M64</f>
        <v>#REF!</v>
      </c>
      <c r="AB64" s="1" t="e">
        <f>Y64+W64+U64+S64+Q64+O64-#REF!</f>
        <v>#REF!</v>
      </c>
    </row>
    <row r="65" spans="6:28" x14ac:dyDescent="0.25">
      <c r="F65" s="45" t="s">
        <v>35</v>
      </c>
      <c r="G65" s="22">
        <v>65713.100000000006</v>
      </c>
      <c r="H65" s="22">
        <v>41892</v>
      </c>
      <c r="I65" s="22"/>
      <c r="J65" s="22"/>
      <c r="K65" s="22" t="s">
        <v>21</v>
      </c>
      <c r="L65" s="63">
        <f>179.64*1000</f>
        <v>179640</v>
      </c>
      <c r="M65" s="22">
        <f>L65*H65</f>
        <v>7525478880</v>
      </c>
      <c r="N65" s="23">
        <v>1.6E-2</v>
      </c>
      <c r="O65" s="24">
        <f t="shared" ref="O65:O66" si="122">N65*$M65</f>
        <v>120407662.08</v>
      </c>
      <c r="P65" s="23">
        <v>2.3300000000000001E-2</v>
      </c>
      <c r="Q65" s="3">
        <f t="shared" ref="Q65:Q66" si="123">P65*$M65</f>
        <v>175343657.90400001</v>
      </c>
      <c r="R65" s="23">
        <v>7.0000000000000001E-3</v>
      </c>
      <c r="S65" s="3">
        <f t="shared" ref="S65:S66" si="124">R65*$M65</f>
        <v>52678352.160000004</v>
      </c>
      <c r="T65" s="23">
        <v>6.9999999999999999E-4</v>
      </c>
      <c r="U65" s="3">
        <f t="shared" ref="U65:U66" si="125">T65*$M65</f>
        <v>5267835.216</v>
      </c>
      <c r="V65" s="23">
        <v>1E-3</v>
      </c>
      <c r="W65" s="3">
        <f t="shared" ref="W65:W66" si="126">V65*$M65</f>
        <v>7525478.8799999999</v>
      </c>
      <c r="X65" s="23">
        <v>1.4E-3</v>
      </c>
      <c r="Y65" s="3">
        <f t="shared" ref="Y65:Y66" si="127">X65*$M65</f>
        <v>10535670.432</v>
      </c>
      <c r="Z65" s="7" t="e">
        <f>#REF!+#REF!+#REF!+#REF!+#REF!+#REF!+#REF!+#REF!+#REF!+#REF!+#REF!+#REF!</f>
        <v>#REF!</v>
      </c>
      <c r="AA65" s="1" t="e">
        <f>#REF!+#REF!+#REF!+#REF!+#REF!+#REF!+#REF!+#REF!+#REF!+#REF!+#REF!+#REF!-M65</f>
        <v>#REF!</v>
      </c>
      <c r="AB65" s="1" t="e">
        <f>Y65+W65+U65+S65+Q65+O65-#REF!</f>
        <v>#REF!</v>
      </c>
    </row>
    <row r="66" spans="6:28" ht="31.5" x14ac:dyDescent="0.25">
      <c r="F66" s="25" t="s">
        <v>30</v>
      </c>
      <c r="G66" s="4"/>
      <c r="H66" s="4">
        <v>1263.5</v>
      </c>
      <c r="I66" s="4"/>
      <c r="J66" s="13"/>
      <c r="K66" s="13" t="s">
        <v>21</v>
      </c>
      <c r="L66" s="64">
        <f>125.81*1000</f>
        <v>125810</v>
      </c>
      <c r="M66" s="13">
        <f>L66*H66</f>
        <v>158960935</v>
      </c>
      <c r="N66" s="14">
        <v>1.6E-2</v>
      </c>
      <c r="O66" s="15">
        <f t="shared" si="122"/>
        <v>2543374.96</v>
      </c>
      <c r="P66" s="14">
        <v>2.3300000000000001E-2</v>
      </c>
      <c r="Q66" s="3">
        <f t="shared" si="123"/>
        <v>3703789.7855000002</v>
      </c>
      <c r="R66" s="14">
        <v>7.0000000000000001E-3</v>
      </c>
      <c r="S66" s="3">
        <f t="shared" si="124"/>
        <v>1112726.5449999999</v>
      </c>
      <c r="T66" s="14">
        <v>6.9999999999999999E-4</v>
      </c>
      <c r="U66" s="3">
        <f t="shared" si="125"/>
        <v>111272.6545</v>
      </c>
      <c r="V66" s="14">
        <v>1E-3</v>
      </c>
      <c r="W66" s="3">
        <f t="shared" si="126"/>
        <v>158960.935</v>
      </c>
      <c r="X66" s="14">
        <v>1.4E-3</v>
      </c>
      <c r="Y66" s="3">
        <f t="shared" si="127"/>
        <v>222545.30900000001</v>
      </c>
      <c r="Z66" s="7" t="e">
        <f>#REF!+#REF!+#REF!+#REF!+#REF!+#REF!+#REF!+#REF!+#REF!+#REF!+#REF!+#REF!</f>
        <v>#REF!</v>
      </c>
      <c r="AA66" s="1" t="e">
        <f>#REF!+#REF!+#REF!+#REF!+#REF!+#REF!+#REF!+#REF!+#REF!+#REF!+#REF!+#REF!-M66</f>
        <v>#REF!</v>
      </c>
      <c r="AB66" s="1" t="e">
        <f>Y66+W66+U66+S66+Q66+O66-#REF!</f>
        <v>#REF!</v>
      </c>
    </row>
    <row r="67" spans="6:28" x14ac:dyDescent="0.25">
      <c r="F67" s="26" t="s">
        <v>28</v>
      </c>
      <c r="G67" s="2"/>
      <c r="H67" s="2"/>
      <c r="I67" s="4">
        <f>189*3*6</f>
        <v>3402</v>
      </c>
      <c r="J67" s="4"/>
      <c r="K67" s="4" t="s">
        <v>25</v>
      </c>
      <c r="L67" s="60">
        <f>276.67*1000</f>
        <v>276670</v>
      </c>
      <c r="M67" s="4">
        <f>L67*I67</f>
        <v>941231340</v>
      </c>
      <c r="N67" s="6">
        <v>1.5900000000000001E-2</v>
      </c>
      <c r="O67" s="3">
        <f t="shared" ref="O67:O68" si="128">N67*$M67</f>
        <v>14965578.306000002</v>
      </c>
      <c r="P67" s="6">
        <v>2.4500000000000001E-2</v>
      </c>
      <c r="Q67" s="3">
        <f t="shared" ref="Q67:Q68" si="129">P67*$M67</f>
        <v>23060167.830000002</v>
      </c>
      <c r="R67" s="6">
        <v>2.8999999999999998E-3</v>
      </c>
      <c r="S67" s="3">
        <f t="shared" ref="S67:S68" si="130">R67*$M67</f>
        <v>2729570.8859999999</v>
      </c>
      <c r="T67" s="6">
        <v>5.0000000000000001E-4</v>
      </c>
      <c r="U67" s="3">
        <f t="shared" ref="U67:U68" si="131">T67*$M67</f>
        <v>470615.67</v>
      </c>
      <c r="V67" s="6">
        <v>1.1000000000000001E-3</v>
      </c>
      <c r="W67" s="3">
        <f t="shared" ref="W67:W68" si="132">V67*$M67</f>
        <v>1035354.474</v>
      </c>
      <c r="X67" s="6">
        <v>1.4E-3</v>
      </c>
      <c r="Y67" s="3">
        <f t="shared" ref="Y67:Y68" si="133">X67*$M67</f>
        <v>1317723.8759999999</v>
      </c>
      <c r="Z67" s="7" t="e">
        <f>#REF!+#REF!+#REF!+#REF!+#REF!+#REF!+#REF!+#REF!+#REF!+#REF!+#REF!+#REF!</f>
        <v>#REF!</v>
      </c>
      <c r="AA67" s="1" t="e">
        <f>#REF!+#REF!+#REF!+#REF!+#REF!+#REF!+#REF!+#REF!+#REF!+#REF!+#REF!+#REF!-M67</f>
        <v>#REF!</v>
      </c>
      <c r="AB67" s="1" t="e">
        <f>Y67+W67+U67+S67+Q67+O67-#REF!</f>
        <v>#REF!</v>
      </c>
    </row>
    <row r="68" spans="6:28" ht="16.5" thickBot="1" x14ac:dyDescent="0.3">
      <c r="F68" s="52" t="s">
        <v>29</v>
      </c>
      <c r="G68" s="9"/>
      <c r="H68" s="9"/>
      <c r="I68" s="9"/>
      <c r="J68" s="10">
        <f>3*9500</f>
        <v>28500</v>
      </c>
      <c r="K68" s="10" t="s">
        <v>37</v>
      </c>
      <c r="L68" s="66">
        <v>382230</v>
      </c>
      <c r="M68" s="10">
        <f>J68*L68/100</f>
        <v>108935550</v>
      </c>
      <c r="N68" s="69">
        <v>1.8100000000000002E-2</v>
      </c>
      <c r="O68" s="70">
        <f t="shared" si="128"/>
        <v>1971733.4550000001</v>
      </c>
      <c r="P68" s="69">
        <v>3.0000000000000001E-3</v>
      </c>
      <c r="Q68" s="70">
        <f t="shared" si="129"/>
        <v>326806.65000000002</v>
      </c>
      <c r="R68" s="69">
        <v>7.6E-3</v>
      </c>
      <c r="S68" s="70">
        <f t="shared" si="130"/>
        <v>827910.18</v>
      </c>
      <c r="T68" s="69">
        <v>5.1000000000000004E-3</v>
      </c>
      <c r="U68" s="70">
        <f t="shared" si="131"/>
        <v>555571.30500000005</v>
      </c>
      <c r="V68" s="69"/>
      <c r="W68" s="70">
        <f t="shared" si="132"/>
        <v>0</v>
      </c>
      <c r="X68" s="69">
        <v>1.4E-3</v>
      </c>
      <c r="Y68" s="70">
        <f t="shared" si="133"/>
        <v>152509.76999999999</v>
      </c>
      <c r="Z68" s="7" t="e">
        <f>#REF!+#REF!+#REF!+#REF!+#REF!+#REF!+#REF!+#REF!+#REF!+#REF!+#REF!+#REF!</f>
        <v>#REF!</v>
      </c>
      <c r="AA68" s="1" t="e">
        <f>#REF!+#REF!+#REF!+#REF!+#REF!+#REF!+#REF!+#REF!+#REF!+#REF!+#REF!+#REF!-M68</f>
        <v>#REF!</v>
      </c>
      <c r="AB68" s="1" t="e">
        <f>Y68+W68+U68+S68+Q68+O68-#REF!</f>
        <v>#REF!</v>
      </c>
    </row>
    <row r="69" spans="6:28" ht="16.5" thickBot="1" x14ac:dyDescent="0.3">
      <c r="F69" s="49" t="s">
        <v>35</v>
      </c>
      <c r="G69" s="53"/>
      <c r="H69" s="53"/>
      <c r="I69" s="53"/>
      <c r="J69" s="53"/>
      <c r="K69" s="53"/>
      <c r="L69" s="55"/>
      <c r="M69" s="54">
        <f>SUM(M65:M68)</f>
        <v>8734606705</v>
      </c>
      <c r="N69" s="68"/>
      <c r="O69" s="67">
        <f>SUM(O65:O68)</f>
        <v>139888348.801</v>
      </c>
      <c r="P69" s="68"/>
      <c r="Q69" s="67">
        <f>SUM(Q65:Q68)</f>
        <v>202434422.16950002</v>
      </c>
      <c r="R69" s="68"/>
      <c r="S69" s="67">
        <f>SUM(S65:S68)</f>
        <v>57348559.771000005</v>
      </c>
      <c r="T69" s="68"/>
      <c r="U69" s="67">
        <f>SUM(U65:U68)</f>
        <v>6405294.8454999998</v>
      </c>
      <c r="V69" s="68"/>
      <c r="W69" s="67">
        <f>SUM(W65:W68)</f>
        <v>8719794.2889999989</v>
      </c>
      <c r="X69" s="68"/>
      <c r="Y69" s="67">
        <f>SUM(Y65:Y68)</f>
        <v>12228449.387</v>
      </c>
      <c r="Z69" s="7" t="e">
        <f>#REF!+#REF!+#REF!+#REF!+#REF!+#REF!+#REF!+#REF!+#REF!+#REF!+#REF!+#REF!</f>
        <v>#REF!</v>
      </c>
      <c r="AA69" s="1" t="e">
        <f>#REF!+#REF!+#REF!+#REF!+#REF!+#REF!+#REF!+#REF!+#REF!+#REF!+#REF!+#REF!-M69</f>
        <v>#REF!</v>
      </c>
      <c r="AB69" s="1" t="e">
        <f>Y69+W69+U69+S69+Q69+O69-#REF!</f>
        <v>#REF!</v>
      </c>
    </row>
    <row r="70" spans="6:28" ht="26.25" customHeight="1" thickBot="1" x14ac:dyDescent="0.3">
      <c r="F70" s="56" t="s">
        <v>38</v>
      </c>
      <c r="G70" s="57"/>
      <c r="H70" s="57"/>
      <c r="I70" s="57"/>
      <c r="J70" s="57"/>
      <c r="K70" s="57"/>
      <c r="L70" s="59"/>
      <c r="M70" s="58">
        <f>M69+M64+M59+M54+M49+M44+M39+M34+M29+M24+M19+M14+M9</f>
        <v>64751945807.800003</v>
      </c>
      <c r="N70" s="71"/>
      <c r="O70" s="71">
        <f>O69+O64+O59+O54+O49+O44+O39+O34+O29+O24+O19+O14+O9</f>
        <v>1035053625.72718</v>
      </c>
      <c r="P70" s="71"/>
      <c r="Q70" s="71">
        <f>Q69+Q64+Q59+Q54+Q49+Q44+Q39+Q34+Q29+Q24+Q19+Q14+Q9</f>
        <v>1494707168.3474002</v>
      </c>
      <c r="R70" s="71"/>
      <c r="S70" s="71">
        <f>S69+S64+S59+S54+S49+S44+S39+S34+S29+S24+S19+S14+S9</f>
        <v>421865630.31177998</v>
      </c>
      <c r="T70" s="71"/>
      <c r="U70" s="71">
        <f>U69+U64+U59+U54+U49+U44+U39+U34+U29+U24+U19+U14+U9</f>
        <v>46949563.767279997</v>
      </c>
      <c r="V70" s="71"/>
      <c r="W70" s="71">
        <f>W69+W64+W59+W54+W49+W44+W39+W34+W29+W24+W19+W14+W9</f>
        <v>64633774.447000004</v>
      </c>
      <c r="X70" s="71"/>
      <c r="Y70" s="71">
        <f>Y69+Y64+Y59+Y54+Y49+Y44+Y39+Y34+Y29+Y24+Y19+Y14+Y9</f>
        <v>90652724.130919993</v>
      </c>
      <c r="AA70" s="1" t="e">
        <f>#REF!+#REF!+#REF!+#REF!+#REF!+#REF!+#REF!+#REF!+#REF!+#REF!+#REF!+#REF!-M70</f>
        <v>#REF!</v>
      </c>
      <c r="AB70" s="1" t="e">
        <f>Y70+W70+U70+S70+Q70+O70-#REF!</f>
        <v>#REF!</v>
      </c>
    </row>
    <row r="73" spans="6:28" x14ac:dyDescent="0.25">
      <c r="O73" s="72">
        <f>O70+Q70+Y70</f>
        <v>2620413518.2055001</v>
      </c>
    </row>
  </sheetData>
  <mergeCells count="8">
    <mergeCell ref="L3:M3"/>
    <mergeCell ref="N2:Y2"/>
    <mergeCell ref="N3:O3"/>
    <mergeCell ref="P3:Q3"/>
    <mergeCell ref="R3:S3"/>
    <mergeCell ref="T3:U3"/>
    <mergeCell ref="V3:W3"/>
    <mergeCell ref="X3:Y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 Oruçoglu</dc:creator>
  <cp:lastModifiedBy>o_brusenskaya</cp:lastModifiedBy>
  <dcterms:created xsi:type="dcterms:W3CDTF">2026-04-09T11:44:54Z</dcterms:created>
  <dcterms:modified xsi:type="dcterms:W3CDTF">2026-05-15T14:09:08Z</dcterms:modified>
</cp:coreProperties>
</file>