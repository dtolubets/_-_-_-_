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o_brusenskaya\Downloads\"/>
    </mc:Choice>
  </mc:AlternateContent>
  <xr:revisionPtr revIDLastSave="0" documentId="13_ncr:1_{1085479D-64B1-445A-A583-C18C30AA2B33}" xr6:coauthVersionLast="47" xr6:coauthVersionMax="47" xr10:uidLastSave="{00000000-0000-0000-0000-000000000000}"/>
  <bookViews>
    <workbookView xWindow="-120" yWindow="-120" windowWidth="29040" windowHeight="15720" tabRatio="718" xr2:uid="{00000000-000D-0000-FFFF-FFFF00000000}"/>
  </bookViews>
  <sheets>
    <sheet name="Расчет НМЦД"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inf2007">#REF!</definedName>
    <definedName name="_inf2008">#REF!</definedName>
    <definedName name="_inf2009">#REF!</definedName>
    <definedName name="_inf2010">#REF!</definedName>
    <definedName name="_inf2011">#REF!</definedName>
    <definedName name="_inf2012">#REF!</definedName>
    <definedName name="_inf2013">#REF!</definedName>
    <definedName name="_inf2014">#REF!</definedName>
    <definedName name="_inf2015">#REF!</definedName>
    <definedName name="_KI2012">[1]Расчет!$H$47</definedName>
    <definedName name="_KI2013">[1]Расчет!$H$48</definedName>
    <definedName name="ColLastYearFB">[2]ФедД!$AH$17</definedName>
    <definedName name="ColLastYearFB1">[3]Управление!$AF$17</definedName>
    <definedName name="ColThisYearFB">[2]ФедД!$AG$17</definedName>
    <definedName name="KInfAvg">[1]Расчет!$H$38</definedName>
    <definedName name="KS">[1]РасчТЗ!$G$52</definedName>
    <definedName name="PeriodLastYearName">[2]ФедД!$AH$20</definedName>
    <definedName name="PeriodThisYearName">[2]ФедД!$AG$20</definedName>
    <definedName name="Sanalog">[1]Ввод!$D$54</definedName>
    <definedName name="short">[4]!short</definedName>
    <definedName name="title">'[5]Огл. Графиков'!$B$2:$B$31</definedName>
    <definedName name="Z_0D2818D8_B500_4FFF_93B9_B7253CC77E6C_.wvu.PrintArea" localSheetId="0" hidden="1">'Расчет НМЦД'!$A$1:$E$310</definedName>
    <definedName name="Z_0D2818D8_B500_4FFF_93B9_B7253CC77E6C_.wvu.Rows" localSheetId="0" hidden="1">'Расчет НМЦД'!$48:$48,'Расчет НМЦД'!$91:$91,'Расчет НМЦД'!#REF!,'Расчет НМЦД'!$158:$158,'Расчет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НМЦД'!#REF!,'Расчет НМЦД'!#REF!</definedName>
    <definedName name="Z_547CEAFB_2318_4199_A168_BF7C2AC68639_.wvu.PrintArea" localSheetId="0" hidden="1">'Расчет НМЦД'!$A$1:$E$310</definedName>
    <definedName name="Z_547CEAFB_2318_4199_A168_BF7C2AC68639_.wvu.Rows" localSheetId="0" hidden="1">'Расчет НМЦД'!$48:$48,'Расчет НМЦД'!$91:$91,'Расчет НМЦД'!#REF!,'Расчет НМЦД'!$158:$158,'Расчет НМЦД'!#REF!,'Расчет НМЦД'!#REF!,'Расчет НМЦД'!#REF!,'Расчет НМЦД'!#REF!,'Расчет НМЦД'!#REF!,'Расчет НМЦД'!#REF!,'Расчет НМЦД'!#REF!,'Расчет НМЦД'!#REF!,'Расчет НМЦД'!#REF!,'Расчет НМЦД'!#REF!,'Расчет НМЦД'!$189:$302</definedName>
    <definedName name="Z_6736ED4C_54C7_44F9_894B_734AAD68E923_.wvu.PrintArea" localSheetId="0" hidden="1">'Расчет НМЦД'!$A$1:$E$310</definedName>
    <definedName name="Z_6736ED4C_54C7_44F9_894B_734AAD68E923_.wvu.Rows" localSheetId="0" hidden="1">'Расчет НМЦД'!$48:$48,'Расчет НМЦД'!$91:$91,'Расчет НМЦД'!#REF!,'Расчет НМЦД'!$158:$158,'Расчет НМЦД'!#REF!,'Расчет НМЦД'!#REF!,'Расчет НМЦД'!#REF!,'Расчет НМЦД'!#REF!,'Расчет НМЦД'!#REF!,'Расчет НМЦД'!#REF!,'Расчет НМЦД'!#REF!,'Расчет НМЦД'!#REF!,'Расчет НМЦД'!#REF!,'Расчет НМЦД'!#REF!,'Расчет НМЦД'!$189:$302</definedName>
    <definedName name="Z_AB3EE172_853F_48DA_B5F4_60310AA706CB_.wvu.PrintArea" localSheetId="0" hidden="1">'Расчет НМЦД'!$A$1:$E$310</definedName>
    <definedName name="Z_AB3EE172_853F_48DA_B5F4_60310AA706CB_.wvu.Rows" localSheetId="0" hidden="1">'Расчет НМЦД'!$48:$48,'Расчет НМЦД'!$91:$91,'Расчет НМЦД'!#REF!,'Расчет НМЦД'!$158:$158,'Расчет НМЦД'!#REF!,'Расчет НМЦД'!#REF!,'Расчет НМЦД'!#REF!,'Расчет НМЦД'!#REF!,'Расчет НМЦД'!#REF!,'Расчет НМЦД'!#REF!,'Расчет НМЦД'!#REF!,'Расчет НМЦД'!#REF!,'Расчет НМЦД'!#REF!,'Расчет НМЦД'!#REF!,'Расчет НМЦД'!$189:$302</definedName>
    <definedName name="Z_D35DAF0D_B851_4B04_BC33_D25AA3F97F98_.wvu.PrintArea" localSheetId="0" hidden="1">'Расчет НМЦД'!$A$1:$E$310</definedName>
    <definedName name="Z_D35DAF0D_B851_4B04_BC33_D25AA3F97F98_.wvu.Rows" localSheetId="0" hidden="1">'Расчет НМЦД'!$48:$48,'Расчет НМЦД'!$91:$91,'Расчет НМЦД'!#REF!,'Расчет НМЦД'!$158:$158,'Расчет НМЦД'!#REF!,'Расчет НМЦД'!#REF!,'Расчет НМЦД'!#REF!,'Расчет НМЦД'!#REF!,'Расчет НМЦД'!#REF!,'Расчет НМЦД'!#REF!,'Расчет НМЦД'!#REF!,'Расчет НМЦД'!#REF!,'Расчет НМЦД'!#REF!,'Расчет НМЦД'!#REF!,'Расчет НМЦД'!$189:$302</definedName>
    <definedName name="Ак.р">[6]База!#REF!</definedName>
    <definedName name="вид_сметы">[7]база!$G$1:$G$65536</definedName>
    <definedName name="выдал">[7]база!$E$1:$E$65536</definedName>
    <definedName name="Вып_ОФ_с_пц">[5]рабочий!$Y$202:$AP$224</definedName>
    <definedName name="Вып_с_новых_ОФ">[5]рабочий!$Y$277:$AP$299</definedName>
    <definedName name="Выход">[8]Управление!$AF$20</definedName>
    <definedName name="График">"Диагр. 4"</definedName>
    <definedName name="Дефл_ц_пред_год">'[5]Текущие цены'!$AT$36:$BK$58</definedName>
    <definedName name="Дефлятор_годовой">'[5]Текущие цены'!$Y$4:$AP$27</definedName>
    <definedName name="Дефлятор_цепной">'[5]Текущие цены'!$Y$36:$AP$58</definedName>
    <definedName name="заказчики">[7]база!$A$1:$A$65536</definedName>
    <definedName name="Каб">[9]База!#REF!</definedName>
    <definedName name="КИнфПИР1">[1]ВводТЗ!$C$47</definedName>
    <definedName name="Коэф.ЗП">[1]ВводТЗ!$D$39</definedName>
    <definedName name="КфИнфПИР">[1]ВводТЗ!$C$46</definedName>
    <definedName name="КфИнфПИР_ПР">[1]ВводТЗ!$C$48</definedName>
    <definedName name="КфИнфТЗ">[1]ВводТЗ!$C$49</definedName>
    <definedName name="КфОб">[1]ВводТЗ!$C$45</definedName>
    <definedName name="новые_ОФ_2003">[5]рабочий!$F$305:$W$327</definedName>
    <definedName name="новые_ОФ_2004">[5]рабочий!$F$335:$W$357</definedName>
    <definedName name="новые_ОФ_а_всего">[5]рабочий!$F$767:$V$789</definedName>
    <definedName name="новые_ОФ_всего">[5]рабочий!$F$1331:$V$1353</definedName>
    <definedName name="новые_ОФ_п_всего">[5]рабочий!$F$1293:$V$1315</definedName>
    <definedName name="НормСКТЗ">[1]ВводТЗ!$C$53</definedName>
    <definedName name="_xlnm.Print_Area" localSheetId="0">'Расчет НМЦД'!$A$1:$E$309</definedName>
    <definedName name="ограда">[10]База!#REF!</definedName>
    <definedName name="окраска_05">[5]окраска!$C$7:$Z$30</definedName>
    <definedName name="окраска_06">[5]окраска!$C$35:$Z$58</definedName>
    <definedName name="окраска_07">[5]окраска!$C$63:$Z$86</definedName>
    <definedName name="окраска_08">[5]окраска!$C$91:$Z$114</definedName>
    <definedName name="окраска_09">[5]окраска!$C$119:$Z$142</definedName>
    <definedName name="окраска_10">[5]окраска!$C$147:$Z$170</definedName>
    <definedName name="окраска_11">[5]окраска!$C$175:$Z$198</definedName>
    <definedName name="окраска_12">[5]окраска!$C$203:$Z$226</definedName>
    <definedName name="окраска_13">[5]окраска!$C$231:$Z$254</definedName>
    <definedName name="окраска_14">[5]окраска!$C$259:$Z$282</definedName>
    <definedName name="окраска_15">[5]окраска!$C$287:$Z$310</definedName>
    <definedName name="ОФ_а_с_пц">[5]рабочий!$CI$121:$CY$143</definedName>
    <definedName name="ПОКАЗАТЕЛИ_ДОЛГОСР.ПРОГНОЗА">'[11]2002(v2)'!#REF!</definedName>
    <definedName name="приб">[12]Управление!$AE$20</definedName>
    <definedName name="прибвб2">[12]Управление!$AF$20</definedName>
    <definedName name="Прогноз_Вып_пц">[5]рабочий!$Y$240:$AP$262</definedName>
    <definedName name="расц">[10]База!#REF!</definedName>
    <definedName name="Расценка">[6]База!#REF!</definedName>
    <definedName name="смета">[13]База!#REF!</definedName>
    <definedName name="сроки">[7]Коэффициенты!$A$1:$A$65536</definedName>
    <definedName name="стадия_П">[7]база!$J$1:$J$65536</definedName>
    <definedName name="суда">[4]!суда</definedName>
    <definedName name="ТПП">[6]База!#REF!</definedName>
    <definedName name="ТР">[14]База!#REF!</definedName>
    <definedName name="фо_а_н_пц">[5]рабочий!$AR$240:$BI$263</definedName>
    <definedName name="фо_а_с_пц">[5]рабочий!$AS$202:$BI$224</definedName>
    <definedName name="фо_н_03">[5]рабочий!$X$305:$X$327</definedName>
    <definedName name="фо_н_04">[5]рабочий!$X$335:$X$357</definedName>
    <definedName name="ыяпр">[4]!ыяпр</definedName>
  </definedNames>
  <calcPr calcId="191029" iterateDelta="1E-4" fullPrecision="0"/>
  <customWorkbookViews>
    <customWorkbookView name="Исхакова Елена Дмитриевна - Личное представление" guid="{D35DAF0D-B851-4B04-BC33-D25AA3F97F98}" mergeInterval="0" personalView="1" maximized="1" xWindow="-8" yWindow="-8" windowWidth="1936" windowHeight="1056" tabRatio="718" activeSheetId="6"/>
    <customWorkbookView name="Медведева Анна Сергеевна - Личное представление" guid="{AB3EE172-853F-48DA-B5F4-60310AA706CB}" mergeInterval="0" personalView="1" maximized="1" xWindow="-8" yWindow="-8" windowWidth="1936" windowHeight="1056" tabRatio="718" activeSheetId="3"/>
    <customWorkbookView name="Шипова Светлана - Личное представление" guid="{6736ED4C-54C7-44F9-894B-734AAD68E923}" mergeInterval="0" personalView="1" maximized="1" xWindow="-8" yWindow="-8" windowWidth="1936" windowHeight="1056" tabRatio="718" activeSheetId="3"/>
    <customWorkbookView name="Азарова Ольга Николаевна - Личное представление" guid="{0D2818D8-B500-4FFF-93B9-B7253CC77E6C}" mergeInterval="0" personalView="1" maximized="1" xWindow="-8" yWindow="-8" windowWidth="1936" windowHeight="1056" tabRatio="718" activeSheetId="2"/>
    <customWorkbookView name="Гусарова Наталья Владимировна - Личное представление" guid="{547CEAFB-2318-4199-A168-BF7C2AC68639}" mergeInterval="0" personalView="1" maximized="1" xWindow="1912" yWindow="-8" windowWidth="1936" windowHeight="1056" tabRatio="718" activeSheetId="6"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8" i="2" l="1"/>
  <c r="G157" i="2" s="1"/>
  <c r="F158" i="2"/>
  <c r="F149" i="2"/>
  <c r="F150" i="2" s="1"/>
  <c r="E149" i="2" s="1"/>
  <c r="F157" i="2" s="1"/>
  <c r="E112" i="2"/>
  <c r="G111" i="2" s="1"/>
  <c r="F112" i="2"/>
  <c r="F103" i="2"/>
  <c r="E23" i="2"/>
  <c r="G22" i="2" s="1"/>
  <c r="F23" i="2"/>
  <c r="F14" i="2"/>
  <c r="F104" i="2" l="1"/>
  <c r="E103" i="2" s="1"/>
  <c r="F111" i="2" s="1"/>
  <c r="F15" i="2"/>
  <c r="E14" i="2" s="1"/>
  <c r="F22" i="2" s="1"/>
</calcChain>
</file>

<file path=xl/sharedStrings.xml><?xml version="1.0" encoding="utf-8"?>
<sst xmlns="http://schemas.openxmlformats.org/spreadsheetml/2006/main" count="275" uniqueCount="111">
  <si>
    <t xml:space="preserve">Основание для расчета: </t>
  </si>
  <si>
    <t>Расчет</t>
  </si>
  <si>
    <t>начальной максимальной цены договора</t>
  </si>
  <si>
    <t>ВСЕГО по Протоколу начальной (максимальной) цены договора</t>
  </si>
  <si>
    <t>Наименование работ и затрат</t>
  </si>
  <si>
    <t>Индекс прогнозной инфляции на период выполнения работ</t>
  </si>
  <si>
    <t>Затраты на выполнение работ по строительству</t>
  </si>
  <si>
    <t>Затраты на выполнение работ по проектированию</t>
  </si>
  <si>
    <t>Жилой дом:</t>
  </si>
  <si>
    <t>Общая площадь (кв. м.) квартир настоящего объекта =</t>
  </si>
  <si>
    <t>Дата цен утверждения</t>
  </si>
  <si>
    <t>Дата протокола</t>
  </si>
  <si>
    <t>Срок проектирования</t>
  </si>
  <si>
    <t>Начало проектирования</t>
  </si>
  <si>
    <t>Окончание проектирования</t>
  </si>
  <si>
    <t>Месяц</t>
  </si>
  <si>
    <t>Срок строительства</t>
  </si>
  <si>
    <t>Начало строительства</t>
  </si>
  <si>
    <t>Окончание строительства</t>
  </si>
  <si>
    <t>Строительный объем (куб. м.) сносимого здания =</t>
  </si>
  <si>
    <t>Начальная (максимальная) цена договора с учетом индекса прогнозной инфляции на период выполнения работ</t>
  </si>
  <si>
    <t>2. Постановление Правительства Москвы от 18.03.2025 № 536-ПП «О порядке определения цены договора о развитии территории в целях реализации Программы реновации жилищного фонда в городе Москве и (или) решения о реновации жилищного фонда в городе Москве и об особенностях приемки выполненных работ, оказанных услуг»</t>
  </si>
  <si>
    <t>3. Техническое задание</t>
  </si>
  <si>
    <t>Расчет прогнозного коэффициента инфляции по Распоряжению ДЭПиР от 13.08.2025 № ДПР-Р-18/25 по отрасли "Жилищное строительство"</t>
  </si>
  <si>
    <t>1. Приказ Комитета города Москвы по ценовой политике в строительстве и государственной экспертизе проектов от 18.09.2025 № МКЭ-ОД/25-83</t>
  </si>
  <si>
    <t>Стоимость строительства настоящего объекта в ценах на 01.09.2025 г.</t>
  </si>
  <si>
    <t>Индекс фактической инфляции - Кф (август 2025 г. - ноябрь 2025 г.)</t>
  </si>
  <si>
    <t xml:space="preserve">Стоимость работ в текущих ценах на момент формирования начальной (максимальной) цены договора на ноябрь 2025 г.  </t>
  </si>
  <si>
    <t>К2 2027 г. =1,056*(1,002+1,045)/2</t>
  </si>
  <si>
    <t>ВСЕГО с НДС 20%</t>
  </si>
  <si>
    <t>ВСЕГО с НДС 22%</t>
  </si>
  <si>
    <t>ВСЕГО без НДС</t>
  </si>
  <si>
    <t>в том числе НДС 22%</t>
  </si>
  <si>
    <t>исправить</t>
  </si>
  <si>
    <t>К1 2026 г. =(1,044+1,056)/2</t>
  </si>
  <si>
    <t>К1 2026 г. = (1,020+1,056)/2</t>
  </si>
  <si>
    <t>К2 2027 г. = 1,056*(1,002+1,025)/2</t>
  </si>
  <si>
    <t>К3 2028 г. =1,056*1,045*(1,002+1,014)/2</t>
  </si>
  <si>
    <t>К2 2028 г. = 1,056*1,045*(1,002+1,045)/2</t>
  </si>
  <si>
    <t>К2 2029 г. =1,056*1,045*1,045*(1,002+1,045)/2</t>
  </si>
  <si>
    <t>К1 2028 г. = 1,056*1,045*(1,014+1,045)/2</t>
  </si>
  <si>
    <t>К2 2029 г. = 1,056*1,045*1,045*(1,002+1,035)/2</t>
  </si>
  <si>
    <t>К1 2028 г. =1,056*1,045*(1,037+1,045)/2</t>
  </si>
  <si>
    <t>на развитие территории, расположенной в микрорайонах 10, 13 Бабушкинского района Северо-Восточного административного округа города Москвы, в целях реализации программы реновации жилищного фонда в городе Москве и (или) решения о реновации жилищного фонда в городе Москве</t>
  </si>
  <si>
    <t>К3 2030 г. =1,056*1,045*1,045*1,045*(1,002+1,045)/2</t>
  </si>
  <si>
    <t>К4 2031 г. =1,056*1,045*1,045*1,045*1,045*(1,002+1,011)/2</t>
  </si>
  <si>
    <t>К1 2027 г. = 1,056*(1,037+1,045)/2</t>
  </si>
  <si>
    <t>К3 2029 г. = 1,056*1,045*1,045*(1,002+1,013)/2</t>
  </si>
  <si>
    <t>К1 2028 г. =1,056*1,045*(1,014+1,045)/2</t>
  </si>
  <si>
    <t>К3 2030 г. =1,056*1,045*1,045*1,045*(1,002+1,011)/2</t>
  </si>
  <si>
    <t>К3 2028 г. =1,056*1,045*(1,002+1,013)/2</t>
  </si>
  <si>
    <t>К1 2030 г. =1,056*1,045*1,045*1,045*(1,033+1,045)/2</t>
  </si>
  <si>
    <t>К2 2031 г. = 1,056*1,045*1,045*1,045*1,045*(1,002+1,024)/2</t>
  </si>
  <si>
    <t>К1 2031 г. =  1,056*1,045*1,045*1,045*1,045*(1,011+1,024)/2</t>
  </si>
  <si>
    <t>К1 2030 г. = 1,056*1,045*1,045*1,045*(1,037+1,045)/2</t>
  </si>
  <si>
    <t>К1 2031 г. = 1,056*1,045*1,045*1,045*1,045*(1,014+1,033)/2</t>
  </si>
  <si>
    <t>К1 2030 г. = 1,056*1,045*1,045*1,045*(1,035+1,045)/2</t>
  </si>
  <si>
    <t>К2 2031 г. = 1,056*1,045*1,045*1,045*1,045*(1,002+1,025)/2</t>
  </si>
  <si>
    <t>К1 2031 г. = 1,056*1,045*1,045*1,045*1,045*(1,013+1,025)/2</t>
  </si>
  <si>
    <t xml:space="preserve">«Снос жилого здания по адресу: г. Москва, район Бабушкинский, ул. Летчика Бабушкина, дом 45, к.1 (Северо-Восточный административный округ)» </t>
  </si>
  <si>
    <t>К1 2031 г. = 1,056*1,045*1,045*1,045*1,045*(1,002+1,033)/2</t>
  </si>
  <si>
    <t>Кол-во машино-мест (шт) настоящего объекта =72</t>
  </si>
  <si>
    <t>Доля стоимости проектирования на 2026 г. (Д1) - 56%</t>
  </si>
  <si>
    <t>Доля стоимости проектирования на 2027 г. (Д2) - 44%</t>
  </si>
  <si>
    <t>Индекс прогнозной инфляции на период проектирования - Кинфл. пир = 0,56*1,038+0,44*1,0703=</t>
  </si>
  <si>
    <t>Доля стоимости строительства на 2026 г. (Д1) - 19%</t>
  </si>
  <si>
    <t>Доля стоимости строительства на 2027г. (Д2) - 57%</t>
  </si>
  <si>
    <t>Доля стоимости строительства на 2028 г. (Д3) - 24%</t>
  </si>
  <si>
    <t>Индекс прогнозной инфляции - Кинфл. смр = 0,19*1,05+0,57*1,0808+0,24*1,1123=</t>
  </si>
  <si>
    <t>Кол-во машино-мест (шт) настоящего объекта =267</t>
  </si>
  <si>
    <t>Доля стоимости проектирования на 2028 г. (Д1) - 44%</t>
  </si>
  <si>
    <t>Доля стоимости проектирования на 2029 г. (Д2) - 56%</t>
  </si>
  <si>
    <t>Индекс прогнозной инфляции на период проектирования - Кинфл. пир = 0,44*1,1361+0,56*1,1745=</t>
  </si>
  <si>
    <t>Доля стоимости строительства на 2028 г. (Д1) - 6,9%</t>
  </si>
  <si>
    <t>Доля стоимости строительства на 2029г. (Д2) - 41,4%</t>
  </si>
  <si>
    <t>Доля стоимости строительства на 2030 г. (Д3) - 41,4%</t>
  </si>
  <si>
    <t>Доля стоимости строительства на 2031 г. (Д3) - 10,3%</t>
  </si>
  <si>
    <t>Индекс прогнозной инфляции - Кинфл. смр = 0,069*1,1488+0,414*1,1803+0,414*1,2334+0,103*1,2675=</t>
  </si>
  <si>
    <t>Кол-во машино-мест (шт) настоящего объекта =73</t>
  </si>
  <si>
    <t>Доля стоимости проектирования на 2027 г. (Д1) - 11%</t>
  </si>
  <si>
    <t>Доля стоимости проектирования на 2028 г. (Д2) - 67%</t>
  </si>
  <si>
    <t>Доля стоимости проектирования на 2029 г. (Д3) - 22%</t>
  </si>
  <si>
    <t>Индекс прогнозной инфляции на период проектирования - Кинфл. пир = 0,11*1,0993+0,67*1,1295+0,22*1,1618=</t>
  </si>
  <si>
    <t>Доля стоимости строительства на 2028 г. (Д1) - 35%</t>
  </si>
  <si>
    <t>Доля стоимости строительства на 2029 г. (Д2) - 52%</t>
  </si>
  <si>
    <t>Доля стоимости строительства на 2030 г. (Д3) - 13%</t>
  </si>
  <si>
    <t>Индекс прогнозной инфляции - Кинфл. смр = 0,35*1,1361+0,52*1,1803+0,13*1,2129=</t>
  </si>
  <si>
    <t>Кол-во машино-мест (шт) настоящего объекта =82</t>
  </si>
  <si>
    <t>Доля стоимости строительства на 2026 г. (Д1) - 20%</t>
  </si>
  <si>
    <t>Доля стоимости строительства на 2027 г. (Д2) - 60%</t>
  </si>
  <si>
    <t>Доля стоимости строительства на 2028 г. (Д3) - 20%</t>
  </si>
  <si>
    <t>Индекс прогнозной инфляции - Кинфл. смр = 0,2*1,05+0,6*1,0808+0,2*1,1118=</t>
  </si>
  <si>
    <t>Доля стоимости проектирования на 2030 г. (Д1) - 36%</t>
  </si>
  <si>
    <t>Доля стоимости проектирования на 2031 г. (Д2) - 64%</t>
  </si>
  <si>
    <t>Индекс прогнозной инфляции на период проектирования - Кинфл. пир = 0,36*1,2521+0,64*1,2757=</t>
  </si>
  <si>
    <t>Доля стоимости строительства на 2031 г. (Д1) - 100%</t>
  </si>
  <si>
    <t>Индекс прогнозной инфляции - Кинфл. смр = 1*1,2813=</t>
  </si>
  <si>
    <t>Доля стоимости проектирования на 2030 г. (Д1) - 18%</t>
  </si>
  <si>
    <t>Доля стоимости проектирования на 2031 г. (Д2) - 82%</t>
  </si>
  <si>
    <t>Индекс прогнозной инфляции на период проектирования - Кинфл. пир = 0,18*1,2545+0,82*1,2813=</t>
  </si>
  <si>
    <t>Индекс прогнозной инфляции - Кинфл. смр = 1*1,2889=</t>
  </si>
  <si>
    <t>Доля стоимости проектирования на 2030 г. (Д1) - 27%</t>
  </si>
  <si>
    <t>Доля стоимости проектирования на 2031 г. (Д2) - 73%</t>
  </si>
  <si>
    <t>Индекс прогнозной инфляции на период проектирования - Кинфл. пир = 0,27*1,2533+0,73*1,2763=</t>
  </si>
  <si>
    <t>Индекс прогнозной инфляции - Кинфл. смр = 1*1,2832=</t>
  </si>
  <si>
    <t>«Жилой дом с подземной автостоянкой, с инженерными сетями и благоустройством территории (со сносом жилого здания по адресу: ул. Летчика Бабушкина, дом 33, к.2) по адресу: г. Москва, район Бабушкинский, ул. Летчика Бабушкина, земельный участок 33/2/1 (Северо-Восточный административный округ)»</t>
  </si>
  <si>
    <t>«Жилые дома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жилых зданий по адресам: ул. Менжинского дом 28, к.1, ул. Менжинского дом 28, к.2, ул. Менжинского дом 26, к.1, ул. Менжинского дом 26, к.2, ул. Менжинского дом 24, к.1, ул. Менжинского дом 24, к.2) по адресу: г. Москва, район Бабушкинский, микрорайоны 10, 13, зона № 1.1 (Северо-Восточный административный округ)»</t>
  </si>
  <si>
    <t xml:space="preserve">«Жилой дом с подземной автостоянкой, с инженерными сетями и благоустройством территории (со сносом жилого здания по адресу: ул. Летчика Бабушкина, дом 25/16) по адресу: г. Москва, район Бабушкинский, микрорайоны 10, 13, зона № 2.1 (Северо-Восточный административный округ)» </t>
  </si>
  <si>
    <t xml:space="preserve">«Жилой дом с подземной автостоянкой, с инженерными сетями и благоустройством территории по адресу: г. Москва, район Бабушкинский, ул. Летчика Бабушкина, земельный участок 33/2/2 (Северо-Восточный административный округ)» </t>
  </si>
  <si>
    <t>«Снос жилых зданий и ДОУ по адресам: г. Москва, район Бабушкинский, ул. Осташковская, дом 7, к. 2, дом 7, к. 3, дом 7 (Северо-Восточный административный округ)»</t>
  </si>
  <si>
    <t xml:space="preserve">«Снос жилого здания по адресу: г. Москва, район Бабушкинский, ул. Летчика Бабушкина, дом 33, к.5 (Северо-Восточный административный округ)»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</si>
</sst>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 #,##0\ _₽_-;\-* #,##0\ _₽_-;_-* &quot;-&quot;\ _₽_-;_-@_-"/>
    <numFmt numFmtId="165" formatCode="_-* #,##0.00\ _₽_-;\-* #,##0.00\ _₽_-;_-* &quot;-&quot;??\ _₽_-;_-@_-"/>
    <numFmt numFmtId="166" formatCode="_-* #,##0\ _₽_-;\-* #,##0\ _₽_-;_-* &quot;-&quot;??\ _₽_-;_-@_-"/>
    <numFmt numFmtId="167" formatCode="&quot;Вкл&quot;;&quot;Вкл&quot;;&quot;Выкл&quot;"/>
    <numFmt numFmtId="168" formatCode="_-* #,##0.00_р_._-;\-* #,##0.00_р_._-;_-* &quot;-&quot;??_р_._-;_-@_-"/>
    <numFmt numFmtId="169" formatCode="_-* #,##0\ _р_._-;\-* #,##0\ _р_._-;_-* &quot;-&quot;\ _р_._-;_-@_-"/>
    <numFmt numFmtId="170" formatCode="_-* #,##0.00\ _р_._-;\-* #,##0.00\ _р_._-;_-* &quot;-&quot;??\ _р_._-;_-@_-"/>
    <numFmt numFmtId="171" formatCode="[$-419]mmmm\ yyyy;@"/>
    <numFmt numFmtId="172" formatCode="* #,##0.00;* \-#,##0.00;* &quot;-&quot;??;@"/>
    <numFmt numFmtId="173" formatCode="#,##0.00&quot; &quot;[$€-407];[Red]&quot;-&quot;#,##0.00&quot; &quot;[$€-407]"/>
    <numFmt numFmtId="174" formatCode="#,##0.0000"/>
    <numFmt numFmtId="175" formatCode="#,##0_ ;\-#,##0\ "/>
    <numFmt numFmtId="176" formatCode="0.0000"/>
    <numFmt numFmtId="177" formatCode="0.0%"/>
  </numFmts>
  <fonts count="48">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Times New Roman"/>
      <family val="1"/>
      <charset val="204"/>
    </font>
    <font>
      <b/>
      <sz val="12"/>
      <color theme="1"/>
      <name val="Times New Roman"/>
      <family val="1"/>
      <charset val="204"/>
    </font>
    <font>
      <b/>
      <sz val="11"/>
      <color theme="1"/>
      <name val="Times New Roman"/>
      <family val="1"/>
      <charset val="204"/>
    </font>
    <font>
      <sz val="11"/>
      <name val="Times New Roman"/>
      <family val="1"/>
      <charset val="204"/>
    </font>
    <font>
      <sz val="12"/>
      <color theme="1"/>
      <name val="Times New Roman"/>
      <family val="1"/>
      <charset val="204"/>
    </font>
    <font>
      <sz val="10"/>
      <name val="Arial"/>
      <family val="2"/>
      <charset val="204"/>
    </font>
    <font>
      <b/>
      <sz val="11"/>
      <name val="Times New Roman"/>
      <family val="1"/>
      <charset val="204"/>
    </font>
    <font>
      <sz val="11"/>
      <color rgb="FFFF0000"/>
      <name val="Times New Roman"/>
      <family val="1"/>
      <charset val="204"/>
    </font>
    <font>
      <b/>
      <sz val="10"/>
      <name val="Arial"/>
      <family val="2"/>
      <charset val="204"/>
    </font>
    <font>
      <sz val="10"/>
      <name val="Arial Cyr"/>
      <charset val="204"/>
    </font>
    <font>
      <sz val="11"/>
      <color indexed="8"/>
      <name val="Calibri"/>
      <family val="2"/>
      <charset val="204"/>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i/>
      <sz val="11"/>
      <color indexed="23"/>
      <name val="Calibri"/>
      <family val="2"/>
      <charset val="204"/>
    </font>
    <font>
      <sz val="11"/>
      <color indexed="17"/>
      <name val="Calibri"/>
      <family val="2"/>
      <charset val="204"/>
    </font>
    <font>
      <b/>
      <i/>
      <sz val="16"/>
      <color rgb="FF000000"/>
      <name val="Arial"/>
      <family val="2"/>
      <charset val="204"/>
    </font>
    <font>
      <b/>
      <sz val="15"/>
      <color indexed="56"/>
      <name val="Calibri"/>
      <family val="2"/>
      <charset val="204"/>
    </font>
    <font>
      <b/>
      <sz val="13"/>
      <color indexed="56"/>
      <name val="Calibri"/>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1"/>
      <color indexed="60"/>
      <name val="Calibri"/>
      <family val="2"/>
      <charset val="204"/>
    </font>
    <font>
      <b/>
      <sz val="11"/>
      <color indexed="63"/>
      <name val="Calibri"/>
      <family val="2"/>
      <charset val="204"/>
    </font>
    <font>
      <b/>
      <i/>
      <u/>
      <sz val="11"/>
      <color rgb="FF000000"/>
      <name val="Arial"/>
      <family val="2"/>
      <charset val="204"/>
    </font>
    <font>
      <sz val="8"/>
      <color indexed="8"/>
      <name val="Arial"/>
      <family val="2"/>
      <charset val="204"/>
    </font>
    <font>
      <u/>
      <sz val="8"/>
      <color indexed="8"/>
      <name val="Arial"/>
      <family val="2"/>
      <charset val="204"/>
    </font>
    <font>
      <sz val="10"/>
      <color indexed="8"/>
      <name val="Arial"/>
      <family val="2"/>
      <charset val="204"/>
    </font>
    <font>
      <b/>
      <sz val="8"/>
      <color indexed="8"/>
      <name val="Arial"/>
      <family val="2"/>
      <charset val="204"/>
    </font>
    <font>
      <b/>
      <sz val="10"/>
      <color indexed="8"/>
      <name val="Arial"/>
      <family val="2"/>
      <charset val="204"/>
    </font>
    <font>
      <b/>
      <sz val="18"/>
      <color indexed="56"/>
      <name val="Cambria"/>
      <family val="2"/>
      <charset val="204"/>
    </font>
    <font>
      <b/>
      <sz val="11"/>
      <color indexed="8"/>
      <name val="Calibri"/>
      <family val="2"/>
      <charset val="204"/>
    </font>
    <font>
      <sz val="11"/>
      <color indexed="10"/>
      <name val="Calibri"/>
      <family val="2"/>
      <charset val="204"/>
    </font>
    <font>
      <sz val="10"/>
      <name val="Arial Narrow"/>
      <family val="2"/>
      <charset val="204"/>
    </font>
    <font>
      <sz val="12"/>
      <name val="Baltica"/>
      <charset val="204"/>
    </font>
    <font>
      <u/>
      <sz val="10.45"/>
      <color theme="10"/>
      <name val="Calibri"/>
      <family val="2"/>
      <charset val="204"/>
    </font>
    <font>
      <b/>
      <sz val="11"/>
      <color rgb="FFFF0000"/>
      <name val="Times New Roman"/>
      <family val="1"/>
      <charset val="204"/>
    </font>
    <font>
      <sz val="11"/>
      <color theme="0"/>
      <name val="Calibri"/>
      <family val="2"/>
      <scheme val="minor"/>
    </font>
    <font>
      <sz val="11"/>
      <color rgb="FFFF0000"/>
      <name val="Calibri"/>
      <family val="2"/>
      <scheme val="minor"/>
    </font>
    <font>
      <b/>
      <sz val="12"/>
      <name val="Times New Roman"/>
      <family val="1"/>
      <charset val="204"/>
    </font>
    <font>
      <b/>
      <sz val="11"/>
      <color theme="1"/>
      <name val="Calibri"/>
      <family val="2"/>
      <charset val="204"/>
      <scheme val="minor"/>
    </font>
  </fonts>
  <fills count="27">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231">
    <xf numFmtId="0" fontId="0"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5" fillId="0" borderId="0"/>
    <xf numFmtId="165" fontId="4" fillId="0" borderId="0" applyFont="0" applyFill="0" applyBorder="0" applyAlignment="0" applyProtection="0"/>
    <xf numFmtId="9" fontId="5" fillId="0" borderId="0" applyFont="0" applyFill="0" applyBorder="0" applyAlignment="0" applyProtection="0"/>
    <xf numFmtId="0" fontId="11" fillId="0" borderId="0"/>
    <xf numFmtId="0" fontId="3" fillId="0" borderId="0"/>
    <xf numFmtId="165" fontId="3" fillId="0" borderId="0" applyFont="0" applyFill="0" applyBorder="0" applyAlignment="0" applyProtection="0"/>
    <xf numFmtId="0" fontId="11" fillId="0" borderId="0"/>
    <xf numFmtId="0" fontId="2" fillId="0" borderId="0"/>
    <xf numFmtId="0" fontId="11" fillId="0" borderId="0"/>
    <xf numFmtId="0" fontId="2" fillId="0" borderId="0"/>
    <xf numFmtId="0" fontId="11" fillId="0" borderId="0"/>
    <xf numFmtId="0" fontId="15" fillId="0" borderId="0"/>
    <xf numFmtId="0" fontId="11" fillId="0" borderId="0"/>
    <xf numFmtId="9" fontId="11" fillId="0" borderId="0" applyFont="0" applyFill="0" applyBorder="0" applyAlignment="0" applyProtection="0"/>
    <xf numFmtId="0" fontId="11" fillId="0" borderId="0"/>
    <xf numFmtId="0" fontId="2" fillId="0" borderId="0"/>
    <xf numFmtId="0" fontId="11" fillId="0" borderId="0"/>
    <xf numFmtId="168" fontId="5" fillId="0" borderId="0" applyFont="0" applyFill="0" applyBorder="0" applyAlignment="0" applyProtection="0"/>
    <xf numFmtId="0" fontId="2" fillId="0" borderId="0"/>
    <xf numFmtId="172" fontId="14" fillId="0" borderId="0" applyFont="0" applyFill="0" applyBorder="0" applyAlignment="0" applyProtection="0"/>
    <xf numFmtId="168" fontId="2" fillId="0" borderId="0" applyFont="0" applyFill="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6" borderId="0" applyNumberFormat="0" applyBorder="0" applyAlignment="0" applyProtection="0"/>
    <xf numFmtId="0" fontId="16" fillId="9" borderId="0" applyNumberFormat="0" applyBorder="0" applyAlignment="0" applyProtection="0"/>
    <xf numFmtId="0" fontId="16" fillId="12" borderId="0" applyNumberFormat="0" applyBorder="0" applyAlignment="0" applyProtection="0"/>
    <xf numFmtId="0" fontId="17" fillId="13"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20" borderId="0" applyNumberFormat="0" applyBorder="0" applyAlignment="0" applyProtection="0"/>
    <xf numFmtId="0" fontId="18" fillId="4" borderId="0" applyNumberFormat="0" applyBorder="0" applyAlignment="0" applyProtection="0"/>
    <xf numFmtId="0" fontId="19" fillId="21" borderId="2" applyNumberFormat="0" applyAlignment="0" applyProtection="0"/>
    <xf numFmtId="0" fontId="20" fillId="22" borderId="3" applyNumberFormat="0" applyAlignment="0" applyProtection="0"/>
    <xf numFmtId="0" fontId="21" fillId="0" borderId="0" applyNumberFormat="0" applyFill="0" applyBorder="0" applyAlignment="0" applyProtection="0"/>
    <xf numFmtId="0" fontId="22" fillId="5" borderId="0" applyNumberFormat="0" applyBorder="0" applyAlignment="0" applyProtection="0"/>
    <xf numFmtId="0" fontId="23" fillId="0" borderId="0" applyNumberFormat="0" applyBorder="0" applyProtection="0">
      <alignment horizontal="center"/>
    </xf>
    <xf numFmtId="0" fontId="24" fillId="0" borderId="4" applyNumberFormat="0" applyFill="0" applyAlignment="0" applyProtection="0"/>
    <xf numFmtId="0" fontId="25" fillId="0" borderId="5" applyNumberFormat="0" applyFill="0" applyAlignment="0" applyProtection="0"/>
    <xf numFmtId="0" fontId="26" fillId="0" borderId="6" applyNumberFormat="0" applyFill="0" applyAlignment="0" applyProtection="0"/>
    <xf numFmtId="0" fontId="26" fillId="0" borderId="0" applyNumberFormat="0" applyFill="0" applyBorder="0" applyAlignment="0" applyProtection="0"/>
    <xf numFmtId="0" fontId="23" fillId="0" borderId="0" applyNumberFormat="0" applyBorder="0" applyProtection="0">
      <alignment horizontal="center" textRotation="90"/>
    </xf>
    <xf numFmtId="0" fontId="27" fillId="8" borderId="2" applyNumberFormat="0" applyAlignment="0" applyProtection="0"/>
    <xf numFmtId="0" fontId="28" fillId="0" borderId="7" applyNumberFormat="0" applyFill="0" applyAlignment="0" applyProtection="0"/>
    <xf numFmtId="0" fontId="29" fillId="23" borderId="0" applyNumberFormat="0" applyBorder="0" applyAlignment="0" applyProtection="0"/>
    <xf numFmtId="0" fontId="16" fillId="24" borderId="8" applyNumberFormat="0" applyFont="0" applyAlignment="0" applyProtection="0"/>
    <xf numFmtId="0" fontId="30" fillId="21" borderId="9" applyNumberFormat="0" applyAlignment="0" applyProtection="0"/>
    <xf numFmtId="0" fontId="31" fillId="0" borderId="0" applyNumberFormat="0" applyBorder="0" applyProtection="0"/>
    <xf numFmtId="173" fontId="31" fillId="0" borderId="0" applyBorder="0" applyProtection="0"/>
    <xf numFmtId="0" fontId="32" fillId="25" borderId="0">
      <alignment horizontal="left" vertical="center"/>
    </xf>
    <xf numFmtId="0" fontId="32" fillId="25" borderId="0">
      <alignment horizontal="right" vertical="center"/>
    </xf>
    <xf numFmtId="0" fontId="32" fillId="25" borderId="0">
      <alignment horizontal="left" vertical="center"/>
    </xf>
    <xf numFmtId="0" fontId="32" fillId="25" borderId="0">
      <alignment horizontal="center" vertical="center"/>
    </xf>
    <xf numFmtId="0" fontId="32" fillId="25" borderId="0">
      <alignment horizontal="center" vertical="center"/>
    </xf>
    <xf numFmtId="0" fontId="33" fillId="25" borderId="0">
      <alignment horizontal="left" vertical="center"/>
    </xf>
    <xf numFmtId="0" fontId="34" fillId="25" borderId="0">
      <alignment horizontal="right" vertical="center"/>
    </xf>
    <xf numFmtId="0" fontId="34" fillId="0" borderId="0">
      <alignment horizontal="left" vertical="top"/>
    </xf>
    <xf numFmtId="0" fontId="32" fillId="25" borderId="0">
      <alignment horizontal="center" vertical="center"/>
    </xf>
    <xf numFmtId="0" fontId="35" fillId="25" borderId="0">
      <alignment horizontal="center" vertical="center"/>
    </xf>
    <xf numFmtId="0" fontId="36" fillId="25" borderId="0">
      <alignment horizontal="center" vertical="center"/>
    </xf>
    <xf numFmtId="0" fontId="35" fillId="25" borderId="0">
      <alignment horizontal="left" vertical="center"/>
    </xf>
    <xf numFmtId="0" fontId="32" fillId="25" borderId="0">
      <alignment horizontal="center" vertical="center"/>
    </xf>
    <xf numFmtId="0" fontId="32" fillId="25" borderId="0">
      <alignment horizontal="center" vertical="center"/>
    </xf>
    <xf numFmtId="0" fontId="32" fillId="25" borderId="0">
      <alignment horizontal="left" vertical="center"/>
    </xf>
    <xf numFmtId="0" fontId="32" fillId="25" borderId="0">
      <alignment horizontal="left" vertical="center"/>
    </xf>
    <xf numFmtId="0" fontId="37" fillId="0" borderId="0" applyNumberFormat="0" applyFill="0" applyBorder="0" applyAlignment="0" applyProtection="0"/>
    <xf numFmtId="0" fontId="38" fillId="0" borderId="10" applyNumberFormat="0" applyFill="0" applyAlignment="0" applyProtection="0"/>
    <xf numFmtId="0" fontId="39" fillId="0" borderId="0" applyNumberFormat="0" applyFill="0" applyBorder="0" applyAlignment="0" applyProtection="0"/>
    <xf numFmtId="0" fontId="16" fillId="0" borderId="0"/>
    <xf numFmtId="0" fontId="16" fillId="0" borderId="0"/>
    <xf numFmtId="0" fontId="2" fillId="0" borderId="0"/>
    <xf numFmtId="0" fontId="2" fillId="0" borderId="0"/>
    <xf numFmtId="0" fontId="2" fillId="0" borderId="0"/>
    <xf numFmtId="0" fontId="11" fillId="0" borderId="0" applyNumberFormat="0" applyFont="0" applyFill="0" applyBorder="0" applyAlignment="0" applyProtection="0">
      <alignment vertical="top"/>
    </xf>
    <xf numFmtId="0" fontId="15" fillId="0" borderId="0"/>
    <xf numFmtId="0" fontId="40" fillId="0" borderId="0"/>
    <xf numFmtId="0" fontId="11" fillId="0" borderId="0" applyNumberFormat="0" applyFont="0" applyFill="0" applyBorder="0" applyAlignment="0" applyProtection="0">
      <alignment vertical="top"/>
    </xf>
    <xf numFmtId="0" fontId="15" fillId="0" borderId="0"/>
    <xf numFmtId="0" fontId="2" fillId="0" borderId="0"/>
    <xf numFmtId="0" fontId="2" fillId="0" borderId="0"/>
    <xf numFmtId="0" fontId="2" fillId="0" borderId="0"/>
    <xf numFmtId="0" fontId="2" fillId="0" borderId="0"/>
    <xf numFmtId="0" fontId="2" fillId="0" borderId="0"/>
    <xf numFmtId="0" fontId="2" fillId="0" borderId="0"/>
    <xf numFmtId="0" fontId="15"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15" fillId="0" borderId="0"/>
    <xf numFmtId="0" fontId="15" fillId="0" borderId="0"/>
    <xf numFmtId="0" fontId="15" fillId="0" borderId="0"/>
    <xf numFmtId="0" fontId="40" fillId="0" borderId="0"/>
    <xf numFmtId="0" fontId="5" fillId="0" borderId="0"/>
    <xf numFmtId="0" fontId="15" fillId="0" borderId="0"/>
    <xf numFmtId="0" fontId="2" fillId="0" borderId="0"/>
    <xf numFmtId="0" fontId="15" fillId="0" borderId="0"/>
    <xf numFmtId="0" fontId="40" fillId="0" borderId="0"/>
    <xf numFmtId="0" fontId="40" fillId="0" borderId="0"/>
    <xf numFmtId="0" fontId="2" fillId="0" borderId="0"/>
    <xf numFmtId="0" fontId="5" fillId="0" borderId="0"/>
    <xf numFmtId="0" fontId="2" fillId="0" borderId="0"/>
    <xf numFmtId="0" fontId="11" fillId="0" borderId="0"/>
    <xf numFmtId="0" fontId="11" fillId="0" borderId="0" applyNumberFormat="0" applyFont="0" applyFill="0" applyBorder="0" applyAlignment="0" applyProtection="0">
      <alignment vertical="top"/>
    </xf>
    <xf numFmtId="9" fontId="15"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9" fontId="41" fillId="0" borderId="0" applyFont="0" applyFill="0" applyBorder="0" applyAlignment="0" applyProtection="0"/>
    <xf numFmtId="170" fontId="41" fillId="0" borderId="0" applyFont="0" applyFill="0" applyBorder="0" applyAlignment="0" applyProtection="0"/>
    <xf numFmtId="168" fontId="40"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15" fillId="0" borderId="0" applyFont="0" applyFill="0" applyBorder="0" applyAlignment="0" applyProtection="0"/>
    <xf numFmtId="168" fontId="40"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7" fontId="11"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5" fillId="0" borderId="0" applyFont="0" applyFill="0" applyBorder="0" applyAlignment="0" applyProtection="0"/>
    <xf numFmtId="168" fontId="16"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8" fontId="16" fillId="0" borderId="0" applyFont="0" applyFill="0" applyBorder="0" applyAlignment="0" applyProtection="0"/>
    <xf numFmtId="0" fontId="11" fillId="0" borderId="0"/>
    <xf numFmtId="165" fontId="2" fillId="0" borderId="0" applyFont="0" applyFill="0" applyBorder="0" applyAlignment="0" applyProtection="0"/>
    <xf numFmtId="0" fontId="11" fillId="0" borderId="0"/>
    <xf numFmtId="165" fontId="2" fillId="0" borderId="0" applyFont="0" applyFill="0" applyBorder="0" applyAlignment="0" applyProtection="0"/>
    <xf numFmtId="9" fontId="2" fillId="0" borderId="0" applyFont="0" applyFill="0" applyBorder="0" applyAlignment="0" applyProtection="0"/>
    <xf numFmtId="0" fontId="11" fillId="0" borderId="0"/>
    <xf numFmtId="0" fontId="42" fillId="0" borderId="0" applyNumberFormat="0" applyFill="0" applyBorder="0" applyAlignment="0" applyProtection="0">
      <alignment vertical="top"/>
      <protection locked="0"/>
    </xf>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1" fillId="0" borderId="0"/>
    <xf numFmtId="0" fontId="11" fillId="0" borderId="0"/>
    <xf numFmtId="0" fontId="38" fillId="0" borderId="14" applyNumberFormat="0" applyFill="0" applyAlignment="0" applyProtection="0"/>
    <xf numFmtId="0" fontId="27" fillId="8" borderId="19" applyNumberFormat="0" applyAlignment="0" applyProtection="0"/>
    <xf numFmtId="0" fontId="27" fillId="8" borderId="11" applyNumberFormat="0" applyAlignment="0" applyProtection="0"/>
    <xf numFmtId="0" fontId="38" fillId="0" borderId="22" applyNumberFormat="0" applyFill="0" applyAlignment="0" applyProtection="0"/>
    <xf numFmtId="0" fontId="30" fillId="21" borderId="17" applyNumberFormat="0" applyAlignment="0" applyProtection="0"/>
    <xf numFmtId="0" fontId="30" fillId="21" borderId="13" applyNumberFormat="0" applyAlignment="0" applyProtection="0"/>
    <xf numFmtId="0" fontId="16" fillId="24" borderId="12" applyNumberFormat="0" applyFont="0" applyAlignment="0" applyProtection="0"/>
    <xf numFmtId="0" fontId="19" fillId="21" borderId="11" applyNumberFormat="0" applyAlignment="0" applyProtection="0"/>
    <xf numFmtId="0" fontId="38" fillId="0" borderId="18" applyNumberFormat="0" applyFill="0" applyAlignment="0" applyProtection="0"/>
    <xf numFmtId="0" fontId="16" fillId="24" borderId="16" applyNumberFormat="0" applyFont="0" applyAlignment="0" applyProtection="0"/>
    <xf numFmtId="0" fontId="30" fillId="21" borderId="21" applyNumberFormat="0" applyAlignment="0" applyProtection="0"/>
    <xf numFmtId="0" fontId="19" fillId="21" borderId="19" applyNumberFormat="0" applyAlignment="0" applyProtection="0"/>
    <xf numFmtId="0" fontId="27" fillId="8" borderId="15" applyNumberFormat="0" applyAlignment="0" applyProtection="0"/>
    <xf numFmtId="0" fontId="19" fillId="21" borderId="15" applyNumberFormat="0" applyAlignment="0" applyProtection="0"/>
    <xf numFmtId="0" fontId="16" fillId="24" borderId="20" applyNumberFormat="0" applyFont="0" applyAlignment="0" applyProtection="0"/>
    <xf numFmtId="0" fontId="1" fillId="0" borderId="0"/>
    <xf numFmtId="0" fontId="1" fillId="0" borderId="0"/>
    <xf numFmtId="0" fontId="1" fillId="0" borderId="0"/>
    <xf numFmtId="0" fontId="1" fillId="0" borderId="0"/>
    <xf numFmtId="168" fontId="1" fillId="0" borderId="0" applyFont="0" applyFill="0" applyBorder="0" applyAlignment="0" applyProtection="0"/>
    <xf numFmtId="0" fontId="38" fillId="0" borderId="26" applyNumberFormat="0" applyFill="0" applyAlignment="0" applyProtection="0"/>
    <xf numFmtId="0" fontId="30" fillId="21" borderId="25" applyNumberFormat="0" applyAlignment="0" applyProtection="0"/>
    <xf numFmtId="0" fontId="16" fillId="24" borderId="24" applyNumberFormat="0" applyFont="0" applyAlignment="0" applyProtection="0"/>
    <xf numFmtId="0" fontId="27" fillId="8" borderId="23" applyNumberFormat="0" applyAlignment="0" applyProtection="0"/>
    <xf numFmtId="0" fontId="19" fillId="21" borderId="23"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86">
    <xf numFmtId="0" fontId="0" fillId="0" borderId="0" xfId="0"/>
    <xf numFmtId="0" fontId="5" fillId="0" borderId="0" xfId="0" applyFont="1"/>
    <xf numFmtId="0" fontId="5" fillId="0" borderId="0" xfId="0" applyFont="1" applyAlignment="1">
      <alignment horizontal="center" vertical="center"/>
    </xf>
    <xf numFmtId="0" fontId="6" fillId="0" borderId="1" xfId="0" applyFont="1" applyBorder="1"/>
    <xf numFmtId="4" fontId="8" fillId="0" borderId="1" xfId="0" applyNumberFormat="1" applyFont="1" applyBorder="1" applyAlignment="1">
      <alignment horizontal="right" vertical="center"/>
    </xf>
    <xf numFmtId="0" fontId="8" fillId="0" borderId="0" xfId="0" applyFont="1" applyAlignment="1">
      <alignment horizontal="right" vertical="center" wrapText="1"/>
    </xf>
    <xf numFmtId="0" fontId="8" fillId="0" borderId="0" xfId="0" applyFont="1" applyAlignment="1">
      <alignment vertical="center"/>
    </xf>
    <xf numFmtId="4" fontId="8" fillId="0" borderId="0" xfId="0" applyNumberFormat="1" applyFont="1" applyAlignment="1">
      <alignment vertical="center"/>
    </xf>
    <xf numFmtId="2" fontId="8" fillId="0" borderId="0" xfId="0" applyNumberFormat="1" applyFont="1" applyAlignment="1">
      <alignment vertical="center"/>
    </xf>
    <xf numFmtId="0" fontId="5" fillId="0" borderId="0" xfId="0" applyFont="1" applyAlignment="1">
      <alignment vertical="center"/>
    </xf>
    <xf numFmtId="0" fontId="6" fillId="0" borderId="1" xfId="0" applyFont="1" applyBorder="1" applyAlignment="1">
      <alignment horizontal="left" vertical="center" wrapText="1"/>
    </xf>
    <xf numFmtId="165" fontId="6" fillId="0" borderId="1" xfId="0" applyNumberFormat="1" applyFont="1" applyBorder="1" applyAlignment="1">
      <alignment horizontal="center" vertical="center" wrapText="1"/>
    </xf>
    <xf numFmtId="0" fontId="9" fillId="0" borderId="1" xfId="7" applyFont="1" applyBorder="1"/>
    <xf numFmtId="0" fontId="10" fillId="0" borderId="0" xfId="8" applyFont="1" applyAlignment="1">
      <alignment vertical="center"/>
    </xf>
    <xf numFmtId="0" fontId="12" fillId="0" borderId="1" xfId="7" applyFont="1" applyBorder="1" applyAlignment="1">
      <alignment vertical="center" wrapText="1"/>
    </xf>
    <xf numFmtId="4" fontId="8" fillId="0" borderId="1" xfId="0" applyNumberFormat="1" applyFont="1" applyBorder="1" applyAlignment="1">
      <alignment horizontal="center" vertical="center" wrapText="1"/>
    </xf>
    <xf numFmtId="0" fontId="0" fillId="0" borderId="0" xfId="0" applyAlignment="1">
      <alignment horizontal="center" vertical="center"/>
    </xf>
    <xf numFmtId="0" fontId="12" fillId="0" borderId="0" xfId="7" applyFont="1" applyAlignment="1">
      <alignment vertical="center" wrapText="1"/>
    </xf>
    <xf numFmtId="0" fontId="9" fillId="0" borderId="0" xfId="7" applyFont="1"/>
    <xf numFmtId="4" fontId="12" fillId="0" borderId="0" xfId="7" applyNumberFormat="1" applyFont="1" applyAlignment="1">
      <alignment vertical="center"/>
    </xf>
    <xf numFmtId="3" fontId="8" fillId="0" borderId="1" xfId="0" applyNumberFormat="1" applyFont="1" applyBorder="1" applyAlignment="1">
      <alignment horizontal="center" vertical="center" wrapText="1"/>
    </xf>
    <xf numFmtId="165" fontId="8" fillId="0" borderId="1" xfId="0" applyNumberFormat="1" applyFont="1" applyBorder="1" applyAlignment="1">
      <alignment horizontal="right" vertical="center" wrapText="1"/>
    </xf>
    <xf numFmtId="166" fontId="6" fillId="0" borderId="1" xfId="0" applyNumberFormat="1" applyFont="1" applyBorder="1" applyAlignment="1">
      <alignment horizontal="center" vertical="center" wrapText="1"/>
    </xf>
    <xf numFmtId="9" fontId="6" fillId="0" borderId="0" xfId="0" applyNumberFormat="1" applyFont="1" applyAlignment="1">
      <alignment vertical="center"/>
    </xf>
    <xf numFmtId="4" fontId="6" fillId="0" borderId="0" xfId="0" applyNumberFormat="1" applyFont="1" applyAlignment="1">
      <alignment vertical="center"/>
    </xf>
    <xf numFmtId="1" fontId="6" fillId="0" borderId="0" xfId="0" applyNumberFormat="1" applyFont="1" applyAlignment="1">
      <alignment vertical="center"/>
    </xf>
    <xf numFmtId="171" fontId="13" fillId="0" borderId="0" xfId="0" applyNumberFormat="1" applyFont="1" applyAlignment="1">
      <alignment vertical="center"/>
    </xf>
    <xf numFmtId="171" fontId="6" fillId="0" borderId="0" xfId="0" applyNumberFormat="1" applyFont="1" applyAlignment="1">
      <alignment vertical="center"/>
    </xf>
    <xf numFmtId="3" fontId="6" fillId="0" borderId="0" xfId="0" applyNumberFormat="1" applyFont="1" applyAlignment="1">
      <alignment vertical="center"/>
    </xf>
    <xf numFmtId="174" fontId="6" fillId="0" borderId="0" xfId="0" applyNumberFormat="1" applyFont="1" applyAlignment="1">
      <alignment vertical="center"/>
    </xf>
    <xf numFmtId="174" fontId="6" fillId="0" borderId="1" xfId="0" applyNumberFormat="1" applyFont="1" applyBorder="1" applyAlignment="1">
      <alignment horizontal="right" vertical="center" wrapText="1"/>
    </xf>
    <xf numFmtId="171" fontId="9" fillId="0" borderId="0" xfId="7" applyNumberFormat="1" applyFont="1" applyAlignment="1">
      <alignment horizontal="right"/>
    </xf>
    <xf numFmtId="0" fontId="9" fillId="0" borderId="0" xfId="7" applyFont="1" applyAlignment="1">
      <alignment vertical="center"/>
    </xf>
    <xf numFmtId="2" fontId="9" fillId="0" borderId="0" xfId="7" applyNumberFormat="1" applyFont="1" applyAlignment="1">
      <alignment horizontal="left" vertical="center"/>
    </xf>
    <xf numFmtId="175" fontId="6" fillId="0" borderId="0" xfId="0" applyNumberFormat="1" applyFont="1" applyAlignment="1">
      <alignment horizontal="center" vertical="center" wrapText="1"/>
    </xf>
    <xf numFmtId="0" fontId="43" fillId="0" borderId="0" xfId="0" applyFont="1" applyAlignment="1">
      <alignment horizontal="center" vertical="center" wrapText="1"/>
    </xf>
    <xf numFmtId="0" fontId="6" fillId="0" borderId="0" xfId="10" applyFont="1" applyAlignment="1">
      <alignment horizontal="left" vertical="center"/>
    </xf>
    <xf numFmtId="0" fontId="8" fillId="0" borderId="0" xfId="0" applyFont="1" applyAlignment="1">
      <alignment horizontal="right"/>
    </xf>
    <xf numFmtId="0" fontId="6" fillId="0" borderId="0" xfId="0" applyFont="1"/>
    <xf numFmtId="4" fontId="8" fillId="0" borderId="0" xfId="0" applyNumberFormat="1" applyFont="1" applyAlignment="1">
      <alignment horizontal="right" vertical="center"/>
    </xf>
    <xf numFmtId="3" fontId="8" fillId="0" borderId="0" xfId="0" applyNumberFormat="1" applyFont="1" applyAlignment="1">
      <alignment horizontal="right" vertical="center"/>
    </xf>
    <xf numFmtId="3" fontId="43" fillId="0" borderId="0" xfId="0" applyNumberFormat="1" applyFont="1" applyAlignment="1">
      <alignment horizontal="right" vertical="center"/>
    </xf>
    <xf numFmtId="171" fontId="9" fillId="0" borderId="0" xfId="154" applyNumberFormat="1" applyFont="1"/>
    <xf numFmtId="0" fontId="8" fillId="0" borderId="0" xfId="0" applyFont="1" applyAlignment="1">
      <alignment horizontal="left" vertical="center" wrapText="1"/>
    </xf>
    <xf numFmtId="0" fontId="6" fillId="0" borderId="0" xfId="0" applyFont="1" applyAlignment="1">
      <alignment horizontal="left" wrapText="1"/>
    </xf>
    <xf numFmtId="0" fontId="9" fillId="0" borderId="0" xfId="7" applyFont="1" applyAlignment="1">
      <alignment horizontal="left" vertical="center" wrapText="1"/>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3" fontId="12" fillId="0" borderId="1" xfId="7" applyNumberFormat="1" applyFont="1" applyBorder="1" applyAlignment="1">
      <alignment vertical="center"/>
    </xf>
    <xf numFmtId="3" fontId="8" fillId="0" borderId="1" xfId="0" applyNumberFormat="1" applyFont="1" applyBorder="1" applyAlignment="1">
      <alignment horizontal="right" vertical="center"/>
    </xf>
    <xf numFmtId="0" fontId="6" fillId="0" borderId="0" xfId="0" applyFont="1" applyAlignment="1">
      <alignment horizontal="left" vertical="center" wrapText="1"/>
    </xf>
    <xf numFmtId="174" fontId="44" fillId="0" borderId="0" xfId="0" applyNumberFormat="1" applyFont="1"/>
    <xf numFmtId="171" fontId="6" fillId="0" borderId="0" xfId="0" applyNumberFormat="1" applyFont="1" applyAlignment="1">
      <alignment horizontal="right" vertical="center"/>
    </xf>
    <xf numFmtId="176" fontId="5" fillId="0" borderId="0" xfId="0" applyNumberFormat="1" applyFont="1"/>
    <xf numFmtId="0" fontId="8" fillId="2" borderId="1" xfId="0" applyFont="1" applyFill="1" applyBorder="1" applyAlignment="1">
      <alignment horizontal="center" vertical="center" wrapText="1"/>
    </xf>
    <xf numFmtId="0" fontId="9" fillId="2" borderId="0" xfId="7" applyFont="1" applyFill="1" applyAlignment="1">
      <alignment vertical="center"/>
    </xf>
    <xf numFmtId="0" fontId="8" fillId="2" borderId="0" xfId="0" applyFont="1" applyFill="1" applyAlignment="1">
      <alignment vertical="center"/>
    </xf>
    <xf numFmtId="4" fontId="8" fillId="2" borderId="0" xfId="0" applyNumberFormat="1" applyFont="1" applyFill="1" applyAlignment="1">
      <alignment vertical="center"/>
    </xf>
    <xf numFmtId="2" fontId="8" fillId="2" borderId="0" xfId="0" applyNumberFormat="1" applyFont="1" applyFill="1" applyAlignment="1">
      <alignment vertical="center"/>
    </xf>
    <xf numFmtId="171" fontId="9" fillId="2" borderId="0" xfId="154" applyNumberFormat="1" applyFont="1" applyFill="1"/>
    <xf numFmtId="0" fontId="8" fillId="2" borderId="0" xfId="0" applyFont="1" applyFill="1" applyAlignment="1">
      <alignment horizontal="right" vertical="center" wrapText="1"/>
    </xf>
    <xf numFmtId="174" fontId="6" fillId="2" borderId="0" xfId="0" applyNumberFormat="1" applyFont="1" applyFill="1" applyAlignment="1">
      <alignment vertical="center"/>
    </xf>
    <xf numFmtId="4" fontId="6" fillId="2" borderId="0" xfId="0" applyNumberFormat="1" applyFont="1" applyFill="1" applyAlignment="1">
      <alignment vertical="center"/>
    </xf>
    <xf numFmtId="3" fontId="6" fillId="0" borderId="0" xfId="0" applyNumberFormat="1" applyFont="1" applyAlignment="1">
      <alignment horizontal="right" vertical="center"/>
    </xf>
    <xf numFmtId="165" fontId="6" fillId="0" borderId="1" xfId="0" applyNumberFormat="1" applyFont="1" applyBorder="1" applyAlignment="1">
      <alignment horizontal="right" vertical="center" wrapText="1"/>
    </xf>
    <xf numFmtId="0" fontId="6" fillId="2" borderId="0" xfId="0" applyFont="1" applyFill="1" applyAlignment="1">
      <alignment horizontal="left" vertical="center" wrapText="1"/>
    </xf>
    <xf numFmtId="177" fontId="6" fillId="0" borderId="0" xfId="6" applyNumberFormat="1" applyFont="1" applyFill="1" applyBorder="1" applyAlignment="1">
      <alignment vertical="center"/>
    </xf>
    <xf numFmtId="3" fontId="43" fillId="0" borderId="0" xfId="7" applyNumberFormat="1" applyFont="1" applyAlignment="1">
      <alignment vertical="center"/>
    </xf>
    <xf numFmtId="4" fontId="43" fillId="0" borderId="0" xfId="7" applyNumberFormat="1" applyFont="1" applyAlignment="1">
      <alignment vertical="center"/>
    </xf>
    <xf numFmtId="164" fontId="45" fillId="0" borderId="0" xfId="0" applyNumberFormat="1" applyFont="1"/>
    <xf numFmtId="0" fontId="6" fillId="0" borderId="0" xfId="0" applyFont="1" applyAlignment="1">
      <alignment horizontal="left" vertical="center" wrapText="1"/>
    </xf>
    <xf numFmtId="0" fontId="7" fillId="0" borderId="0" xfId="0" applyFont="1" applyAlignment="1">
      <alignment horizontal="center" vertical="center" wrapText="1"/>
    </xf>
    <xf numFmtId="0" fontId="9" fillId="0" borderId="0" xfId="7" applyFont="1" applyAlignment="1">
      <alignment horizontal="left" vertical="center" wrapText="1"/>
    </xf>
    <xf numFmtId="0" fontId="6" fillId="2" borderId="0" xfId="0" applyFont="1" applyFill="1" applyAlignment="1">
      <alignment horizontal="left" vertical="center" wrapText="1"/>
    </xf>
    <xf numFmtId="0" fontId="46" fillId="0" borderId="0" xfId="7" applyFont="1" applyAlignment="1">
      <alignment horizontal="center" vertical="center"/>
    </xf>
    <xf numFmtId="0" fontId="8" fillId="0" borderId="0" xfId="0" applyFont="1" applyAlignment="1">
      <alignment horizontal="left" vertical="center" wrapText="1"/>
    </xf>
    <xf numFmtId="0" fontId="7" fillId="0" borderId="0" xfId="8" applyFont="1" applyAlignment="1">
      <alignment horizontal="left" vertical="center" wrapText="1"/>
    </xf>
    <xf numFmtId="0" fontId="7" fillId="0" borderId="0" xfId="8" applyFont="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left" vertical="center" wrapText="1"/>
    </xf>
    <xf numFmtId="10" fontId="5" fillId="0" borderId="0" xfId="0" applyNumberFormat="1" applyFont="1" applyAlignment="1">
      <alignment horizontal="center" vertical="center"/>
    </xf>
    <xf numFmtId="4" fontId="47" fillId="0" borderId="0" xfId="0" applyNumberFormat="1" applyFont="1" applyAlignment="1">
      <alignment horizontal="center" vertical="center"/>
    </xf>
    <xf numFmtId="4" fontId="5" fillId="0" borderId="0" xfId="0" applyNumberFormat="1" applyFont="1" applyAlignment="1">
      <alignment horizontal="center" vertical="center"/>
    </xf>
    <xf numFmtId="165" fontId="5" fillId="0" borderId="0" xfId="0" applyNumberFormat="1" applyFont="1" applyAlignment="1">
      <alignment horizontal="right"/>
    </xf>
    <xf numFmtId="165" fontId="5" fillId="0" borderId="0" xfId="0" applyNumberFormat="1" applyFont="1"/>
    <xf numFmtId="166" fontId="8" fillId="26" borderId="1" xfId="0" applyNumberFormat="1" applyFont="1" applyFill="1" applyBorder="1" applyAlignment="1">
      <alignment horizontal="center" vertical="center" wrapText="1"/>
    </xf>
  </cellXfs>
  <cellStyles count="231">
    <cellStyle name="20% - Accent1" xfId="25" xr:uid="{00000000-0005-0000-0000-000000000000}"/>
    <cellStyle name="20% - Accent2" xfId="26" xr:uid="{00000000-0005-0000-0000-000001000000}"/>
    <cellStyle name="20% - Accent3" xfId="27" xr:uid="{00000000-0005-0000-0000-000002000000}"/>
    <cellStyle name="20% - Accent4" xfId="28" xr:uid="{00000000-0005-0000-0000-000003000000}"/>
    <cellStyle name="20% - Accent5" xfId="29" xr:uid="{00000000-0005-0000-0000-000004000000}"/>
    <cellStyle name="20% - Accent6" xfId="30" xr:uid="{00000000-0005-0000-0000-000005000000}"/>
    <cellStyle name="40% - Accent1" xfId="31" xr:uid="{00000000-0005-0000-0000-000006000000}"/>
    <cellStyle name="40% - Accent2" xfId="32" xr:uid="{00000000-0005-0000-0000-000007000000}"/>
    <cellStyle name="40% - Accent3" xfId="33" xr:uid="{00000000-0005-0000-0000-000008000000}"/>
    <cellStyle name="40% - Accent4" xfId="34" xr:uid="{00000000-0005-0000-0000-000009000000}"/>
    <cellStyle name="40% - Accent5" xfId="35" xr:uid="{00000000-0005-0000-0000-00000A000000}"/>
    <cellStyle name="40% - Accent6" xfId="36" xr:uid="{00000000-0005-0000-0000-00000B000000}"/>
    <cellStyle name="60% - Accent1" xfId="37" xr:uid="{00000000-0005-0000-0000-00000C000000}"/>
    <cellStyle name="60% - Accent2" xfId="38" xr:uid="{00000000-0005-0000-0000-00000D000000}"/>
    <cellStyle name="60% - Accent3" xfId="39" xr:uid="{00000000-0005-0000-0000-00000E000000}"/>
    <cellStyle name="60% - Accent4" xfId="40" xr:uid="{00000000-0005-0000-0000-00000F000000}"/>
    <cellStyle name="60% - Accent5" xfId="41" xr:uid="{00000000-0005-0000-0000-000010000000}"/>
    <cellStyle name="60% - Accent6" xfId="42" xr:uid="{00000000-0005-0000-0000-000011000000}"/>
    <cellStyle name="Accent1" xfId="43" xr:uid="{00000000-0005-0000-0000-000012000000}"/>
    <cellStyle name="Accent2" xfId="44" xr:uid="{00000000-0005-0000-0000-000013000000}"/>
    <cellStyle name="Accent3" xfId="45" xr:uid="{00000000-0005-0000-0000-000014000000}"/>
    <cellStyle name="Accent4" xfId="46" xr:uid="{00000000-0005-0000-0000-000015000000}"/>
    <cellStyle name="Accent5" xfId="47" xr:uid="{00000000-0005-0000-0000-000016000000}"/>
    <cellStyle name="Accent6" xfId="48" xr:uid="{00000000-0005-0000-0000-000017000000}"/>
    <cellStyle name="Bad" xfId="49" xr:uid="{00000000-0005-0000-0000-000018000000}"/>
    <cellStyle name="Calculation" xfId="50" xr:uid="{00000000-0005-0000-0000-000019000000}"/>
    <cellStyle name="Calculation 2" xfId="174" xr:uid="{00000000-0005-0000-0000-00001A000000}"/>
    <cellStyle name="Calculation 3" xfId="180" xr:uid="{00000000-0005-0000-0000-00001B000000}"/>
    <cellStyle name="Calculation 4" xfId="178" xr:uid="{00000000-0005-0000-0000-00001C000000}"/>
    <cellStyle name="Calculation 5" xfId="191" xr:uid="{00000000-0005-0000-0000-00001D000000}"/>
    <cellStyle name="Check Cell" xfId="51" xr:uid="{00000000-0005-0000-0000-00001E000000}"/>
    <cellStyle name="Explanatory Text" xfId="52" xr:uid="{00000000-0005-0000-0000-00001F000000}"/>
    <cellStyle name="Good" xfId="53" xr:uid="{00000000-0005-0000-0000-000020000000}"/>
    <cellStyle name="Heading" xfId="54" xr:uid="{00000000-0005-0000-0000-000021000000}"/>
    <cellStyle name="Heading 1" xfId="55" xr:uid="{00000000-0005-0000-0000-000022000000}"/>
    <cellStyle name="Heading 2" xfId="56" xr:uid="{00000000-0005-0000-0000-000023000000}"/>
    <cellStyle name="Heading 3" xfId="57" xr:uid="{00000000-0005-0000-0000-000024000000}"/>
    <cellStyle name="Heading 4" xfId="58" xr:uid="{00000000-0005-0000-0000-000025000000}"/>
    <cellStyle name="Heading1" xfId="59" xr:uid="{00000000-0005-0000-0000-000026000000}"/>
    <cellStyle name="Input" xfId="60" xr:uid="{00000000-0005-0000-0000-000027000000}"/>
    <cellStyle name="Input 2" xfId="169" xr:uid="{00000000-0005-0000-0000-000028000000}"/>
    <cellStyle name="Input 3" xfId="179" xr:uid="{00000000-0005-0000-0000-000029000000}"/>
    <cellStyle name="Input 4" xfId="168" xr:uid="{00000000-0005-0000-0000-00002A000000}"/>
    <cellStyle name="Input 5" xfId="190" xr:uid="{00000000-0005-0000-0000-00002B000000}"/>
    <cellStyle name="Linked Cell" xfId="61" xr:uid="{00000000-0005-0000-0000-00002C000000}"/>
    <cellStyle name="Neutral" xfId="62" xr:uid="{00000000-0005-0000-0000-00002D000000}"/>
    <cellStyle name="Note" xfId="63" xr:uid="{00000000-0005-0000-0000-00002E000000}"/>
    <cellStyle name="Note 2" xfId="173" xr:uid="{00000000-0005-0000-0000-00002F000000}"/>
    <cellStyle name="Note 3" xfId="176" xr:uid="{00000000-0005-0000-0000-000030000000}"/>
    <cellStyle name="Note 4" xfId="181" xr:uid="{00000000-0005-0000-0000-000031000000}"/>
    <cellStyle name="Note 5" xfId="189" xr:uid="{00000000-0005-0000-0000-000032000000}"/>
    <cellStyle name="Output" xfId="64" xr:uid="{00000000-0005-0000-0000-000033000000}"/>
    <cellStyle name="Output 2" xfId="172" xr:uid="{00000000-0005-0000-0000-000034000000}"/>
    <cellStyle name="Output 3" xfId="171" xr:uid="{00000000-0005-0000-0000-000035000000}"/>
    <cellStyle name="Output 4" xfId="177" xr:uid="{00000000-0005-0000-0000-000036000000}"/>
    <cellStyle name="Output 5" xfId="188" xr:uid="{00000000-0005-0000-0000-000037000000}"/>
    <cellStyle name="Result" xfId="65" xr:uid="{00000000-0005-0000-0000-000038000000}"/>
    <cellStyle name="Result2" xfId="66" xr:uid="{00000000-0005-0000-0000-000039000000}"/>
    <cellStyle name="S0" xfId="67" xr:uid="{00000000-0005-0000-0000-00003A000000}"/>
    <cellStyle name="S1" xfId="68" xr:uid="{00000000-0005-0000-0000-00003B000000}"/>
    <cellStyle name="S10" xfId="69" xr:uid="{00000000-0005-0000-0000-00003C000000}"/>
    <cellStyle name="S11" xfId="70" xr:uid="{00000000-0005-0000-0000-00003D000000}"/>
    <cellStyle name="S12" xfId="71" xr:uid="{00000000-0005-0000-0000-00003E000000}"/>
    <cellStyle name="S13" xfId="72" xr:uid="{00000000-0005-0000-0000-00003F000000}"/>
    <cellStyle name="S14" xfId="73" xr:uid="{00000000-0005-0000-0000-000040000000}"/>
    <cellStyle name="S17" xfId="74" xr:uid="{00000000-0005-0000-0000-000041000000}"/>
    <cellStyle name="S2" xfId="75" xr:uid="{00000000-0005-0000-0000-000042000000}"/>
    <cellStyle name="S3" xfId="76" xr:uid="{00000000-0005-0000-0000-000043000000}"/>
    <cellStyle name="S4" xfId="77" xr:uid="{00000000-0005-0000-0000-000044000000}"/>
    <cellStyle name="S5" xfId="78" xr:uid="{00000000-0005-0000-0000-000045000000}"/>
    <cellStyle name="S6" xfId="79" xr:uid="{00000000-0005-0000-0000-000046000000}"/>
    <cellStyle name="S7" xfId="80" xr:uid="{00000000-0005-0000-0000-000047000000}"/>
    <cellStyle name="S8" xfId="81" xr:uid="{00000000-0005-0000-0000-000048000000}"/>
    <cellStyle name="S9" xfId="82" xr:uid="{00000000-0005-0000-0000-000049000000}"/>
    <cellStyle name="Title" xfId="83" xr:uid="{00000000-0005-0000-0000-00004A000000}"/>
    <cellStyle name="Total" xfId="84" xr:uid="{00000000-0005-0000-0000-00004B000000}"/>
    <cellStyle name="Total 2" xfId="167" xr:uid="{00000000-0005-0000-0000-00004C000000}"/>
    <cellStyle name="Total 3" xfId="175" xr:uid="{00000000-0005-0000-0000-00004D000000}"/>
    <cellStyle name="Total 4" xfId="170" xr:uid="{00000000-0005-0000-0000-00004E000000}"/>
    <cellStyle name="Total 5" xfId="187" xr:uid="{00000000-0005-0000-0000-00004F000000}"/>
    <cellStyle name="Warning Text" xfId="85" xr:uid="{00000000-0005-0000-0000-000050000000}"/>
    <cellStyle name="Гиперссылка 3" xfId="160" xr:uid="{00000000-0005-0000-0000-000051000000}"/>
    <cellStyle name="Обычный" xfId="0" builtinId="0"/>
    <cellStyle name="Обычный 10" xfId="86" xr:uid="{00000000-0005-0000-0000-000053000000}"/>
    <cellStyle name="Обычный 10 2" xfId="87" xr:uid="{00000000-0005-0000-0000-000054000000}"/>
    <cellStyle name="Обычный 11" xfId="88" xr:uid="{00000000-0005-0000-0000-000055000000}"/>
    <cellStyle name="Обычный 11 2" xfId="192" xr:uid="{00000000-0005-0000-0000-000056000000}"/>
    <cellStyle name="Обычный 12" xfId="89" xr:uid="{00000000-0005-0000-0000-000057000000}"/>
    <cellStyle name="Обычный 12 2" xfId="90" xr:uid="{00000000-0005-0000-0000-000058000000}"/>
    <cellStyle name="Обычный 12 2 2" xfId="194" xr:uid="{00000000-0005-0000-0000-000059000000}"/>
    <cellStyle name="Обычный 12 3" xfId="193" xr:uid="{00000000-0005-0000-0000-00005A000000}"/>
    <cellStyle name="Обычный 13" xfId="19" xr:uid="{00000000-0005-0000-0000-00005B000000}"/>
    <cellStyle name="Обычный 13 2" xfId="184" xr:uid="{00000000-0005-0000-0000-00005C000000}"/>
    <cellStyle name="Обычный 14" xfId="8" xr:uid="{00000000-0005-0000-0000-00005D000000}"/>
    <cellStyle name="Обычный 14 2" xfId="13" xr:uid="{00000000-0005-0000-0000-00005E000000}"/>
    <cellStyle name="Обычный 14 3" xfId="183" xr:uid="{00000000-0005-0000-0000-00005F000000}"/>
    <cellStyle name="Обычный 15" xfId="156" xr:uid="{00000000-0005-0000-0000-000060000000}"/>
    <cellStyle name="Обычный 16" xfId="159" xr:uid="{00000000-0005-0000-0000-000061000000}"/>
    <cellStyle name="Обычный 16 2" xfId="166" xr:uid="{00000000-0005-0000-0000-000062000000}"/>
    <cellStyle name="Обычный 17" xfId="165" xr:uid="{00000000-0005-0000-0000-000063000000}"/>
    <cellStyle name="Обычный 18" xfId="11" xr:uid="{00000000-0005-0000-0000-000064000000}"/>
    <cellStyle name="Обычный 19" xfId="182" xr:uid="{00000000-0005-0000-0000-000065000000}"/>
    <cellStyle name="Обычный 2" xfId="12" xr:uid="{00000000-0005-0000-0000-000066000000}"/>
    <cellStyle name="Обычный 2 2" xfId="15" xr:uid="{00000000-0005-0000-0000-000067000000}"/>
    <cellStyle name="Обычный 2 2 2" xfId="91" xr:uid="{00000000-0005-0000-0000-000068000000}"/>
    <cellStyle name="Обычный 2 2 3" xfId="92" xr:uid="{00000000-0005-0000-0000-000069000000}"/>
    <cellStyle name="Обычный 2 3" xfId="93" xr:uid="{00000000-0005-0000-0000-00006A000000}"/>
    <cellStyle name="Обычный 2 4" xfId="94" xr:uid="{00000000-0005-0000-0000-00006B000000}"/>
    <cellStyle name="Обычный 2 4 2" xfId="95" xr:uid="{00000000-0005-0000-0000-00006C000000}"/>
    <cellStyle name="Обычный 2 5" xfId="1" xr:uid="{00000000-0005-0000-0000-00006D000000}"/>
    <cellStyle name="Обычный 2 5 2" xfId="161" xr:uid="{00000000-0005-0000-0000-00006E000000}"/>
    <cellStyle name="Обычный 2 5 3" xfId="227" xr:uid="{00000000-0005-0000-0000-00006F000000}"/>
    <cellStyle name="Обычный 3" xfId="14" xr:uid="{00000000-0005-0000-0000-000070000000}"/>
    <cellStyle name="Обычный 3 2" xfId="22" xr:uid="{00000000-0005-0000-0000-000071000000}"/>
    <cellStyle name="Обычный 3 2 2" xfId="96" xr:uid="{00000000-0005-0000-0000-000072000000}"/>
    <cellStyle name="Обычный 3 2 2 2" xfId="97" xr:uid="{00000000-0005-0000-0000-000073000000}"/>
    <cellStyle name="Обычный 3 2 2 2 2" xfId="196" xr:uid="{00000000-0005-0000-0000-000074000000}"/>
    <cellStyle name="Обычный 3 2 2 3" xfId="195" xr:uid="{00000000-0005-0000-0000-000075000000}"/>
    <cellStyle name="Обычный 3 2 3" xfId="98" xr:uid="{00000000-0005-0000-0000-000076000000}"/>
    <cellStyle name="Обычный 3 2 3 2" xfId="197" xr:uid="{00000000-0005-0000-0000-000077000000}"/>
    <cellStyle name="Обычный 3 2 4" xfId="99" xr:uid="{00000000-0005-0000-0000-000078000000}"/>
    <cellStyle name="Обычный 3 2 4 2" xfId="198" xr:uid="{00000000-0005-0000-0000-000079000000}"/>
    <cellStyle name="Обычный 3 2 5" xfId="185" xr:uid="{00000000-0005-0000-0000-00007A000000}"/>
    <cellStyle name="Обычный 3 3" xfId="18" xr:uid="{00000000-0005-0000-0000-00007B000000}"/>
    <cellStyle name="Обычный 3 3 2" xfId="100" xr:uid="{00000000-0005-0000-0000-00007C000000}"/>
    <cellStyle name="Обычный 3 3 2 2" xfId="199" xr:uid="{00000000-0005-0000-0000-00007D000000}"/>
    <cellStyle name="Обычный 3 3 3" xfId="154" xr:uid="{00000000-0005-0000-0000-00007E000000}"/>
    <cellStyle name="Обычный 3 4" xfId="10" xr:uid="{00000000-0005-0000-0000-00007F000000}"/>
    <cellStyle name="Обычный 3 4 2" xfId="101" xr:uid="{00000000-0005-0000-0000-000080000000}"/>
    <cellStyle name="Обычный 3 4 2 2" xfId="200" xr:uid="{00000000-0005-0000-0000-000081000000}"/>
    <cellStyle name="Обычный 3 4 3" xfId="102" xr:uid="{00000000-0005-0000-0000-000082000000}"/>
    <cellStyle name="Обычный 3 5" xfId="103" xr:uid="{00000000-0005-0000-0000-000083000000}"/>
    <cellStyle name="Обычный 3 5 2" xfId="104" xr:uid="{00000000-0005-0000-0000-000084000000}"/>
    <cellStyle name="Обычный 3 5 2 2" xfId="202" xr:uid="{00000000-0005-0000-0000-000085000000}"/>
    <cellStyle name="Обычный 3 5 3" xfId="201" xr:uid="{00000000-0005-0000-0000-000086000000}"/>
    <cellStyle name="Обычный 3 6" xfId="105" xr:uid="{00000000-0005-0000-0000-000087000000}"/>
    <cellStyle name="Обычный 3 6 2" xfId="203" xr:uid="{00000000-0005-0000-0000-000088000000}"/>
    <cellStyle name="Обычный 3 7" xfId="106" xr:uid="{00000000-0005-0000-0000-000089000000}"/>
    <cellStyle name="Обычный 3 7 2" xfId="204" xr:uid="{00000000-0005-0000-0000-00008A000000}"/>
    <cellStyle name="Обычный 4" xfId="16" xr:uid="{00000000-0005-0000-0000-00008B000000}"/>
    <cellStyle name="Обычный 4 2" xfId="7" xr:uid="{00000000-0005-0000-0000-00008C000000}"/>
    <cellStyle name="Обычный 4 2 2" xfId="107" xr:uid="{00000000-0005-0000-0000-00008D000000}"/>
    <cellStyle name="Обычный 4 3" xfId="108" xr:uid="{00000000-0005-0000-0000-00008E000000}"/>
    <cellStyle name="Обычный 4 3 2" xfId="109" xr:uid="{00000000-0005-0000-0000-00008F000000}"/>
    <cellStyle name="Обычный 4 3 2 2" xfId="206" xr:uid="{00000000-0005-0000-0000-000090000000}"/>
    <cellStyle name="Обычный 4 3 3" xfId="205" xr:uid="{00000000-0005-0000-0000-000091000000}"/>
    <cellStyle name="Обычный 4 4" xfId="110" xr:uid="{00000000-0005-0000-0000-000092000000}"/>
    <cellStyle name="Обычный 5" xfId="20" xr:uid="{00000000-0005-0000-0000-000093000000}"/>
    <cellStyle name="Обычный 5 2" xfId="111" xr:uid="{00000000-0005-0000-0000-000094000000}"/>
    <cellStyle name="Обычный 6" xfId="4" xr:uid="{00000000-0005-0000-0000-000095000000}"/>
    <cellStyle name="Обычный 6 2" xfId="112" xr:uid="{00000000-0005-0000-0000-000096000000}"/>
    <cellStyle name="Обычный 6 2 2" xfId="113" xr:uid="{00000000-0005-0000-0000-000097000000}"/>
    <cellStyle name="Обычный 6 2 2 2" xfId="114" xr:uid="{00000000-0005-0000-0000-000098000000}"/>
    <cellStyle name="Обычный 6 2 3" xfId="115" xr:uid="{00000000-0005-0000-0000-000099000000}"/>
    <cellStyle name="Обычный 6 3" xfId="116" xr:uid="{00000000-0005-0000-0000-00009A000000}"/>
    <cellStyle name="Обычный 6 3 2" xfId="207" xr:uid="{00000000-0005-0000-0000-00009B000000}"/>
    <cellStyle name="Обычный 6 4" xfId="117" xr:uid="{00000000-0005-0000-0000-00009C000000}"/>
    <cellStyle name="Обычный 7" xfId="118" xr:uid="{00000000-0005-0000-0000-00009D000000}"/>
    <cellStyle name="Обычный 7 2" xfId="119" xr:uid="{00000000-0005-0000-0000-00009E000000}"/>
    <cellStyle name="Обычный 7 3" xfId="120" xr:uid="{00000000-0005-0000-0000-00009F000000}"/>
    <cellStyle name="Обычный 7 3 2" xfId="208" xr:uid="{00000000-0005-0000-0000-0000A0000000}"/>
    <cellStyle name="Обычный 7 4" xfId="121" xr:uid="{00000000-0005-0000-0000-0000A1000000}"/>
    <cellStyle name="Обычный 8" xfId="122" xr:uid="{00000000-0005-0000-0000-0000A2000000}"/>
    <cellStyle name="Обычный 8 2" xfId="209" xr:uid="{00000000-0005-0000-0000-0000A3000000}"/>
    <cellStyle name="Обычный 9" xfId="123" xr:uid="{00000000-0005-0000-0000-0000A4000000}"/>
    <cellStyle name="Обычный 9 2" xfId="124" xr:uid="{00000000-0005-0000-0000-0000A5000000}"/>
    <cellStyle name="Процентный" xfId="6" builtinId="5"/>
    <cellStyle name="Процентный 2" xfId="125" xr:uid="{00000000-0005-0000-0000-0000A7000000}"/>
    <cellStyle name="Процентный 2 2" xfId="17" xr:uid="{00000000-0005-0000-0000-0000A8000000}"/>
    <cellStyle name="Процентный 2 3" xfId="126" xr:uid="{00000000-0005-0000-0000-0000A9000000}"/>
    <cellStyle name="Процентный 3" xfId="127" xr:uid="{00000000-0005-0000-0000-0000AA000000}"/>
    <cellStyle name="Процентный 4" xfId="128" xr:uid="{00000000-0005-0000-0000-0000AB000000}"/>
    <cellStyle name="Процентный 5" xfId="158" xr:uid="{00000000-0005-0000-0000-0000AC000000}"/>
    <cellStyle name="Процентный 6" xfId="226" xr:uid="{00000000-0005-0000-0000-0000AD000000}"/>
    <cellStyle name="Тысячи [0]_Братеево (2)" xfId="129" xr:uid="{00000000-0005-0000-0000-0000AE000000}"/>
    <cellStyle name="Тысячи_Братеево (2)" xfId="130" xr:uid="{00000000-0005-0000-0000-0000AF000000}"/>
    <cellStyle name="Финансовый 10" xfId="2" xr:uid="{00000000-0005-0000-0000-0000B0000000}"/>
    <cellStyle name="Финансовый 10 2" xfId="3" xr:uid="{00000000-0005-0000-0000-0000B1000000}"/>
    <cellStyle name="Финансовый 10 2 2" xfId="163" xr:uid="{00000000-0005-0000-0000-0000B2000000}"/>
    <cellStyle name="Финансовый 10 2 3" xfId="229" xr:uid="{00000000-0005-0000-0000-0000B3000000}"/>
    <cellStyle name="Финансовый 10 3" xfId="164" xr:uid="{00000000-0005-0000-0000-0000B4000000}"/>
    <cellStyle name="Финансовый 10 3 2" xfId="230" xr:uid="{00000000-0005-0000-0000-0000B5000000}"/>
    <cellStyle name="Финансовый 10 4" xfId="162" xr:uid="{00000000-0005-0000-0000-0000B6000000}"/>
    <cellStyle name="Финансовый 10 5" xfId="228" xr:uid="{00000000-0005-0000-0000-0000B7000000}"/>
    <cellStyle name="Финансовый 11" xfId="155" xr:uid="{00000000-0005-0000-0000-0000B8000000}"/>
    <cellStyle name="Финансовый 12" xfId="224" xr:uid="{00000000-0005-0000-0000-0000B9000000}"/>
    <cellStyle name="Финансовый 2" xfId="21" xr:uid="{00000000-0005-0000-0000-0000BA000000}"/>
    <cellStyle name="Финансовый 2 2" xfId="131" xr:uid="{00000000-0005-0000-0000-0000BB000000}"/>
    <cellStyle name="Финансовый 2 2 2" xfId="132" xr:uid="{00000000-0005-0000-0000-0000BC000000}"/>
    <cellStyle name="Финансовый 2 2 2 2" xfId="210" xr:uid="{00000000-0005-0000-0000-0000BD000000}"/>
    <cellStyle name="Финансовый 2 3" xfId="133" xr:uid="{00000000-0005-0000-0000-0000BE000000}"/>
    <cellStyle name="Финансовый 2 3 2" xfId="134" xr:uid="{00000000-0005-0000-0000-0000BF000000}"/>
    <cellStyle name="Финансовый 2 3 3" xfId="211" xr:uid="{00000000-0005-0000-0000-0000C0000000}"/>
    <cellStyle name="Финансовый 2 4" xfId="5" xr:uid="{00000000-0005-0000-0000-0000C1000000}"/>
    <cellStyle name="Финансовый 2 4 2" xfId="157" xr:uid="{00000000-0005-0000-0000-0000C2000000}"/>
    <cellStyle name="Финансовый 2 4 3" xfId="225" xr:uid="{00000000-0005-0000-0000-0000C3000000}"/>
    <cellStyle name="Финансовый 3" xfId="23" xr:uid="{00000000-0005-0000-0000-0000C4000000}"/>
    <cellStyle name="Финансовый 3 2" xfId="135" xr:uid="{00000000-0005-0000-0000-0000C5000000}"/>
    <cellStyle name="Финансовый 3 2 2" xfId="136" xr:uid="{00000000-0005-0000-0000-0000C6000000}"/>
    <cellStyle name="Финансовый 3 2 2 2" xfId="212" xr:uid="{00000000-0005-0000-0000-0000C7000000}"/>
    <cellStyle name="Финансовый 3 3" xfId="137" xr:uid="{00000000-0005-0000-0000-0000C8000000}"/>
    <cellStyle name="Финансовый 3 3 2" xfId="138" xr:uid="{00000000-0005-0000-0000-0000C9000000}"/>
    <cellStyle name="Финансовый 3 3 2 2" xfId="214" xr:uid="{00000000-0005-0000-0000-0000CA000000}"/>
    <cellStyle name="Финансовый 3 3 3" xfId="213" xr:uid="{00000000-0005-0000-0000-0000CB000000}"/>
    <cellStyle name="Финансовый 3 4" xfId="139" xr:uid="{00000000-0005-0000-0000-0000CC000000}"/>
    <cellStyle name="Финансовый 3 4 2" xfId="140" xr:uid="{00000000-0005-0000-0000-0000CD000000}"/>
    <cellStyle name="Финансовый 3 4 2 2" xfId="216" xr:uid="{00000000-0005-0000-0000-0000CE000000}"/>
    <cellStyle name="Финансовый 3 4 3" xfId="215" xr:uid="{00000000-0005-0000-0000-0000CF000000}"/>
    <cellStyle name="Финансовый 3 5" xfId="141" xr:uid="{00000000-0005-0000-0000-0000D0000000}"/>
    <cellStyle name="Финансовый 3 5 2" xfId="142" xr:uid="{00000000-0005-0000-0000-0000D1000000}"/>
    <cellStyle name="Финансовый 3 5 2 2" xfId="218" xr:uid="{00000000-0005-0000-0000-0000D2000000}"/>
    <cellStyle name="Финансовый 3 5 3" xfId="217" xr:uid="{00000000-0005-0000-0000-0000D3000000}"/>
    <cellStyle name="Финансовый 3 6" xfId="143" xr:uid="{00000000-0005-0000-0000-0000D4000000}"/>
    <cellStyle name="Финансовый 3 6 2" xfId="219" xr:uid="{00000000-0005-0000-0000-0000D5000000}"/>
    <cellStyle name="Финансовый 3 7" xfId="144" xr:uid="{00000000-0005-0000-0000-0000D6000000}"/>
    <cellStyle name="Финансовый 3 7 2" xfId="220" xr:uid="{00000000-0005-0000-0000-0000D7000000}"/>
    <cellStyle name="Финансовый 3 8" xfId="145" xr:uid="{00000000-0005-0000-0000-0000D8000000}"/>
    <cellStyle name="Финансовый 3 8 2" xfId="221" xr:uid="{00000000-0005-0000-0000-0000D9000000}"/>
    <cellStyle name="Финансовый 4" xfId="146" xr:uid="{00000000-0005-0000-0000-0000DA000000}"/>
    <cellStyle name="Финансовый 5" xfId="147" xr:uid="{00000000-0005-0000-0000-0000DB000000}"/>
    <cellStyle name="Финансовый 5 2" xfId="148" xr:uid="{00000000-0005-0000-0000-0000DC000000}"/>
    <cellStyle name="Финансовый 6" xfId="149" xr:uid="{00000000-0005-0000-0000-0000DD000000}"/>
    <cellStyle name="Финансовый 7" xfId="150" xr:uid="{00000000-0005-0000-0000-0000DE000000}"/>
    <cellStyle name="Финансовый 8" xfId="9" xr:uid="{00000000-0005-0000-0000-0000DF000000}"/>
    <cellStyle name="Финансовый 8 2" xfId="152" xr:uid="{00000000-0005-0000-0000-0000E0000000}"/>
    <cellStyle name="Финансовый 8 2 2" xfId="223" xr:uid="{00000000-0005-0000-0000-0000E1000000}"/>
    <cellStyle name="Финансовый 8 3" xfId="151" xr:uid="{00000000-0005-0000-0000-0000E2000000}"/>
    <cellStyle name="Финансовый 8 4" xfId="222" xr:uid="{00000000-0005-0000-0000-0000E3000000}"/>
    <cellStyle name="Финансовый 9" xfId="24" xr:uid="{00000000-0005-0000-0000-0000E4000000}"/>
    <cellStyle name="Финансовый 9 2" xfId="153" xr:uid="{00000000-0005-0000-0000-0000E5000000}"/>
    <cellStyle name="Финансовый 9 3" xfId="186" xr:uid="{00000000-0005-0000-0000-0000E600000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1057;&#1084;&#1077;&#1090;&#1085;&#1086;&#1077;%20&#1091;&#1087;&#1088;&#1072;&#1074;&#1083;&#1077;&#1085;&#1080;&#1077;\&#1046;&#1080;&#1083;&#1099;&#1077;%20&#1076;&#1086;&#1084;&#1072;\&#1057;&#1042;&#1040;&#1054;%20(&#1041;&#1077;&#1083;&#1080;&#1085;&#1072;,%20&#1071;&#1085;&#1080;&#1081;)\&#1050;&#1054;&#1052;&#1052;&#1045;&#1056;&#1063;&#1045;&#1057;&#1050;&#1048;&#1045;%20&#1054;&#1041;&#1066;&#1045;&#1050;&#1058;&#1067;\&#1051;&#1105;&#1090;&#1095;&#1080;&#1082;&#1072;%20&#1041;&#1072;&#1073;&#1091;&#1096;&#1082;&#1080;&#1085;&#1072;%20&#1091;&#1083;.,%20&#1041;&#1072;&#1073;&#1091;&#1096;&#1082;&#1080;&#1085;&#1089;&#1082;&#1080;&#1081;,%20&#1074;&#1083;%2039\160512%20&#1055;&#1053;&#1062;%20&#1043;&#1055;%20&#1051;&#1077;&#1090;&#1095;&#1080;&#1082;&#1072;%20&#1041;&#1072;&#1073;&#1091;&#1096;&#1082;&#1080;&#1085;&#1072;,&#1074;&#1083;%203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opovev\&#1073;&#1072;&#1079;&#1072;%20&#1076;&#1072;&#1085;&#1085;&#1099;&#1093;\&#1055;&#1086;&#1103;&#1089;&#1085;&#1080;&#1090;&#1077;&#1083;&#1100;&#1085;&#1099;&#1077;%20&#1079;&#1072;&#1087;&#1080;&#1089;&#1082;&#1080;\4%20&#1072;&#1074;&#1075;&#1091;&#1089;&#1090;&#1072;%202006\Documents%20and%20Settings\Ustinov\Local%20Settings\Temporary%20Internet%20Files\OLK2B0\&#1054;&#1090;&#1087;&#1088;&#1072;&#1074;&#1083;&#1077;&#1085;&#1086;\brp\&#1043;&#1059;&#1060;&#1050;\GUF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povev\&#1073;&#1072;&#1079;&#1072;%20&#1076;&#1072;&#1085;&#1085;&#1099;&#1093;\&#1044;&#1086;&#1093;&#1086;&#1076;&#1099;\&#1053;&#1072;&#1083;&#1086;&#1075;&#1086;&#1074;&#1099;&#1077;%20&#1076;&#1086;&#1093;&#1086;&#1076;&#1099;\&#1053;&#1044;&#1057;\&#1054;&#1090;&#1087;&#1088;&#1072;&#1074;&#1083;&#1077;&#1085;&#1086;\27_03_06\Documents%20and%20Settings\&#1040;&#1076;&#1084;&#1080;&#1085;&#1080;&#1089;&#1090;&#1088;&#1072;&#1090;&#1086;&#1088;\&#1052;&#1086;&#1080;%20&#1076;&#1086;&#1082;&#1091;&#1084;&#1077;&#1085;&#1090;&#1099;\&#1043;.&#1052;.&#1043;&#1088;&#1077;&#1073;&#1077;&#1085;&#1100;\&#1044;&#1086;&#1093;&#1086;&#1076;&#1099;\&#1092;&#1077;&#1074;&#1088;06\DOCUME~1\Admin\LOCALS~1\Temp\OutPutReports\Media\TablesYearToYea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ushinaon\Documents%20and%20Settings\Ievleva\Local%20Settings\Temporary%20Internet%20Files\Content.Outlook\XTAUZLZV\&#1072;&#1074;&#1075;-&#1089;&#1077;&#1085;&#1090;2011\&#1089;&#1088;&#1072;&#1074;&#1085;&#1077;&#1085;&#1080;&#1077;%20&#1080;&#1085;&#1074;&#1077;&#1089;&#1090;&#1087;&#1083;&#1072;&#1085;&#1086;&#1074;%20&#1082;&#1086;&#1084;&#1087;&#1072;&#1085;&#1080;&#1081;%20&#1058;&#1069;&#1050;&#1072;_10&#1072;&#1074;&#1075;201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rvdep03n\&#1057;&#1077;&#1090;&#1077;&#1074;&#1086;&#1081;%20&#1076;&#1080;&#1089;&#1082;%20Z\portachev\&#1057;&#1090;&#1072;&#1090;&#1080;&#1089;&#1090;&#1080;&#1082;&#1072;%20&#1094;&#1077;&#1085;%20&#1080;%20&#1092;&#1080;&#1085;&#1072;&#1085;&#1089;&#1086;&#1074;\&#1052;&#1086;&#1080;%20&#1076;&#1086;&#1082;&#1091;&#1084;&#1077;&#1085;&#1090;&#1099;\&#1052;&#1054;&#1041;\06-03-06\Var2.7%20(version%2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vedis-taab\TAAB\&#1060;&#1054;&#1050;&#1048;%202007\&#1048;&#1089;&#1087;&#1086;&#1083;&#1085;&#1080;&#1090;&#1077;&#1083;&#1100;&#1085;&#1099;&#1077;%20&#1089;&#1084;&#1077;&#1090;&#1099;%20&#1055;&#1088;&#1086;&#1082;&#1083;&#1072;&#1076;&#1082;&#1072;\&#1056;&#1040;&#1047;&#1041;&#1048;&#1042;&#1050;&#1040;\&#1052;&#1086;&#1080;%20&#1076;&#1086;&#1082;&#1091;&#1084;&#1077;&#1085;&#1090;&#1099;\&#1040;&#1088;&#1093;&#1080;&#1074;%202000\&#1042;&#1067;&#1055;&#1054;&#1051;&#1053;&#1045;&#1053;&#1048;&#1045;-2000\&#1055;&#1048;&#1056;&#1057;-&#1057;&#1080;&#1088;&#1080;&#1091;&#10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vedis-taab\TAAB\Documents%20and%20Settings\Natali\Local%20Settings\Temporary%20Internet%20Files\Content.IE5\2XUN4ZAJ\&#1057;&#1084;&#1077;&#1090;&#1072;%20&#1057;&#1052;&#105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opovev\&#1073;&#1072;&#1079;&#1072;%20&#1076;&#1072;&#1085;&#1085;&#1099;&#1093;\&#1044;&#1086;&#1093;&#1086;&#1076;&#1099;\&#1053;&#1072;&#1083;&#1086;&#1075;&#1086;&#1074;&#1099;&#1077;%20&#1076;&#1086;&#1093;&#1086;&#1076;&#1099;\&#1054;&#1090;&#1087;&#1088;&#1072;&#1074;&#1083;&#1077;&#1085;&#1086;\27_03_06\Documents%20and%20Settings\&#1040;&#1076;&#1084;&#1080;&#1085;&#1080;&#1089;&#1090;&#1088;&#1072;&#1090;&#1086;&#1088;\&#1052;&#1086;&#1080;%20&#1076;&#1086;&#1082;&#1091;&#1084;&#1077;&#1085;&#1090;&#1099;\&#1043;.&#1052;.&#1043;&#1088;&#1077;&#1073;&#1077;&#1085;&#1100;\&#1044;&#1086;&#1093;&#1086;&#1076;&#1099;\&#1092;&#1077;&#1074;&#1088;06\DOCUME~1\Admin\LOCALS~1\Temp\OutPutReports\Media\TablesYearToYea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1060;&#1054;&#1050;&#1048;%202008&#1043;\&#1048;&#1057;&#1055;&#1054;&#1051;&#1053;&#1048;&#1058;&#1045;&#1051;&#1068;&#1053;&#1067;&#1045;%20&#1057;&#1052;&#1045;&#1058;&#1067;\&#1052;&#1086;&#1080;%20&#1076;&#1086;&#1082;&#1091;&#1084;&#1077;&#1085;&#1090;&#1099;\&#1040;&#1088;&#1093;&#1080;&#1074;%202000\&#1042;&#1067;&#1055;&#1054;&#1051;&#1053;&#1045;&#1053;&#1048;&#1045;-2000\&#1055;&#1048;&#1056;&#1057;-&#1057;&#1080;&#1088;&#1080;&#1091;&#10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vedis-taab\TAAB\&#1060;&#1054;&#1050;&#1048;%202008&#1043;\&#1048;&#1057;&#1055;&#1054;&#1051;&#1053;&#1048;&#1058;&#1045;&#1051;&#1068;&#1053;&#1067;&#1045;%20&#1057;&#1052;&#1045;&#1058;&#1067;\&#1052;&#1086;&#1080;%20&#1076;&#1086;&#1082;&#1091;&#1084;&#1077;&#1085;&#1090;&#1099;\&#1040;&#1088;&#1093;&#1080;&#1074;%202000\&#1042;&#1067;&#1055;&#1054;&#1051;&#1053;&#1045;&#1053;&#1048;&#1045;-2000\&#1055;&#1048;&#1056;&#1057;-&#1057;&#1080;&#1088;&#1080;&#1091;&#10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ortachev\Analitzapiska\Documents%20and%20Settings\Nahimovskay\Local%20Settings\Temporary%20Internet%20Files\OLK35\&#1050;&#1086;&#1087;&#1080;&#1103;%20V2.200721&#1072;&#1087;&#1088;&#1077;&#1083;&#1103;&#1091;&#1090;&#1086;&#1095;&#108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opovev\&#1073;&#1072;&#1079;&#1072;%20&#1076;&#1072;&#1085;&#1085;&#1099;&#1093;\&#1054;&#1090;&#1087;&#1088;&#1072;&#1074;&#1083;&#1077;&#1085;&#1086;\&#1086;&#1090;&#1087;&#1088;&#1072;&#1074;&#1083;&#1077;&#1085;&#1086;_14_03_2006\FIN\&#1044;&#1086;&#1093;&#1086;&#1076;&#1099;%20&#1073;&#1102;&#1076;&#1078;&#1077;&#1090;&#1085;&#1086;&#1081;%20&#1089;&#1080;&#1089;&#1090;&#1077;&#1084;&#1099;\&#1055;&#1088;&#1086;&#1075;&#1085;&#1086;&#1079;\&#1089;&#1074;&#1086;&#1076;%20&#1076;&#1086;&#1093;&#1086;&#1076;&#1086;&#1074;\2005-2007\&#1072;&#1074;&#1075;&#1091;&#1089;&#1090;%2004\OutPutReports\Media\TablesYearToYear.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1041;&#1072;&#1079;&#1072;"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1060;&#1054;&#1050;&#1048;%202007\&#1048;&#1089;&#1087;&#1086;&#1083;&#1085;&#1080;&#1090;&#1077;&#1083;&#1100;&#1085;&#1099;&#1077;%20&#1089;&#1084;&#1077;&#1090;&#1099;%20&#1055;&#1088;&#1086;&#1082;&#1083;&#1072;&#1076;&#1082;&#1072;\&#1056;&#1040;&#1047;&#1041;&#1048;&#1042;&#1050;&#1040;\&#1052;&#1086;&#1080;%20&#1076;&#1086;&#1082;&#1091;&#1084;&#1077;&#1085;&#1090;&#1099;\&#1040;&#1088;&#1093;&#1080;&#1074;%202000\&#1042;&#1067;&#1055;&#1054;&#1051;&#1053;&#1045;&#1053;&#1048;&#1045;-2000\&#1055;&#1048;&#1056;&#1057;-&#1057;&#1080;&#1088;&#1080;&#1091;&#10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нструкция"/>
      <sheetName val="ЗП"/>
      <sheetName val="Ввод"/>
      <sheetName val="ВводТЗ"/>
      <sheetName val="ПНЦ ГП"/>
      <sheetName val="ПНЦ ТЗ"/>
      <sheetName val="ПНЦ УК"/>
      <sheetName val="Расчет"/>
      <sheetName val="Печать"/>
      <sheetName val="РасчТЗ"/>
      <sheetName val="ПечатьТЗ"/>
      <sheetName val="РасчУК"/>
      <sheetName val="ПечатьУК"/>
      <sheetName val="ТаблКоэф"/>
      <sheetName val="ИТОГОУК"/>
      <sheetName val="Prot"/>
      <sheetName val="ZHS"/>
      <sheetName val="ZDS"/>
      <sheetName val="CPR"/>
      <sheetName val="CMS"/>
      <sheetName val="OBR"/>
      <sheetName val="STR"/>
      <sheetName val="TRS"/>
      <sheetName val="ИТОГО"/>
      <sheetName val="КПИР"/>
      <sheetName val="НормСК"/>
      <sheetName val="ИТОГОТЗ"/>
      <sheetName val="м2"/>
      <sheetName val="База"/>
      <sheetName val="Лист2"/>
      <sheetName val="Лист3"/>
      <sheetName val="БДР_2023 (план)"/>
    </sheetNames>
    <sheetDataSet>
      <sheetData sheetId="0"/>
      <sheetData sheetId="1"/>
      <sheetData sheetId="2">
        <row r="54">
          <cell r="D54">
            <v>15194.24</v>
          </cell>
        </row>
      </sheetData>
      <sheetData sheetId="3">
        <row r="39">
          <cell r="D39">
            <v>0</v>
          </cell>
        </row>
        <row r="45">
          <cell r="C45">
            <v>1.0619000000000001</v>
          </cell>
        </row>
        <row r="46">
          <cell r="C46">
            <v>1.01</v>
          </cell>
        </row>
        <row r="47">
          <cell r="C47">
            <v>0</v>
          </cell>
        </row>
        <row r="48">
          <cell r="C48">
            <v>1</v>
          </cell>
        </row>
        <row r="49">
          <cell r="C49">
            <v>0</v>
          </cell>
        </row>
        <row r="53">
          <cell r="C53">
            <v>2.14</v>
          </cell>
        </row>
      </sheetData>
      <sheetData sheetId="4"/>
      <sheetData sheetId="5"/>
      <sheetData sheetId="6"/>
      <sheetData sheetId="7">
        <row r="38">
          <cell r="H38">
            <v>1.0619000000000001</v>
          </cell>
        </row>
        <row r="47">
          <cell r="H47">
            <v>1.032</v>
          </cell>
        </row>
        <row r="48">
          <cell r="H48">
            <v>1.0609999999999999</v>
          </cell>
        </row>
      </sheetData>
      <sheetData sheetId="8"/>
      <sheetData sheetId="9">
        <row r="52">
          <cell r="G52">
            <v>0.94540000000000002</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онД"/>
      <sheetName val="ФедД"/>
      <sheetName val="РегД"/>
      <sheetName val="КонР"/>
      <sheetName val="ФедР"/>
      <sheetName val="РегР"/>
      <sheetName val="ФедИ"/>
      <sheetName val="РегИ"/>
      <sheetName val="Гр5(о)"/>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Управление"/>
      <sheetName val="Итоги1"/>
      <sheetName val="Структура1"/>
      <sheetName val="Доходы (исполнение)1"/>
      <sheetName val="Расходы (исполнение)1"/>
      <sheetName val="Доходы (динамика)1"/>
      <sheetName val="Расходы (динамика)1"/>
      <sheetName val="Источники1"/>
      <sheetName val="Диаграммы1"/>
      <sheetName val="Итоги2"/>
      <sheetName val="Структура2"/>
      <sheetName val="Доходы (исполнение)2"/>
      <sheetName val="Расходы (исполнение)2"/>
      <sheetName val="Доходы (динамика)2"/>
      <sheetName val="Расходы (динамика)2"/>
      <sheetName val="Источники2"/>
      <sheetName val="Диаграммы2"/>
      <sheetName val="Итоги3"/>
      <sheetName val="Структура3"/>
      <sheetName val="Доходы (динамика)3"/>
      <sheetName val="Расходы (динамика)3"/>
      <sheetName val="Источники3"/>
      <sheetName val="ПРОГНОЗ_1"/>
      <sheetName val="ФедД"/>
      <sheetName val="Гр5(о)"/>
    </sheetNames>
    <sheetDataSet>
      <sheetData sheetId="0" refreshError="1">
        <row r="17">
          <cell r="AE17">
            <v>8</v>
          </cell>
          <cell r="AF17">
            <v>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ЭК было-стало"/>
      <sheetName val="сравнение инвестпланов компаний"/>
    </sheetNames>
    <definedNames>
      <definedName name="short" refersTo="#ССЫЛКА!"/>
      <definedName name="суда" refersTo="#ССЫЛКА!"/>
      <definedName name="ыяпр" refersTo="#ССЫЛКА!"/>
    </defined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екущие цены"/>
      <sheetName val="рабочий"/>
      <sheetName val="окраска"/>
      <sheetName val="Огл. Графиков"/>
      <sheetName val="Var2.7 (version 1)"/>
    </sheet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нвойс"/>
      <sheetName val="База"/>
      <sheetName val="МТСН-98"/>
      <sheetName val="ПНР-МТСН-цена"/>
      <sheetName val="Сист контр"/>
      <sheetName val="Форма 2"/>
      <sheetName val="СФСС"/>
      <sheetName val="Форма 3"/>
      <sheetName val="Смет. ДЦ"/>
      <sheetName val="СК=ресурс"/>
      <sheetName val="Лист1"/>
      <sheetName val="Модуль1"/>
      <sheetName val="Модуль1 (2)"/>
      <sheetName val="Сист_контр"/>
      <sheetName val="Форма_2"/>
      <sheetName val="Форма_3"/>
      <sheetName val="Смет__ДЦ"/>
      <sheetName val="Модуль1_(2)"/>
      <sheetName val="Пояснение к расчету - ЖД ПИР"/>
      <sheetName val="Свод_подробно"/>
      <sheetName val="Коэффициенты"/>
      <sheetName val="Other software VCR"/>
      <sheetName val="автоматизация РД"/>
      <sheetName val="ПИРС-Сириус"/>
      <sheetName val="Структура себестоимости (9  (2)"/>
      <sheetName val="план"/>
      <sheetName val="Лист4"/>
      <sheetName val="Смета 7"/>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refreshError="1"/>
      <sheetData sheetId="12" refreshError="1"/>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ороги"/>
      <sheetName val="Сети"/>
      <sheetName val="Площадки"/>
      <sheetName val="база"/>
      <sheetName val="Коэффициенты"/>
      <sheetName val="обслед 1"/>
      <sheetName val="Лист1"/>
      <sheetName val="вл.30к.2"/>
      <sheetName val="вл.30с.19"/>
      <sheetName val="вл.28 к.2"/>
      <sheetName val="вл.28к.3"/>
      <sheetName val="вл.30 к.1"/>
      <sheetName val="Смета СМР"/>
      <sheetName val="support"/>
    </sheetNames>
    <sheetDataSet>
      <sheetData sheetId="0" refreshError="1"/>
      <sheetData sheetId="1">
        <row r="1">
          <cell r="A1" t="str">
            <v xml:space="preserve"> </v>
          </cell>
        </row>
      </sheetData>
      <sheetData sheetId="2" refreshError="1"/>
      <sheetData sheetId="3">
        <row r="1">
          <cell r="A1" t="str">
            <v xml:space="preserve"> </v>
          </cell>
          <cell r="E1" t="str">
            <v xml:space="preserve"> </v>
          </cell>
        </row>
        <row r="2">
          <cell r="A2" t="str">
            <v>ООО "Институт Каналстройпроект"</v>
          </cell>
          <cell r="E2" t="str">
            <v>Моськин В.А.</v>
          </cell>
          <cell r="G2" t="str">
            <v>Исполнительная смета № 1</v>
          </cell>
          <cell r="J2" t="str">
            <v>стадия П</v>
          </cell>
        </row>
        <row r="3">
          <cell r="A3" t="str">
            <v>ЗАО "Капстройпроект"</v>
          </cell>
          <cell r="E3" t="str">
            <v>Лысов А.Е.</v>
          </cell>
          <cell r="G3" t="str">
            <v>Cмета № 1</v>
          </cell>
          <cell r="J3" t="str">
            <v>стадия РД</v>
          </cell>
        </row>
        <row r="4">
          <cell r="A4" t="str">
            <v>ООО "Каналсетьпроект"</v>
          </cell>
          <cell r="E4" t="str">
            <v>Четыркина Г.В.</v>
          </cell>
          <cell r="G4" t="str">
            <v>Исполнительная смета № 2</v>
          </cell>
        </row>
        <row r="5">
          <cell r="A5" t="str">
            <v>ЗАО "Гендирекция Центр"</v>
          </cell>
          <cell r="E5" t="str">
            <v>Шлячков Д.</v>
          </cell>
          <cell r="G5" t="str">
            <v>Cмета № 2</v>
          </cell>
        </row>
        <row r="6">
          <cell r="A6" t="str">
            <v>ЗАО "ТУКС - 4"</v>
          </cell>
          <cell r="E6" t="str">
            <v>Шувалов Д.Ю.</v>
          </cell>
          <cell r="G6" t="str">
            <v>Исполнительная смета № 3</v>
          </cell>
        </row>
        <row r="7">
          <cell r="A7" t="str">
            <v>ЗАО "ТУКС - 2"</v>
          </cell>
          <cell r="E7" t="str">
            <v>Сагаев Р.Б.</v>
          </cell>
          <cell r="G7" t="str">
            <v>Cмета № 3</v>
          </cell>
        </row>
        <row r="8">
          <cell r="A8" t="str">
            <v>ЗАО "ТУКС - 1"</v>
          </cell>
        </row>
        <row r="9">
          <cell r="A9" t="str">
            <v>ЗАО "ТУКС - 3"</v>
          </cell>
        </row>
        <row r="10">
          <cell r="A10" t="str">
            <v>ЗАО "ТУКС № 7 ЮВ"</v>
          </cell>
        </row>
        <row r="11">
          <cell r="A11" t="str">
            <v>ГУП "Моссвет"</v>
          </cell>
        </row>
        <row r="12">
          <cell r="A12" t="str">
            <v>ЗАО "Альстрой"</v>
          </cell>
        </row>
        <row r="13">
          <cell r="A13" t="str">
            <v>ООО "Архинж"</v>
          </cell>
        </row>
        <row r="14">
          <cell r="A14" t="str">
            <v>МГУП "Мосводоканал УКС ГТС"</v>
          </cell>
        </row>
        <row r="15">
          <cell r="A15" t="str">
            <v>ПУНС МГП "Мосводоканал"</v>
          </cell>
        </row>
        <row r="16">
          <cell r="A16" t="str">
            <v>ЗАО "УКС"</v>
          </cell>
        </row>
        <row r="17">
          <cell r="A17" t="str">
            <v>ЗАО "УКС объектов здравоохранения"</v>
          </cell>
        </row>
        <row r="18">
          <cell r="A18" t="str">
            <v>ООО "Зеленоградкапстрой"</v>
          </cell>
        </row>
        <row r="19">
          <cell r="A19" t="str">
            <v>ГУП МНИИП "Моспроект-4"</v>
          </cell>
        </row>
        <row r="20">
          <cell r="A20" t="str">
            <v>ЗАО "Дон-строй"</v>
          </cell>
        </row>
        <row r="21">
          <cell r="A21" t="str">
            <v>ООО "Региональная финансово-строительная компания"</v>
          </cell>
        </row>
        <row r="22">
          <cell r="A22" t="str">
            <v>ООО "ПИК Инвест"</v>
          </cell>
        </row>
        <row r="23">
          <cell r="A23" t="str">
            <v>ЗАО "Инвестстрой"</v>
          </cell>
        </row>
        <row r="24">
          <cell r="A24" t="str">
            <v>ООО  ОКС "СУ-155"</v>
          </cell>
        </row>
        <row r="25">
          <cell r="A25" t="str">
            <v>ООО "Фирма Вершина"</v>
          </cell>
        </row>
        <row r="26">
          <cell r="A26" t="str">
            <v>ООО "АПЦ "Проспроект"</v>
          </cell>
        </row>
        <row r="27">
          <cell r="A27" t="str">
            <v>ОАО "Метрогипротранс"</v>
          </cell>
        </row>
        <row r="28">
          <cell r="A28" t="str">
            <v>ООО ПСФ "КРОСТ"</v>
          </cell>
        </row>
        <row r="29">
          <cell r="A29" t="str">
            <v>УКС ГУП "Мосгаз"</v>
          </cell>
        </row>
        <row r="30">
          <cell r="A30" t="str">
            <v>ООО "Межрегиональный союз строителей"</v>
          </cell>
        </row>
        <row r="31">
          <cell r="A31" t="str">
            <v>ООО "Жилкапстрой"</v>
          </cell>
        </row>
        <row r="32">
          <cell r="A32" t="str">
            <v>ЗАО "УКС ИКС и Д"</v>
          </cell>
        </row>
        <row r="33">
          <cell r="A33" t="str">
            <v>ГУП "Мосинжпроект"</v>
          </cell>
        </row>
        <row r="34">
          <cell r="A34" t="str">
            <v>ООО "Жилкапстрой"</v>
          </cell>
        </row>
        <row r="35">
          <cell r="A35" t="str">
            <v>ООО "СветоСервиС"</v>
          </cell>
        </row>
        <row r="36">
          <cell r="A36" t="str">
            <v>ООО "МНПП СВЭН"</v>
          </cell>
        </row>
        <row r="37">
          <cell r="A37" t="str">
            <v>ЗАО "СОРВиК"</v>
          </cell>
        </row>
        <row r="38">
          <cell r="A38" t="str">
            <v>ЗАО "ИНЖПРОЕКТСЕРВИС"</v>
          </cell>
        </row>
        <row r="39">
          <cell r="A39" t="str">
            <v>ЗАО "ИНСТИТУТ ПРОМОС"</v>
          </cell>
        </row>
        <row r="40">
          <cell r="A40" t="str">
            <v>ЗАО "УКС КБН"</v>
          </cell>
        </row>
        <row r="41">
          <cell r="A41" t="str">
            <v>ЗАО "ГЕОТОК"</v>
          </cell>
        </row>
        <row r="42">
          <cell r="A42" t="str">
            <v>ЗАО "ММА + Фицрой Робинсон Интернэшенл"</v>
          </cell>
        </row>
        <row r="43">
          <cell r="A43" t="str">
            <v>ЗАО "МОСПРОМСТРОЙ" ФИРМА "АРС"</v>
          </cell>
        </row>
        <row r="44">
          <cell r="A44" t="str">
            <v>Архитектурно-проектная мастерская ООО "Малая Студия"</v>
          </cell>
        </row>
        <row r="45">
          <cell r="A45" t="str">
            <v>ООО "ТУКС МОСПРОМСТРОЙ"</v>
          </cell>
        </row>
        <row r="46">
          <cell r="A46" t="str">
            <v>ГУП "МНИИТЭП"</v>
          </cell>
        </row>
        <row r="47">
          <cell r="A47" t="str">
            <v>НПО "КОСМОС"</v>
          </cell>
        </row>
        <row r="48">
          <cell r="A48" t="str">
            <v>ООО "ПРОК - энерго 2001"</v>
          </cell>
        </row>
        <row r="49">
          <cell r="A49" t="str">
            <v>ОАО "УКС НАУКА"</v>
          </cell>
        </row>
        <row r="50">
          <cell r="A50" t="str">
            <v>ГУП "МосводоканалНИИпроект"</v>
          </cell>
        </row>
        <row r="51">
          <cell r="A51" t="str">
            <v>ФГУП «Институт общественных зданий»</v>
          </cell>
        </row>
        <row r="52">
          <cell r="A52" t="str">
            <v>ОАО "СТРОЙПРОЕКТ"</v>
          </cell>
        </row>
        <row r="53">
          <cell r="A53" t="str">
            <v>ЗАО "ИНВЕСТСТРОЙ"</v>
          </cell>
        </row>
        <row r="54">
          <cell r="A54" t="str">
            <v>ЗАО "СТРОЙИНДУСТРИЯ"</v>
          </cell>
        </row>
      </sheetData>
      <sheetData sheetId="4">
        <row r="1">
          <cell r="A1" t="str">
            <v xml:space="preserve"> </v>
          </cell>
        </row>
        <row r="2">
          <cell r="A2" t="str">
            <v>1,1</v>
          </cell>
        </row>
        <row r="3">
          <cell r="A3" t="str">
            <v>1,25</v>
          </cell>
        </row>
        <row r="4">
          <cell r="A4" t="str">
            <v>1,43</v>
          </cell>
        </row>
        <row r="5">
          <cell r="A5" t="str">
            <v>1,67</v>
          </cell>
        </row>
        <row r="6">
          <cell r="A6" t="str">
            <v>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Управление"/>
      <sheetName val="Итоги1"/>
      <sheetName val="Структура1"/>
      <sheetName val="Доходы (исполнение)1"/>
      <sheetName val="Расходы (исполнение)1"/>
      <sheetName val="Доходы (динамика)1"/>
      <sheetName val="Расходы (динамика)1"/>
      <sheetName val="Источники1"/>
      <sheetName val="Диаграммы1"/>
      <sheetName val="Итоги2"/>
      <sheetName val="Структура2"/>
      <sheetName val="Доходы (исполнение)2"/>
      <sheetName val="Расходы (исполнение)2"/>
      <sheetName val="Доходы (динамика)2"/>
      <sheetName val="Расходы (динамика)2"/>
      <sheetName val="Источники2"/>
      <sheetName val="Диаграммы2"/>
      <sheetName val="Итоги3"/>
      <sheetName val="Структура3"/>
      <sheetName val="Доходы (динамика)3"/>
      <sheetName val="Расходы (динамика)3"/>
      <sheetName val="Источники3"/>
      <sheetName val="ПРОГНОЗ_1"/>
      <sheetName val="ФедД"/>
      <sheetName val="Гр5(о)"/>
      <sheetName val="Огл. Графиков"/>
      <sheetName val="рабочий"/>
      <sheetName val="Текущие цены"/>
      <sheetName val="окраска"/>
    </sheetNames>
    <sheetDataSet>
      <sheetData sheetId="0" refreshError="1">
        <row r="17">
          <cell r="AE17">
            <v>8</v>
          </cell>
        </row>
        <row r="20">
          <cell r="AF20" t="str">
            <v>10 месяцев 2002 года</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нвойс"/>
      <sheetName val="База"/>
      <sheetName val="МТСН-98"/>
      <sheetName val="ПНР-МТСН-цена"/>
      <sheetName val="Сист контр"/>
      <sheetName val="Форма 2"/>
      <sheetName val="СФСС"/>
      <sheetName val="Форма 3"/>
      <sheetName val="Смет. ДЦ"/>
      <sheetName val="СК=ресурс"/>
      <sheetName val="Лист1"/>
      <sheetName val="Модуль1"/>
      <sheetName val="Модуль1 (2)"/>
      <sheetName val="Пояснение к расчету - ЖД ПИР"/>
      <sheetName val="Сист_контр"/>
      <sheetName val="Форма_2"/>
      <sheetName val="Форма_3"/>
      <sheetName val="Смет__ДЦ"/>
      <sheetName val="Модуль1_(2)"/>
      <sheetName val="Свод_подробно"/>
      <sheetName val="Коэффициенты"/>
      <sheetName val="Other software VCR"/>
      <sheetName val="автоматизация РД"/>
      <sheetName val="ПИРС-Сириус"/>
      <sheetName val="Структура себестоимости (9  (2)"/>
      <sheetName val="план"/>
      <sheetName val="Лист4"/>
      <sheetName val="Смета 7"/>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refreshError="1"/>
      <sheetData sheetId="12" refreshError="1"/>
      <sheetData sheetId="13" refreshError="1"/>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нвойс"/>
      <sheetName val="База"/>
      <sheetName val="МТСН-98"/>
      <sheetName val="ПНР-МТСН-цена"/>
      <sheetName val="Сист контр"/>
      <sheetName val="Форма 2"/>
      <sheetName val="СФСС"/>
      <sheetName val="Форма 3"/>
      <sheetName val="Смет. ДЦ"/>
      <sheetName val="СК=ресурс"/>
      <sheetName val="Лист1"/>
      <sheetName val="Модуль1"/>
      <sheetName val="Модуль1 (2)"/>
      <sheetName val="Сист_контр"/>
      <sheetName val="Форма_2"/>
      <sheetName val="Форма_3"/>
      <sheetName val="Смет__ДЦ"/>
      <sheetName val="Модуль1_(2)"/>
      <sheetName val="ПИРС-Сириус"/>
      <sheetName val="Структура себестоимости (9  (2)"/>
      <sheetName val="Пояснение к расчету - ЖД ПИР"/>
      <sheetName val="Свод_подробно"/>
      <sheetName val="Коэффициенты"/>
      <sheetName val="Other software VCR"/>
      <sheetName val="автоматизация РД"/>
      <sheetName val="план"/>
      <sheetName val="Лист4"/>
      <sheetName val="Смета 7"/>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refreshError="1"/>
      <sheetData sheetId="12" refreshError="1"/>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нф99"/>
      <sheetName val="2002(v2)"/>
      <sheetName val="2004(2,3)"/>
      <sheetName val="2009(2,3) (2)"/>
      <sheetName val="Печ40"/>
      <sheetName val="2002-03(2,3)"/>
      <sheetName val="I"/>
      <sheetName val="2002_v2_"/>
      <sheetName val="Гр5(о)"/>
      <sheetName val="Управление"/>
      <sheetName val="2009(2,3)_(2)"/>
      <sheetName val="Оценка DCF"/>
      <sheetName val="GKN (2)"/>
      <sheetName val="ПЕРЕЧЕНЬ"/>
      <sheetName val="Программа"/>
      <sheetName val="Лист2"/>
      <sheetName val="Предпр.-взвеш. оценка"/>
      <sheetName val="база_сво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Управление"/>
      <sheetName val="Итоги1"/>
      <sheetName val="Структура1"/>
      <sheetName val="Доходы (исполнение)1"/>
      <sheetName val="Расходы (исполнение)1"/>
      <sheetName val="Доходы (динамика)1"/>
      <sheetName val="Расходы (динамика)1"/>
      <sheetName val="Источники1"/>
      <sheetName val="Диаграммы1"/>
      <sheetName val="Итоги2"/>
      <sheetName val="Структура2"/>
      <sheetName val="Доходы (исполнение)2"/>
      <sheetName val="Расходы (исполнение)2"/>
      <sheetName val="Доходы (динамика)2"/>
      <sheetName val="Расходы (динамика)2"/>
      <sheetName val="Источники2"/>
      <sheetName val="Диаграммы2"/>
      <sheetName val="Итоги3"/>
      <sheetName val="Структура3"/>
      <sheetName val="Доходы (динамика)3"/>
      <sheetName val="Расходы (динамика)3"/>
      <sheetName val="Источники3"/>
      <sheetName val="ПРОГНОЗ_1"/>
    </sheetNames>
    <sheetDataSet>
      <sheetData sheetId="0" refreshError="1">
        <row r="17">
          <cell r="AE17">
            <v>8</v>
          </cell>
        </row>
        <row r="20">
          <cell r="AE20" t="str">
            <v>10 месяцев 2003 года</v>
          </cell>
          <cell r="AF20" t="str">
            <v>10 месяцев 2002 года</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База"/>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нвойс"/>
      <sheetName val="База"/>
      <sheetName val="МТСН-98"/>
      <sheetName val="ПНР-МТСН-цена"/>
      <sheetName val="Сист контр"/>
      <sheetName val="Форма 2"/>
      <sheetName val="СФСС"/>
      <sheetName val="Форма 3"/>
      <sheetName val="Смет. ДЦ"/>
      <sheetName val="СК=ресурс"/>
      <sheetName val="Лист1"/>
      <sheetName val="Модуль1"/>
      <sheetName val="Модуль1 (2)"/>
      <sheetName val="Сист_контр"/>
      <sheetName val="Форма_2"/>
      <sheetName val="Форма_3"/>
      <sheetName val="Смет__ДЦ"/>
      <sheetName val="Модуль1_(2)"/>
      <sheetName val="Пояснение к расчету - ЖД ПИР"/>
      <sheetName val="план"/>
      <sheetName val="Лист4"/>
      <sheetName val="Смета 7"/>
      <sheetName val="Свод_подробно"/>
      <sheetName val="Коэффициенты"/>
      <sheetName val="Other software VCR"/>
      <sheetName val="автоматизация РД"/>
      <sheetName val="ПИРС-Сириус"/>
      <sheetName val="Структура себестоимости (9  (2)"/>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refreshError="1"/>
      <sheetData sheetId="12" refreshError="1"/>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310"/>
  <sheetViews>
    <sheetView tabSelected="1" view="pageBreakPreview" topLeftCell="A289" zoomScaleNormal="100" zoomScaleSheetLayoutView="100" workbookViewId="0">
      <selection activeCell="F309" sqref="F309"/>
    </sheetView>
  </sheetViews>
  <sheetFormatPr defaultColWidth="8.85546875" defaultRowHeight="15"/>
  <cols>
    <col min="1" max="1" width="45.140625" style="1" customWidth="1"/>
    <col min="2" max="2" width="23.140625" style="1" customWidth="1"/>
    <col min="3" max="3" width="26.7109375" style="1" customWidth="1"/>
    <col min="4" max="4" width="18.5703125" style="1" customWidth="1"/>
    <col min="5" max="5" width="27.140625" style="1" customWidth="1"/>
    <col min="6" max="6" width="16.85546875" style="1" customWidth="1"/>
    <col min="7" max="7" width="20.7109375" style="1" customWidth="1"/>
    <col min="8" max="16384" width="8.85546875" style="1"/>
  </cols>
  <sheetData>
    <row r="1" spans="1:28" ht="16.5" customHeight="1">
      <c r="A1" s="74" t="s">
        <v>1</v>
      </c>
      <c r="B1" s="74"/>
      <c r="C1" s="74"/>
      <c r="D1" s="74"/>
      <c r="E1" s="74"/>
    </row>
    <row r="2" spans="1:28" ht="15.75" customHeight="1">
      <c r="A2" s="74" t="s">
        <v>2</v>
      </c>
      <c r="B2" s="74"/>
      <c r="C2" s="74"/>
      <c r="D2" s="74"/>
      <c r="E2" s="74"/>
    </row>
    <row r="3" spans="1:28" ht="61.5" customHeight="1">
      <c r="A3" s="71" t="s">
        <v>43</v>
      </c>
      <c r="B3" s="71"/>
      <c r="C3" s="71"/>
      <c r="D3" s="71"/>
      <c r="E3" s="71"/>
    </row>
    <row r="4" spans="1:28" ht="21.75" customHeight="1">
      <c r="A4" s="47"/>
      <c r="B4" s="47"/>
      <c r="C4" s="47"/>
      <c r="D4" s="47"/>
      <c r="E4" s="47"/>
    </row>
    <row r="5" spans="1:28" s="9" customFormat="1" ht="20.25" customHeight="1">
      <c r="A5" s="36" t="s">
        <v>0</v>
      </c>
      <c r="B5" s="35"/>
      <c r="C5" s="35"/>
      <c r="D5" s="35"/>
      <c r="E5" s="35"/>
    </row>
    <row r="6" spans="1:28" s="9" customFormat="1" ht="19.5" customHeight="1">
      <c r="A6" s="72" t="s">
        <v>24</v>
      </c>
      <c r="B6" s="72"/>
      <c r="C6" s="72"/>
      <c r="D6" s="72"/>
      <c r="E6" s="72"/>
    </row>
    <row r="7" spans="1:28" s="9" customFormat="1" ht="56.25" customHeight="1">
      <c r="A7" s="72" t="s">
        <v>21</v>
      </c>
      <c r="B7" s="72"/>
      <c r="C7" s="72"/>
      <c r="D7" s="72"/>
      <c r="E7" s="72"/>
    </row>
    <row r="8" spans="1:28" ht="20.25" customHeight="1">
      <c r="A8" s="72" t="s">
        <v>22</v>
      </c>
      <c r="B8" s="72"/>
      <c r="C8" s="72"/>
      <c r="D8" s="72"/>
      <c r="E8" s="72"/>
    </row>
    <row r="9" spans="1:28" ht="22.5" customHeight="1">
      <c r="A9" s="45"/>
      <c r="B9" s="45"/>
      <c r="C9" s="45"/>
      <c r="D9" s="45"/>
      <c r="E9" s="45"/>
    </row>
    <row r="10" spans="1:28" ht="75.75" customHeight="1">
      <c r="A10" s="71" t="s">
        <v>105</v>
      </c>
      <c r="B10" s="71"/>
      <c r="C10" s="71"/>
      <c r="D10" s="71"/>
      <c r="E10" s="71"/>
      <c r="F10" s="34"/>
    </row>
    <row r="11" spans="1:28" ht="91.15" customHeight="1">
      <c r="A11" s="46" t="s">
        <v>4</v>
      </c>
      <c r="B11" s="46" t="s">
        <v>25</v>
      </c>
      <c r="C11" s="46" t="s">
        <v>27</v>
      </c>
      <c r="D11" s="15" t="s">
        <v>5</v>
      </c>
      <c r="E11" s="15" t="s">
        <v>20</v>
      </c>
    </row>
    <row r="12" spans="1:28" ht="18.75" customHeight="1">
      <c r="A12" s="46">
        <v>1</v>
      </c>
      <c r="B12" s="46">
        <v>2</v>
      </c>
      <c r="C12" s="46">
        <v>3</v>
      </c>
      <c r="D12" s="46">
        <v>4</v>
      </c>
      <c r="E12" s="20">
        <v>5</v>
      </c>
    </row>
    <row r="13" spans="1:28" s="2" customFormat="1" ht="31.5" customHeight="1">
      <c r="A13" s="10" t="s">
        <v>7</v>
      </c>
      <c r="B13" s="22">
        <v>194621225</v>
      </c>
      <c r="C13" s="22">
        <v>196820445</v>
      </c>
      <c r="D13" s="30">
        <v>1.0522</v>
      </c>
      <c r="E13" s="22">
        <v>207094472</v>
      </c>
      <c r="F13" s="80">
        <v>7.4300000000000005E-2</v>
      </c>
      <c r="G13" s="81"/>
    </row>
    <row r="14" spans="1:28" s="2" customFormat="1" ht="31.5" customHeight="1">
      <c r="A14" s="10"/>
      <c r="B14" s="22"/>
      <c r="C14" s="22"/>
      <c r="D14" s="30"/>
      <c r="E14" s="85">
        <f>F15*F13/1.22</f>
        <v>151680465</v>
      </c>
      <c r="F14" s="82">
        <f>179.64*1000</f>
        <v>179640</v>
      </c>
      <c r="G14" s="82"/>
    </row>
    <row r="15" spans="1:28" s="2" customFormat="1" ht="19.899999999999999" customHeight="1">
      <c r="A15" s="10" t="s">
        <v>6</v>
      </c>
      <c r="B15" s="22">
        <v>2480648599</v>
      </c>
      <c r="C15" s="22">
        <v>2508679928</v>
      </c>
      <c r="D15" s="30">
        <v>1.0825</v>
      </c>
      <c r="E15" s="22">
        <v>2715646022</v>
      </c>
      <c r="F15" s="82">
        <f>E22*F14+F23*E23</f>
        <v>2490580980</v>
      </c>
    </row>
    <row r="16" spans="1:28" ht="18.75" customHeight="1">
      <c r="A16" s="64" t="s">
        <v>29</v>
      </c>
      <c r="B16" s="22">
        <v>2675269824</v>
      </c>
      <c r="C16" s="22">
        <v>2705500373</v>
      </c>
      <c r="D16" s="11"/>
      <c r="E16" s="22">
        <v>2922740494</v>
      </c>
      <c r="AB16" t="s">
        <v>33</v>
      </c>
    </row>
    <row r="17" spans="1:28" ht="18.75" customHeight="1">
      <c r="A17" s="21" t="s">
        <v>31</v>
      </c>
      <c r="B17" s="22">
        <v>2229391520</v>
      </c>
      <c r="C17" s="22">
        <v>2254583644</v>
      </c>
      <c r="D17" s="22"/>
      <c r="E17" s="22">
        <v>2435617078</v>
      </c>
      <c r="AB17" t="s">
        <v>33</v>
      </c>
    </row>
    <row r="18" spans="1:28" ht="18.75" customHeight="1">
      <c r="A18" s="21" t="s">
        <v>30</v>
      </c>
      <c r="B18" s="22">
        <v>2719857654</v>
      </c>
      <c r="C18" s="22">
        <v>2750592046</v>
      </c>
      <c r="D18" s="22"/>
      <c r="E18" s="22">
        <v>2971452835</v>
      </c>
      <c r="AB18" t="s">
        <v>33</v>
      </c>
    </row>
    <row r="19" spans="1:28" ht="21" customHeight="1">
      <c r="A19" s="21" t="s">
        <v>32</v>
      </c>
      <c r="B19" s="22">
        <v>490466134</v>
      </c>
      <c r="C19" s="22">
        <v>496008402</v>
      </c>
      <c r="D19" s="22"/>
      <c r="E19" s="22">
        <v>535835756</v>
      </c>
      <c r="AB19" t="s">
        <v>33</v>
      </c>
    </row>
    <row r="20" spans="1:28" ht="27" customHeight="1">
      <c r="A20" s="5"/>
      <c r="B20" s="6"/>
      <c r="C20" s="7"/>
      <c r="D20" s="8"/>
      <c r="E20" s="7"/>
    </row>
    <row r="21" spans="1:28" ht="18.75" customHeight="1">
      <c r="A21" s="43" t="s">
        <v>8</v>
      </c>
      <c r="B21" s="6"/>
      <c r="C21" s="7"/>
      <c r="D21" s="8"/>
      <c r="E21" s="7"/>
    </row>
    <row r="22" spans="1:28" ht="18.75" customHeight="1">
      <c r="A22" s="33" t="s">
        <v>9</v>
      </c>
      <c r="B22" s="6"/>
      <c r="C22" s="7"/>
      <c r="D22" s="8"/>
      <c r="E22" s="24">
        <v>12395</v>
      </c>
      <c r="F22" s="83">
        <f>E14*1.22/E22</f>
        <v>14929.42</v>
      </c>
      <c r="G22" s="84">
        <f>E13*1.22/(E22+E23)</f>
        <v>18926.91</v>
      </c>
    </row>
    <row r="23" spans="1:28">
      <c r="A23" s="33" t="s">
        <v>61</v>
      </c>
      <c r="B23" s="6"/>
      <c r="C23" s="7"/>
      <c r="D23" s="8"/>
      <c r="E23" s="7">
        <f>13.25*72</f>
        <v>954</v>
      </c>
      <c r="F23" s="82">
        <f>276.67*1000</f>
        <v>276670</v>
      </c>
    </row>
    <row r="24" spans="1:28">
      <c r="A24" s="33"/>
      <c r="B24" s="6"/>
      <c r="C24" s="7"/>
      <c r="D24" s="8"/>
      <c r="E24" s="7"/>
    </row>
    <row r="25" spans="1:28" ht="18.75" customHeight="1">
      <c r="A25" s="32" t="s">
        <v>10</v>
      </c>
      <c r="B25" s="6"/>
      <c r="C25" s="7"/>
      <c r="D25" s="8"/>
      <c r="E25" s="42">
        <v>45870</v>
      </c>
    </row>
    <row r="26" spans="1:28" ht="16.899999999999999" customHeight="1">
      <c r="A26" s="32" t="s">
        <v>11</v>
      </c>
      <c r="B26" s="6"/>
      <c r="C26" s="7"/>
      <c r="D26" s="8"/>
      <c r="E26" s="59">
        <v>45962</v>
      </c>
    </row>
    <row r="27" spans="1:28">
      <c r="A27" s="5"/>
      <c r="B27" s="6"/>
      <c r="C27" s="7"/>
      <c r="D27" s="8"/>
      <c r="E27" s="7"/>
    </row>
    <row r="28" spans="1:28" ht="18.75" customHeight="1">
      <c r="A28" s="73" t="s">
        <v>26</v>
      </c>
      <c r="B28" s="73"/>
      <c r="C28" s="7"/>
      <c r="D28" s="8"/>
      <c r="E28" s="61">
        <v>1.0113000000000001</v>
      </c>
    </row>
    <row r="29" spans="1:28">
      <c r="A29" s="50"/>
      <c r="B29" s="50"/>
      <c r="C29" s="7"/>
      <c r="D29" s="8"/>
      <c r="E29" s="24"/>
    </row>
    <row r="30" spans="1:28">
      <c r="A30" s="75" t="s">
        <v>23</v>
      </c>
      <c r="B30" s="75"/>
      <c r="C30" s="75"/>
      <c r="D30" s="75"/>
      <c r="E30" s="75"/>
    </row>
    <row r="31" spans="1:28" ht="18.75" customHeight="1">
      <c r="A31" s="43"/>
      <c r="B31" s="43"/>
      <c r="C31" s="43"/>
      <c r="D31" s="43"/>
      <c r="E31" s="43"/>
    </row>
    <row r="32" spans="1:28" ht="18.75" customHeight="1">
      <c r="A32" s="50" t="s">
        <v>12</v>
      </c>
      <c r="B32" s="6"/>
      <c r="C32" s="7"/>
      <c r="D32" s="8"/>
      <c r="E32" s="28">
        <v>18</v>
      </c>
    </row>
    <row r="33" spans="1:6" ht="16.899999999999999" customHeight="1">
      <c r="A33" s="32" t="s">
        <v>13</v>
      </c>
      <c r="B33" s="6"/>
      <c r="C33" s="7"/>
      <c r="D33" s="8"/>
      <c r="E33" s="27">
        <v>46082</v>
      </c>
      <c r="F33" s="26"/>
    </row>
    <row r="34" spans="1:6" ht="18" customHeight="1">
      <c r="A34" s="32" t="s">
        <v>14</v>
      </c>
      <c r="B34" s="6"/>
      <c r="C34" s="7"/>
      <c r="D34" s="8"/>
      <c r="E34" s="27">
        <v>46630</v>
      </c>
      <c r="F34" s="26"/>
    </row>
    <row r="35" spans="1:6">
      <c r="A35" s="5"/>
      <c r="B35" s="6"/>
      <c r="C35" s="7"/>
      <c r="D35" s="31" t="s">
        <v>15</v>
      </c>
      <c r="E35" s="7"/>
    </row>
    <row r="36" spans="1:6" ht="18.75" customHeight="1">
      <c r="A36" s="70" t="s">
        <v>62</v>
      </c>
      <c r="B36" s="70"/>
      <c r="C36" s="7"/>
      <c r="D36" s="25">
        <v>10</v>
      </c>
      <c r="E36" s="23">
        <v>0.56000000000000005</v>
      </c>
    </row>
    <row r="37" spans="1:6" ht="18.75" customHeight="1">
      <c r="A37" s="70" t="s">
        <v>63</v>
      </c>
      <c r="B37" s="70"/>
      <c r="C37" s="7"/>
      <c r="D37" s="25">
        <v>8</v>
      </c>
      <c r="E37" s="23">
        <v>0.44</v>
      </c>
    </row>
    <row r="38" spans="1:6" ht="18.75" customHeight="1">
      <c r="A38" s="32" t="s">
        <v>35</v>
      </c>
      <c r="B38" s="6"/>
      <c r="C38" s="7"/>
      <c r="D38" s="8"/>
      <c r="E38" s="29">
        <v>1.038</v>
      </c>
    </row>
    <row r="39" spans="1:6" ht="18.75" customHeight="1">
      <c r="A39" s="32" t="s">
        <v>36</v>
      </c>
      <c r="B39" s="6"/>
      <c r="C39" s="7"/>
      <c r="D39" s="8"/>
      <c r="E39" s="29">
        <v>1.0703</v>
      </c>
    </row>
    <row r="40" spans="1:6">
      <c r="A40" s="32" t="s">
        <v>64</v>
      </c>
      <c r="B40" s="6"/>
      <c r="C40" s="7"/>
      <c r="D40" s="8"/>
      <c r="E40" s="29">
        <v>1.0522</v>
      </c>
      <c r="F40" s="51"/>
    </row>
    <row r="41" spans="1:6">
      <c r="A41" s="5"/>
      <c r="B41" s="6"/>
      <c r="C41" s="7"/>
      <c r="D41" s="8"/>
      <c r="E41" s="7"/>
    </row>
    <row r="42" spans="1:6">
      <c r="A42" s="50" t="s">
        <v>16</v>
      </c>
      <c r="B42" s="6"/>
      <c r="C42" s="7"/>
      <c r="D42" s="8"/>
      <c r="E42" s="28">
        <v>21</v>
      </c>
      <c r="F42" s="18"/>
    </row>
    <row r="43" spans="1:6">
      <c r="A43" s="32" t="s">
        <v>17</v>
      </c>
      <c r="B43" s="6"/>
      <c r="C43" s="7"/>
      <c r="D43" s="8"/>
      <c r="E43" s="27">
        <v>46266</v>
      </c>
      <c r="F43" s="26"/>
    </row>
    <row r="44" spans="1:6">
      <c r="A44" s="32" t="s">
        <v>18</v>
      </c>
      <c r="B44" s="6"/>
      <c r="C44" s="7"/>
      <c r="D44" s="8"/>
      <c r="E44" s="27">
        <v>46884</v>
      </c>
      <c r="F44" s="26"/>
    </row>
    <row r="45" spans="1:6">
      <c r="A45" s="5"/>
      <c r="B45" s="6"/>
      <c r="C45" s="7"/>
      <c r="D45" s="31" t="s">
        <v>15</v>
      </c>
      <c r="E45" s="7"/>
    </row>
    <row r="46" spans="1:6" ht="18.75" customHeight="1">
      <c r="A46" s="70" t="s">
        <v>65</v>
      </c>
      <c r="B46" s="70"/>
      <c r="C46" s="7"/>
      <c r="D46" s="25">
        <v>4</v>
      </c>
      <c r="E46" s="23">
        <v>0.19</v>
      </c>
    </row>
    <row r="47" spans="1:6" ht="18.75" customHeight="1">
      <c r="A47" s="70" t="s">
        <v>66</v>
      </c>
      <c r="B47" s="70"/>
      <c r="C47" s="7"/>
      <c r="D47" s="25">
        <v>12</v>
      </c>
      <c r="E47" s="23">
        <v>0.56999999999999995</v>
      </c>
    </row>
    <row r="48" spans="1:6" ht="18.75" customHeight="1">
      <c r="A48" s="70" t="s">
        <v>67</v>
      </c>
      <c r="B48" s="70"/>
      <c r="C48" s="7"/>
      <c r="D48" s="25">
        <v>5</v>
      </c>
      <c r="E48" s="23">
        <v>0.24</v>
      </c>
    </row>
    <row r="49" spans="1:6" ht="18.75" customHeight="1">
      <c r="A49" s="32" t="s">
        <v>34</v>
      </c>
      <c r="B49" s="6"/>
      <c r="C49" s="7"/>
      <c r="D49" s="8"/>
      <c r="E49" s="29">
        <v>1.05</v>
      </c>
      <c r="F49" s="53"/>
    </row>
    <row r="50" spans="1:6" ht="18.75" customHeight="1">
      <c r="A50" s="32" t="s">
        <v>28</v>
      </c>
      <c r="B50" s="6"/>
      <c r="C50" s="7"/>
      <c r="D50" s="8"/>
      <c r="E50" s="29">
        <v>1.0808</v>
      </c>
      <c r="F50" s="53"/>
    </row>
    <row r="51" spans="1:6" ht="20.25" customHeight="1">
      <c r="A51" s="32" t="s">
        <v>37</v>
      </c>
      <c r="B51" s="6"/>
      <c r="C51" s="7"/>
      <c r="D51" s="8"/>
      <c r="E51" s="29">
        <v>1.1123000000000001</v>
      </c>
    </row>
    <row r="52" spans="1:6" ht="18" customHeight="1">
      <c r="A52" s="32" t="s">
        <v>68</v>
      </c>
      <c r="B52" s="6"/>
      <c r="C52" s="7"/>
      <c r="D52" s="8"/>
      <c r="E52" s="29">
        <v>1.0825</v>
      </c>
      <c r="F52" s="51"/>
    </row>
    <row r="53" spans="1:6" ht="20.25" customHeight="1">
      <c r="A53" s="5"/>
      <c r="B53" s="6"/>
      <c r="C53" s="7"/>
      <c r="D53" s="8"/>
      <c r="E53" s="7"/>
    </row>
    <row r="54" spans="1:6" ht="78" customHeight="1">
      <c r="A54" s="71" t="s">
        <v>106</v>
      </c>
      <c r="B54" s="71"/>
      <c r="C54" s="71"/>
      <c r="D54" s="71"/>
      <c r="E54" s="71"/>
      <c r="F54" s="34"/>
    </row>
    <row r="55" spans="1:6" ht="91.15" customHeight="1">
      <c r="A55" s="46" t="s">
        <v>4</v>
      </c>
      <c r="B55" s="46" t="s">
        <v>25</v>
      </c>
      <c r="C55" s="46" t="s">
        <v>27</v>
      </c>
      <c r="D55" s="15" t="s">
        <v>5</v>
      </c>
      <c r="E55" s="15" t="s">
        <v>20</v>
      </c>
    </row>
    <row r="56" spans="1:6" ht="18.75" customHeight="1">
      <c r="A56" s="46">
        <v>1</v>
      </c>
      <c r="B56" s="46">
        <v>2</v>
      </c>
      <c r="C56" s="46">
        <v>3</v>
      </c>
      <c r="D56" s="46">
        <v>4</v>
      </c>
      <c r="E56" s="20">
        <v>5</v>
      </c>
    </row>
    <row r="57" spans="1:6" s="2" customFormat="1" ht="27" customHeight="1">
      <c r="A57" s="10" t="s">
        <v>7</v>
      </c>
      <c r="B57" s="22">
        <v>989967917</v>
      </c>
      <c r="C57" s="22">
        <v>1001154554</v>
      </c>
      <c r="D57" s="30">
        <v>1.1576</v>
      </c>
      <c r="E57" s="22">
        <v>1158936512</v>
      </c>
    </row>
    <row r="58" spans="1:6" s="2" customFormat="1" ht="25.9" customHeight="1">
      <c r="A58" s="10" t="s">
        <v>6</v>
      </c>
      <c r="B58" s="22">
        <v>12695985635</v>
      </c>
      <c r="C58" s="22">
        <v>12839450273</v>
      </c>
      <c r="D58" s="30">
        <v>1.2091000000000001</v>
      </c>
      <c r="E58" s="22">
        <v>15524179325</v>
      </c>
      <c r="F58" s="16"/>
    </row>
    <row r="59" spans="1:6" ht="18.75" customHeight="1">
      <c r="A59" s="64" t="s">
        <v>29</v>
      </c>
      <c r="B59" s="22">
        <v>13685953552</v>
      </c>
      <c r="C59" s="22">
        <v>13840604827</v>
      </c>
      <c r="D59" s="11"/>
      <c r="E59" s="22">
        <v>16683115837</v>
      </c>
    </row>
    <row r="60" spans="1:6" ht="18.75" customHeight="1">
      <c r="A60" s="21" t="s">
        <v>31</v>
      </c>
      <c r="B60" s="22">
        <v>11404961293</v>
      </c>
      <c r="C60" s="22">
        <v>11533837356</v>
      </c>
      <c r="D60" s="22"/>
      <c r="E60" s="22">
        <v>13902596531</v>
      </c>
    </row>
    <row r="61" spans="1:6" ht="18.75" customHeight="1">
      <c r="A61" s="21" t="s">
        <v>30</v>
      </c>
      <c r="B61" s="22">
        <v>13914052777</v>
      </c>
      <c r="C61" s="22">
        <v>14071281574</v>
      </c>
      <c r="D61" s="22"/>
      <c r="E61" s="22">
        <v>16961167768</v>
      </c>
    </row>
    <row r="62" spans="1:6" ht="21" customHeight="1">
      <c r="A62" s="21" t="s">
        <v>32</v>
      </c>
      <c r="B62" s="22">
        <v>2509091484</v>
      </c>
      <c r="C62" s="22">
        <v>2537444218</v>
      </c>
      <c r="D62" s="22"/>
      <c r="E62" s="22">
        <v>3058571237</v>
      </c>
    </row>
    <row r="63" spans="1:6" ht="12.75" customHeight="1">
      <c r="A63" s="5"/>
      <c r="B63" s="6"/>
      <c r="C63" s="7"/>
      <c r="D63" s="8"/>
      <c r="E63" s="7"/>
    </row>
    <row r="64" spans="1:6" ht="18.75" customHeight="1">
      <c r="A64" s="43" t="s">
        <v>8</v>
      </c>
      <c r="B64" s="6"/>
      <c r="C64" s="7"/>
      <c r="D64" s="8"/>
      <c r="E64" s="7"/>
    </row>
    <row r="65" spans="1:6" ht="18.75" customHeight="1">
      <c r="A65" s="33" t="s">
        <v>9</v>
      </c>
      <c r="B65" s="6"/>
      <c r="C65" s="7"/>
      <c r="D65" s="8"/>
      <c r="E65" s="24">
        <v>65907</v>
      </c>
    </row>
    <row r="66" spans="1:6">
      <c r="A66" s="33" t="s">
        <v>69</v>
      </c>
      <c r="B66" s="6"/>
      <c r="C66" s="7"/>
      <c r="D66" s="8"/>
      <c r="E66" s="7"/>
    </row>
    <row r="67" spans="1:6">
      <c r="A67" s="33"/>
      <c r="B67" s="6"/>
      <c r="C67" s="7"/>
      <c r="D67" s="8"/>
      <c r="E67" s="7"/>
    </row>
    <row r="68" spans="1:6">
      <c r="A68" s="32" t="s">
        <v>10</v>
      </c>
      <c r="B68" s="6"/>
      <c r="C68" s="7"/>
      <c r="D68" s="8"/>
      <c r="E68" s="42">
        <v>45870</v>
      </c>
    </row>
    <row r="69" spans="1:6">
      <c r="A69" s="32" t="s">
        <v>11</v>
      </c>
      <c r="B69" s="6"/>
      <c r="C69" s="7"/>
      <c r="D69" s="8"/>
      <c r="E69" s="59">
        <v>45962</v>
      </c>
    </row>
    <row r="70" spans="1:6">
      <c r="A70" s="5"/>
      <c r="B70" s="6"/>
      <c r="C70" s="7"/>
      <c r="D70" s="8"/>
      <c r="E70" s="7"/>
    </row>
    <row r="71" spans="1:6">
      <c r="A71" s="73" t="s">
        <v>26</v>
      </c>
      <c r="B71" s="73"/>
      <c r="C71" s="7"/>
      <c r="D71" s="8"/>
      <c r="E71" s="61">
        <v>1.0113000000000001</v>
      </c>
    </row>
    <row r="72" spans="1:6">
      <c r="A72" s="50"/>
      <c r="B72" s="50"/>
      <c r="C72" s="7"/>
      <c r="D72" s="8"/>
      <c r="E72" s="24"/>
    </row>
    <row r="73" spans="1:6">
      <c r="A73" s="75" t="s">
        <v>23</v>
      </c>
      <c r="B73" s="75"/>
      <c r="C73" s="75"/>
      <c r="D73" s="75"/>
      <c r="E73" s="75"/>
    </row>
    <row r="74" spans="1:6">
      <c r="A74" s="43"/>
      <c r="B74" s="43"/>
      <c r="C74" s="43"/>
      <c r="D74" s="43"/>
      <c r="E74" s="43"/>
    </row>
    <row r="75" spans="1:6" ht="18.75" customHeight="1">
      <c r="A75" s="50" t="s">
        <v>12</v>
      </c>
      <c r="B75" s="6"/>
      <c r="C75" s="7"/>
      <c r="D75" s="8"/>
      <c r="E75" s="28">
        <v>18</v>
      </c>
    </row>
    <row r="76" spans="1:6" ht="16.899999999999999" customHeight="1">
      <c r="A76" s="32" t="s">
        <v>13</v>
      </c>
      <c r="B76" s="6"/>
      <c r="C76" s="7"/>
      <c r="D76" s="8"/>
      <c r="E76" s="27">
        <v>46874</v>
      </c>
      <c r="F76" s="26"/>
    </row>
    <row r="77" spans="1:6" ht="18" customHeight="1">
      <c r="A77" s="32" t="s">
        <v>14</v>
      </c>
      <c r="B77" s="6"/>
      <c r="C77" s="7"/>
      <c r="D77" s="8"/>
      <c r="E77" s="27">
        <v>47422</v>
      </c>
      <c r="F77" s="26"/>
    </row>
    <row r="78" spans="1:6">
      <c r="A78" s="5"/>
      <c r="B78" s="6"/>
      <c r="C78" s="7"/>
      <c r="D78" s="31" t="s">
        <v>15</v>
      </c>
      <c r="E78" s="7"/>
    </row>
    <row r="79" spans="1:6" ht="18.75" customHeight="1">
      <c r="A79" s="70" t="s">
        <v>70</v>
      </c>
      <c r="B79" s="70"/>
      <c r="C79" s="7"/>
      <c r="D79" s="25">
        <v>8</v>
      </c>
      <c r="E79" s="23">
        <v>0.44</v>
      </c>
    </row>
    <row r="80" spans="1:6" ht="18.75" customHeight="1">
      <c r="A80" s="70" t="s">
        <v>71</v>
      </c>
      <c r="B80" s="70"/>
      <c r="C80" s="7"/>
      <c r="D80" s="25">
        <v>10</v>
      </c>
      <c r="E80" s="23">
        <v>0.56000000000000005</v>
      </c>
    </row>
    <row r="81" spans="1:6" ht="18.75" customHeight="1">
      <c r="A81" s="32" t="s">
        <v>40</v>
      </c>
      <c r="B81" s="6"/>
      <c r="C81" s="7"/>
      <c r="D81" s="8"/>
      <c r="E81" s="29">
        <v>1.1361000000000001</v>
      </c>
    </row>
    <row r="82" spans="1:6" ht="18.75" customHeight="1">
      <c r="A82" s="32" t="s">
        <v>41</v>
      </c>
      <c r="B82" s="6"/>
      <c r="C82" s="7"/>
      <c r="D82" s="8"/>
      <c r="E82" s="29">
        <v>1.1745000000000001</v>
      </c>
    </row>
    <row r="83" spans="1:6">
      <c r="A83" s="32" t="s">
        <v>72</v>
      </c>
      <c r="B83" s="6"/>
      <c r="C83" s="7"/>
      <c r="D83" s="8"/>
      <c r="E83" s="29">
        <v>1.1576</v>
      </c>
      <c r="F83" s="51"/>
    </row>
    <row r="84" spans="1:6">
      <c r="A84" s="5"/>
      <c r="B84" s="6"/>
      <c r="C84" s="7"/>
      <c r="D84" s="8"/>
      <c r="E84" s="7"/>
    </row>
    <row r="85" spans="1:6" ht="18.75" customHeight="1">
      <c r="A85" s="50" t="s">
        <v>16</v>
      </c>
      <c r="B85" s="6"/>
      <c r="C85" s="7"/>
      <c r="D85" s="8"/>
      <c r="E85" s="28">
        <v>29</v>
      </c>
      <c r="F85" s="18"/>
    </row>
    <row r="86" spans="1:6">
      <c r="A86" s="32" t="s">
        <v>17</v>
      </c>
      <c r="B86" s="6"/>
      <c r="C86" s="7"/>
      <c r="D86" s="8"/>
      <c r="E86" s="52">
        <v>47058</v>
      </c>
      <c r="F86" s="26"/>
    </row>
    <row r="87" spans="1:6">
      <c r="A87" s="32" t="s">
        <v>18</v>
      </c>
      <c r="B87" s="6"/>
      <c r="C87" s="7"/>
      <c r="D87" s="8"/>
      <c r="E87" s="27">
        <v>47918</v>
      </c>
      <c r="F87" s="26"/>
    </row>
    <row r="88" spans="1:6">
      <c r="A88" s="5"/>
      <c r="B88" s="6"/>
      <c r="C88" s="7"/>
      <c r="D88" s="31" t="s">
        <v>15</v>
      </c>
      <c r="E88" s="7"/>
    </row>
    <row r="89" spans="1:6" ht="18.75" customHeight="1">
      <c r="A89" s="70" t="s">
        <v>73</v>
      </c>
      <c r="B89" s="70"/>
      <c r="C89" s="7"/>
      <c r="D89" s="25">
        <v>2</v>
      </c>
      <c r="E89" s="66">
        <v>6.9000000000000006E-2</v>
      </c>
    </row>
    <row r="90" spans="1:6" ht="15" customHeight="1">
      <c r="A90" s="70" t="s">
        <v>74</v>
      </c>
      <c r="B90" s="70"/>
      <c r="C90" s="7"/>
      <c r="D90" s="25">
        <v>12</v>
      </c>
      <c r="E90" s="66">
        <v>0.41399999999999998</v>
      </c>
    </row>
    <row r="91" spans="1:6" ht="18.75" customHeight="1">
      <c r="A91" s="70" t="s">
        <v>75</v>
      </c>
      <c r="B91" s="70"/>
      <c r="C91" s="7"/>
      <c r="D91" s="25">
        <v>12</v>
      </c>
      <c r="E91" s="66">
        <v>0.41399999999999998</v>
      </c>
    </row>
    <row r="92" spans="1:6" ht="18.75" customHeight="1">
      <c r="A92" s="70" t="s">
        <v>76</v>
      </c>
      <c r="B92" s="70"/>
      <c r="C92" s="7"/>
      <c r="D92" s="25">
        <v>3</v>
      </c>
      <c r="E92" s="66">
        <v>0.10299999999999999</v>
      </c>
    </row>
    <row r="93" spans="1:6" ht="18.75" customHeight="1">
      <c r="A93" s="32" t="s">
        <v>42</v>
      </c>
      <c r="B93" s="6"/>
      <c r="C93" s="7"/>
      <c r="D93" s="8"/>
      <c r="E93" s="29">
        <v>1.1488</v>
      </c>
    </row>
    <row r="94" spans="1:6" ht="18.75" customHeight="1">
      <c r="A94" s="32" t="s">
        <v>39</v>
      </c>
      <c r="B94" s="6"/>
      <c r="C94" s="7"/>
      <c r="D94" s="8"/>
      <c r="E94" s="29">
        <v>1.1802999999999999</v>
      </c>
    </row>
    <row r="95" spans="1:6" ht="18.75" customHeight="1">
      <c r="A95" s="32" t="s">
        <v>44</v>
      </c>
      <c r="B95" s="6"/>
      <c r="C95" s="7"/>
      <c r="D95" s="8"/>
      <c r="E95" s="29">
        <v>1.2334000000000001</v>
      </c>
    </row>
    <row r="96" spans="1:6" ht="18.75" customHeight="1">
      <c r="A96" s="32" t="s">
        <v>45</v>
      </c>
      <c r="B96" s="6"/>
      <c r="C96" s="7"/>
      <c r="D96" s="8"/>
      <c r="E96" s="29">
        <v>1.2675000000000001</v>
      </c>
    </row>
    <row r="97" spans="1:7">
      <c r="A97" s="32" t="s">
        <v>77</v>
      </c>
      <c r="B97" s="6"/>
      <c r="C97" s="7"/>
      <c r="D97" s="8"/>
      <c r="E97" s="29">
        <v>1.2091000000000001</v>
      </c>
      <c r="F97" s="51"/>
    </row>
    <row r="98" spans="1:7" ht="18.75" customHeight="1">
      <c r="A98" s="5"/>
      <c r="B98" s="6"/>
      <c r="C98" s="7"/>
      <c r="D98" s="8"/>
      <c r="E98" s="7"/>
    </row>
    <row r="99" spans="1:7" ht="72" customHeight="1">
      <c r="A99" s="71" t="s">
        <v>107</v>
      </c>
      <c r="B99" s="71"/>
      <c r="C99" s="71"/>
      <c r="D99" s="71"/>
      <c r="E99" s="71"/>
      <c r="F99" s="34"/>
    </row>
    <row r="100" spans="1:7" ht="91.15" customHeight="1">
      <c r="A100" s="46" t="s">
        <v>4</v>
      </c>
      <c r="B100" s="46" t="s">
        <v>25</v>
      </c>
      <c r="C100" s="46" t="s">
        <v>27</v>
      </c>
      <c r="D100" s="15" t="s">
        <v>5</v>
      </c>
      <c r="E100" s="15" t="s">
        <v>20</v>
      </c>
    </row>
    <row r="101" spans="1:7" ht="18.75" customHeight="1">
      <c r="A101" s="46">
        <v>1</v>
      </c>
      <c r="B101" s="46">
        <v>2</v>
      </c>
      <c r="C101" s="46">
        <v>3</v>
      </c>
      <c r="D101" s="46">
        <v>4</v>
      </c>
      <c r="E101" s="20">
        <v>5</v>
      </c>
    </row>
    <row r="102" spans="1:7" s="2" customFormat="1" ht="27" customHeight="1">
      <c r="A102" s="10" t="s">
        <v>7</v>
      </c>
      <c r="B102" s="22">
        <v>412095081</v>
      </c>
      <c r="C102" s="22">
        <v>416751755</v>
      </c>
      <c r="D102" s="30">
        <v>1.1333</v>
      </c>
      <c r="E102" s="22">
        <v>472304764</v>
      </c>
      <c r="F102" s="80">
        <v>7.4300000000000005E-2</v>
      </c>
      <c r="G102" s="81"/>
    </row>
    <row r="103" spans="1:7" s="2" customFormat="1" ht="27" customHeight="1">
      <c r="A103" s="10"/>
      <c r="B103" s="22"/>
      <c r="C103" s="22"/>
      <c r="D103" s="30"/>
      <c r="E103" s="85">
        <f>F104*F102/1.22</f>
        <v>335691006</v>
      </c>
      <c r="F103" s="82">
        <f>179.64*1000</f>
        <v>179640</v>
      </c>
      <c r="G103" s="82"/>
    </row>
    <row r="104" spans="1:7" s="2" customFormat="1" ht="25.9" customHeight="1">
      <c r="A104" s="10" t="s">
        <v>6</v>
      </c>
      <c r="B104" s="22">
        <v>5388106155</v>
      </c>
      <c r="C104" s="22">
        <v>5448991755</v>
      </c>
      <c r="D104" s="30">
        <v>1.1691</v>
      </c>
      <c r="E104" s="22">
        <v>6370416261</v>
      </c>
      <c r="F104" s="82">
        <f>E111*F103+F112*E112</f>
        <v>5512019217.5</v>
      </c>
    </row>
    <row r="105" spans="1:7" ht="18.75" customHeight="1">
      <c r="A105" s="64" t="s">
        <v>29</v>
      </c>
      <c r="B105" s="22">
        <v>5800201236</v>
      </c>
      <c r="C105" s="22">
        <v>5865743510</v>
      </c>
      <c r="D105" s="11"/>
      <c r="E105" s="22">
        <v>6842721025</v>
      </c>
    </row>
    <row r="106" spans="1:7" ht="18.75" customHeight="1">
      <c r="A106" s="21" t="s">
        <v>31</v>
      </c>
      <c r="B106" s="22">
        <v>4833501030</v>
      </c>
      <c r="C106" s="22">
        <v>4888119592</v>
      </c>
      <c r="D106" s="22"/>
      <c r="E106" s="22">
        <v>5702267521</v>
      </c>
    </row>
    <row r="107" spans="1:7" ht="18.75" customHeight="1">
      <c r="A107" s="21" t="s">
        <v>30</v>
      </c>
      <c r="B107" s="22">
        <v>5896871257</v>
      </c>
      <c r="C107" s="22">
        <v>5963505902</v>
      </c>
      <c r="D107" s="22"/>
      <c r="E107" s="22">
        <v>6956766376</v>
      </c>
    </row>
    <row r="108" spans="1:7" ht="21" customHeight="1">
      <c r="A108" s="21" t="s">
        <v>32</v>
      </c>
      <c r="B108" s="22">
        <v>1063370227</v>
      </c>
      <c r="C108" s="22">
        <v>1075386310</v>
      </c>
      <c r="D108" s="22"/>
      <c r="E108" s="22">
        <v>1254498855</v>
      </c>
    </row>
    <row r="109" spans="1:7">
      <c r="A109" s="5"/>
      <c r="B109" s="6"/>
      <c r="C109" s="7"/>
      <c r="D109" s="8"/>
      <c r="E109" s="7"/>
    </row>
    <row r="110" spans="1:7" ht="18.75" customHeight="1">
      <c r="A110" s="43" t="s">
        <v>8</v>
      </c>
      <c r="B110" s="6"/>
      <c r="C110" s="7"/>
      <c r="D110" s="8"/>
      <c r="E110" s="7"/>
    </row>
    <row r="111" spans="1:7">
      <c r="A111" s="33" t="s">
        <v>9</v>
      </c>
      <c r="B111" s="6"/>
      <c r="C111" s="7"/>
      <c r="D111" s="8"/>
      <c r="E111" s="24">
        <v>29194</v>
      </c>
      <c r="F111" s="83">
        <f>E103*1.22/E111</f>
        <v>14028.33</v>
      </c>
      <c r="G111" s="84">
        <f>E102*1.22/(E111+E112)</f>
        <v>19104.37</v>
      </c>
    </row>
    <row r="112" spans="1:7">
      <c r="A112" s="33" t="s">
        <v>78</v>
      </c>
      <c r="B112" s="6"/>
      <c r="C112" s="7"/>
      <c r="D112" s="8"/>
      <c r="E112" s="7">
        <f>13.25*73</f>
        <v>967.25</v>
      </c>
      <c r="F112" s="82">
        <f>276.67*1000</f>
        <v>276670</v>
      </c>
    </row>
    <row r="113" spans="1:6">
      <c r="A113" s="33"/>
      <c r="B113" s="6"/>
      <c r="C113" s="7"/>
      <c r="D113" s="8"/>
      <c r="E113" s="7"/>
    </row>
    <row r="114" spans="1:6">
      <c r="A114" s="32" t="s">
        <v>10</v>
      </c>
      <c r="B114" s="6"/>
      <c r="C114" s="7"/>
      <c r="D114" s="8"/>
      <c r="E114" s="42">
        <v>45870</v>
      </c>
    </row>
    <row r="115" spans="1:6">
      <c r="A115" s="32" t="s">
        <v>11</v>
      </c>
      <c r="B115" s="6"/>
      <c r="C115" s="7"/>
      <c r="D115" s="8"/>
      <c r="E115" s="59">
        <v>45962</v>
      </c>
    </row>
    <row r="116" spans="1:6">
      <c r="A116" s="5"/>
      <c r="B116" s="6"/>
      <c r="C116" s="7"/>
      <c r="D116" s="8"/>
      <c r="E116" s="7"/>
    </row>
    <row r="117" spans="1:6">
      <c r="A117" s="73" t="s">
        <v>26</v>
      </c>
      <c r="B117" s="73"/>
      <c r="C117" s="7"/>
      <c r="D117" s="8"/>
      <c r="E117" s="61">
        <v>1.0113000000000001</v>
      </c>
    </row>
    <row r="118" spans="1:6">
      <c r="A118" s="50"/>
      <c r="B118" s="50"/>
      <c r="C118" s="7"/>
      <c r="D118" s="8"/>
      <c r="E118" s="24"/>
    </row>
    <row r="119" spans="1:6">
      <c r="A119" s="75" t="s">
        <v>23</v>
      </c>
      <c r="B119" s="75"/>
      <c r="C119" s="75"/>
      <c r="D119" s="75"/>
      <c r="E119" s="75"/>
    </row>
    <row r="120" spans="1:6">
      <c r="A120" s="43"/>
      <c r="B120" s="43"/>
      <c r="C120" s="43"/>
      <c r="D120" s="43"/>
      <c r="E120" s="43"/>
    </row>
    <row r="121" spans="1:6">
      <c r="A121" s="50" t="s">
        <v>12</v>
      </c>
      <c r="B121" s="6"/>
      <c r="C121" s="7"/>
      <c r="D121" s="8"/>
      <c r="E121" s="28">
        <v>18</v>
      </c>
    </row>
    <row r="122" spans="1:6" ht="16.899999999999999" customHeight="1">
      <c r="A122" s="32" t="s">
        <v>13</v>
      </c>
      <c r="B122" s="6"/>
      <c r="C122" s="7"/>
      <c r="D122" s="8"/>
      <c r="E122" s="27">
        <v>46692</v>
      </c>
      <c r="F122" s="26"/>
    </row>
    <row r="123" spans="1:6" ht="18" customHeight="1">
      <c r="A123" s="32" t="s">
        <v>14</v>
      </c>
      <c r="B123" s="6"/>
      <c r="C123" s="7"/>
      <c r="D123" s="8"/>
      <c r="E123" s="27">
        <v>47238</v>
      </c>
      <c r="F123" s="26"/>
    </row>
    <row r="124" spans="1:6">
      <c r="A124" s="5"/>
      <c r="B124" s="6"/>
      <c r="C124" s="7"/>
      <c r="D124" s="31" t="s">
        <v>15</v>
      </c>
      <c r="E124" s="7"/>
    </row>
    <row r="125" spans="1:6">
      <c r="A125" s="70" t="s">
        <v>79</v>
      </c>
      <c r="B125" s="70"/>
      <c r="C125" s="7"/>
      <c r="D125" s="25">
        <v>2</v>
      </c>
      <c r="E125" s="23">
        <v>0.11</v>
      </c>
    </row>
    <row r="126" spans="1:6">
      <c r="A126" s="70" t="s">
        <v>80</v>
      </c>
      <c r="B126" s="70"/>
      <c r="C126" s="7"/>
      <c r="D126" s="25">
        <v>12</v>
      </c>
      <c r="E126" s="23">
        <v>0.67</v>
      </c>
    </row>
    <row r="127" spans="1:6" ht="15" customHeight="1">
      <c r="A127" s="70" t="s">
        <v>81</v>
      </c>
      <c r="B127" s="70"/>
      <c r="C127" s="7"/>
      <c r="D127" s="25">
        <v>4</v>
      </c>
      <c r="E127" s="23">
        <v>0.22</v>
      </c>
    </row>
    <row r="128" spans="1:6" ht="18.75" customHeight="1">
      <c r="A128" s="32" t="s">
        <v>46</v>
      </c>
      <c r="B128" s="6"/>
      <c r="C128" s="7"/>
      <c r="D128" s="8"/>
      <c r="E128" s="29">
        <v>1.0992999999999999</v>
      </c>
    </row>
    <row r="129" spans="1:6" ht="18.75" customHeight="1">
      <c r="A129" s="32" t="s">
        <v>38</v>
      </c>
      <c r="B129" s="6"/>
      <c r="C129" s="7"/>
      <c r="D129" s="8"/>
      <c r="E129" s="29">
        <v>1.1294999999999999</v>
      </c>
    </row>
    <row r="130" spans="1:6">
      <c r="A130" s="32" t="s">
        <v>47</v>
      </c>
      <c r="B130" s="6"/>
      <c r="C130" s="7"/>
      <c r="D130" s="8"/>
      <c r="E130" s="29">
        <v>1.1617999999999999</v>
      </c>
    </row>
    <row r="131" spans="1:6" ht="18.75" customHeight="1">
      <c r="A131" s="32" t="s">
        <v>82</v>
      </c>
      <c r="B131" s="6"/>
      <c r="C131" s="7"/>
      <c r="D131" s="8"/>
      <c r="E131" s="29">
        <v>1.1333</v>
      </c>
      <c r="F131" s="51"/>
    </row>
    <row r="132" spans="1:6">
      <c r="A132" s="5"/>
      <c r="B132" s="6"/>
      <c r="C132" s="7"/>
      <c r="D132" s="8"/>
      <c r="E132" s="7"/>
    </row>
    <row r="133" spans="1:6" ht="18.75" customHeight="1">
      <c r="A133" s="50" t="s">
        <v>16</v>
      </c>
      <c r="B133" s="6"/>
      <c r="C133" s="7"/>
      <c r="D133" s="8"/>
      <c r="E133" s="28">
        <v>23</v>
      </c>
      <c r="F133" s="18"/>
    </row>
    <row r="134" spans="1:6" ht="16.899999999999999" customHeight="1">
      <c r="A134" s="32" t="s">
        <v>17</v>
      </c>
      <c r="B134" s="6"/>
      <c r="C134" s="7"/>
      <c r="D134" s="8"/>
      <c r="E134" s="27">
        <v>46874</v>
      </c>
      <c r="F134" s="26"/>
    </row>
    <row r="135" spans="1:6" ht="18" customHeight="1">
      <c r="A135" s="32" t="s">
        <v>18</v>
      </c>
      <c r="B135" s="6"/>
      <c r="C135" s="7"/>
      <c r="D135" s="8"/>
      <c r="E135" s="27">
        <v>47554</v>
      </c>
      <c r="F135" s="26"/>
    </row>
    <row r="136" spans="1:6">
      <c r="A136" s="5"/>
      <c r="B136" s="6"/>
      <c r="C136" s="7"/>
      <c r="D136" s="31" t="s">
        <v>15</v>
      </c>
      <c r="E136" s="7"/>
    </row>
    <row r="137" spans="1:6" ht="18.75" customHeight="1">
      <c r="A137" s="70" t="s">
        <v>83</v>
      </c>
      <c r="B137" s="70"/>
      <c r="C137" s="7"/>
      <c r="D137" s="25">
        <v>8</v>
      </c>
      <c r="E137" s="23">
        <v>0.35</v>
      </c>
    </row>
    <row r="138" spans="1:6" ht="18.75" customHeight="1">
      <c r="A138" s="70" t="s">
        <v>84</v>
      </c>
      <c r="B138" s="70"/>
      <c r="C138" s="7"/>
      <c r="D138" s="25">
        <v>12</v>
      </c>
      <c r="E138" s="23">
        <v>0.52</v>
      </c>
    </row>
    <row r="139" spans="1:6" ht="18.75" customHeight="1">
      <c r="A139" s="70" t="s">
        <v>85</v>
      </c>
      <c r="B139" s="70"/>
      <c r="C139" s="7"/>
      <c r="D139" s="25">
        <v>3</v>
      </c>
      <c r="E139" s="23">
        <v>0.13</v>
      </c>
    </row>
    <row r="140" spans="1:6" ht="18.75" customHeight="1">
      <c r="A140" s="32" t="s">
        <v>48</v>
      </c>
      <c r="B140" s="6"/>
      <c r="C140" s="7"/>
      <c r="D140" s="8"/>
      <c r="E140" s="29">
        <v>1.1361000000000001</v>
      </c>
    </row>
    <row r="141" spans="1:6" ht="18.75" customHeight="1">
      <c r="A141" s="32" t="s">
        <v>39</v>
      </c>
      <c r="B141" s="6"/>
      <c r="C141" s="7"/>
      <c r="D141" s="8"/>
      <c r="E141" s="29">
        <v>1.1802999999999999</v>
      </c>
    </row>
    <row r="142" spans="1:6" ht="18.75" customHeight="1">
      <c r="A142" s="32" t="s">
        <v>49</v>
      </c>
      <c r="B142" s="6"/>
      <c r="C142" s="7"/>
      <c r="D142" s="8"/>
      <c r="E142" s="29">
        <v>1.2129000000000001</v>
      </c>
    </row>
    <row r="143" spans="1:6" ht="18.75" customHeight="1">
      <c r="A143" s="32" t="s">
        <v>86</v>
      </c>
      <c r="B143" s="6"/>
      <c r="C143" s="7"/>
      <c r="D143" s="8"/>
      <c r="E143" s="29">
        <v>1.1691</v>
      </c>
      <c r="F143" s="51"/>
    </row>
    <row r="144" spans="1:6" ht="18.75" customHeight="1">
      <c r="A144" s="5"/>
      <c r="B144" s="6"/>
      <c r="C144" s="7"/>
      <c r="D144" s="8"/>
      <c r="E144" s="7"/>
    </row>
    <row r="145" spans="1:7" ht="72" customHeight="1">
      <c r="A145" s="71" t="s">
        <v>108</v>
      </c>
      <c r="B145" s="71"/>
      <c r="C145" s="71"/>
      <c r="D145" s="71"/>
      <c r="E145" s="71"/>
      <c r="F145" s="34"/>
    </row>
    <row r="146" spans="1:7" ht="85.5" customHeight="1">
      <c r="A146" s="46" t="s">
        <v>4</v>
      </c>
      <c r="B146" s="46" t="s">
        <v>25</v>
      </c>
      <c r="C146" s="46" t="s">
        <v>27</v>
      </c>
      <c r="D146" s="15" t="s">
        <v>5</v>
      </c>
      <c r="E146" s="15" t="s">
        <v>20</v>
      </c>
    </row>
    <row r="147" spans="1:7" ht="18.75" customHeight="1">
      <c r="A147" s="46">
        <v>1</v>
      </c>
      <c r="B147" s="46">
        <v>2</v>
      </c>
      <c r="C147" s="46">
        <v>3</v>
      </c>
      <c r="D147" s="46">
        <v>4</v>
      </c>
      <c r="E147" s="20">
        <v>5</v>
      </c>
    </row>
    <row r="148" spans="1:7" s="2" customFormat="1" ht="34.5" customHeight="1">
      <c r="A148" s="10" t="s">
        <v>7</v>
      </c>
      <c r="B148" s="22">
        <v>185147321</v>
      </c>
      <c r="C148" s="22">
        <v>187239486</v>
      </c>
      <c r="D148" s="30">
        <v>1.0522</v>
      </c>
      <c r="E148" s="22">
        <v>197013387</v>
      </c>
      <c r="F148" s="80">
        <v>7.4300000000000005E-2</v>
      </c>
      <c r="G148" s="81"/>
    </row>
    <row r="149" spans="1:7" s="2" customFormat="1" ht="34.5" customHeight="1">
      <c r="A149" s="10"/>
      <c r="B149" s="22"/>
      <c r="C149" s="22"/>
      <c r="D149" s="30"/>
      <c r="E149" s="85">
        <f>F150*F148/1.22</f>
        <v>152468915</v>
      </c>
      <c r="F149" s="82">
        <f>179.64*1000</f>
        <v>179640</v>
      </c>
      <c r="G149" s="82"/>
    </row>
    <row r="150" spans="1:7" s="2" customFormat="1" ht="25.9" customHeight="1">
      <c r="A150" s="10" t="s">
        <v>6</v>
      </c>
      <c r="B150" s="22">
        <v>2444671386</v>
      </c>
      <c r="C150" s="22">
        <v>2472296173</v>
      </c>
      <c r="D150" s="30">
        <v>1.0808</v>
      </c>
      <c r="E150" s="22">
        <v>2672057704</v>
      </c>
      <c r="F150" s="82">
        <f>E157*F149+F158*E158</f>
        <v>2503527275</v>
      </c>
    </row>
    <row r="151" spans="1:7" ht="19.5" customHeight="1">
      <c r="A151" s="64" t="s">
        <v>29</v>
      </c>
      <c r="B151" s="22">
        <v>2629818707</v>
      </c>
      <c r="C151" s="22">
        <v>2659535659</v>
      </c>
      <c r="D151" s="11"/>
      <c r="E151" s="22">
        <v>2869071091</v>
      </c>
    </row>
    <row r="152" spans="1:7" ht="18" customHeight="1">
      <c r="A152" s="21" t="s">
        <v>31</v>
      </c>
      <c r="B152" s="22">
        <v>2191515589</v>
      </c>
      <c r="C152" s="22">
        <v>2216279716</v>
      </c>
      <c r="D152" s="22"/>
      <c r="E152" s="22">
        <v>2390892576</v>
      </c>
    </row>
    <row r="153" spans="1:7" ht="20.25" customHeight="1">
      <c r="A153" s="21" t="s">
        <v>30</v>
      </c>
      <c r="B153" s="22">
        <v>2673649019</v>
      </c>
      <c r="C153" s="22">
        <v>2703861254</v>
      </c>
      <c r="D153" s="22"/>
      <c r="E153" s="22">
        <v>2916888943</v>
      </c>
    </row>
    <row r="154" spans="1:7" ht="21" customHeight="1">
      <c r="A154" s="21" t="s">
        <v>32</v>
      </c>
      <c r="B154" s="22">
        <v>482133430</v>
      </c>
      <c r="C154" s="22">
        <v>487581538</v>
      </c>
      <c r="D154" s="22"/>
      <c r="E154" s="22">
        <v>525996367</v>
      </c>
    </row>
    <row r="155" spans="1:7">
      <c r="A155" s="5"/>
      <c r="B155" s="6"/>
      <c r="C155" s="7"/>
      <c r="D155" s="8"/>
      <c r="E155" s="7"/>
    </row>
    <row r="156" spans="1:7" ht="18.75" customHeight="1">
      <c r="A156" s="43" t="s">
        <v>8</v>
      </c>
      <c r="B156" s="6"/>
      <c r="C156" s="7"/>
      <c r="D156" s="8"/>
      <c r="E156" s="7"/>
    </row>
    <row r="157" spans="1:7" ht="18.75" customHeight="1">
      <c r="A157" s="33" t="s">
        <v>9</v>
      </c>
      <c r="B157" s="6"/>
      <c r="C157" s="7"/>
      <c r="D157" s="8"/>
      <c r="E157" s="24">
        <v>12263</v>
      </c>
      <c r="F157" s="83">
        <f>E149*1.22/E157</f>
        <v>15168.56</v>
      </c>
      <c r="G157" s="84">
        <f>E148*1.22/(E157+E158)</f>
        <v>18004.89</v>
      </c>
    </row>
    <row r="158" spans="1:7">
      <c r="A158" s="33" t="s">
        <v>87</v>
      </c>
      <c r="B158" s="6"/>
      <c r="C158" s="7"/>
      <c r="D158" s="8"/>
      <c r="E158" s="7">
        <f>13.25*82</f>
        <v>1086.5</v>
      </c>
      <c r="F158" s="82">
        <f>276.67*1000</f>
        <v>276670</v>
      </c>
    </row>
    <row r="159" spans="1:7">
      <c r="A159" s="33"/>
      <c r="B159" s="6"/>
      <c r="C159" s="7"/>
      <c r="D159" s="8"/>
      <c r="E159" s="7"/>
    </row>
    <row r="160" spans="1:7" ht="18.75" customHeight="1">
      <c r="A160" s="32" t="s">
        <v>10</v>
      </c>
      <c r="B160" s="6"/>
      <c r="C160" s="7"/>
      <c r="D160" s="8"/>
      <c r="E160" s="42">
        <v>45870</v>
      </c>
    </row>
    <row r="161" spans="1:6" ht="16.899999999999999" customHeight="1">
      <c r="A161" s="32" t="s">
        <v>11</v>
      </c>
      <c r="B161" s="6"/>
      <c r="C161" s="7"/>
      <c r="D161" s="8"/>
      <c r="E161" s="59">
        <v>45962</v>
      </c>
    </row>
    <row r="162" spans="1:6">
      <c r="A162" s="5"/>
      <c r="B162" s="6"/>
      <c r="C162" s="7"/>
      <c r="D162" s="8"/>
      <c r="E162" s="7"/>
    </row>
    <row r="163" spans="1:6" ht="15" customHeight="1">
      <c r="A163" s="73" t="s">
        <v>26</v>
      </c>
      <c r="B163" s="73"/>
      <c r="C163" s="7"/>
      <c r="D163" s="8"/>
      <c r="E163" s="61">
        <v>1.0113000000000001</v>
      </c>
    </row>
    <row r="164" spans="1:6">
      <c r="A164" s="50"/>
      <c r="B164" s="50"/>
      <c r="C164" s="7"/>
      <c r="D164" s="8"/>
      <c r="E164" s="24"/>
    </row>
    <row r="165" spans="1:6">
      <c r="A165" s="75" t="s">
        <v>23</v>
      </c>
      <c r="B165" s="75"/>
      <c r="C165" s="75"/>
      <c r="D165" s="75"/>
      <c r="E165" s="75"/>
    </row>
    <row r="166" spans="1:6">
      <c r="A166" s="43"/>
      <c r="B166" s="43"/>
      <c r="C166" s="43"/>
      <c r="D166" s="43"/>
      <c r="E166" s="43"/>
    </row>
    <row r="167" spans="1:6" ht="18.75" customHeight="1">
      <c r="A167" s="50" t="s">
        <v>12</v>
      </c>
      <c r="B167" s="6"/>
      <c r="C167" s="7"/>
      <c r="D167" s="8"/>
      <c r="E167" s="63">
        <v>18</v>
      </c>
    </row>
    <row r="168" spans="1:6" ht="16.899999999999999" customHeight="1">
      <c r="A168" s="32" t="s">
        <v>13</v>
      </c>
      <c r="B168" s="6"/>
      <c r="C168" s="7"/>
      <c r="D168" s="8"/>
      <c r="E168" s="27">
        <v>46082</v>
      </c>
      <c r="F168" s="26"/>
    </row>
    <row r="169" spans="1:6" ht="18" customHeight="1">
      <c r="A169" s="32" t="s">
        <v>14</v>
      </c>
      <c r="B169" s="6"/>
      <c r="C169" s="7"/>
      <c r="D169" s="8"/>
      <c r="E169" s="27">
        <v>46630</v>
      </c>
      <c r="F169" s="26"/>
    </row>
    <row r="170" spans="1:6">
      <c r="A170" s="5"/>
      <c r="B170" s="6"/>
      <c r="C170" s="7"/>
      <c r="D170" s="31" t="s">
        <v>15</v>
      </c>
      <c r="E170" s="7"/>
    </row>
    <row r="171" spans="1:6" ht="18.75" customHeight="1">
      <c r="A171" s="70" t="s">
        <v>62</v>
      </c>
      <c r="B171" s="70"/>
      <c r="C171" s="7"/>
      <c r="D171" s="25">
        <v>10</v>
      </c>
      <c r="E171" s="23">
        <v>0.56000000000000005</v>
      </c>
    </row>
    <row r="172" spans="1:6" ht="18.75" customHeight="1">
      <c r="A172" s="70" t="s">
        <v>63</v>
      </c>
      <c r="B172" s="70"/>
      <c r="C172" s="7"/>
      <c r="D172" s="25">
        <v>8</v>
      </c>
      <c r="E172" s="23">
        <v>0.44</v>
      </c>
    </row>
    <row r="173" spans="1:6" ht="18.75" customHeight="1">
      <c r="A173" s="32" t="s">
        <v>35</v>
      </c>
      <c r="B173" s="6"/>
      <c r="C173" s="7"/>
      <c r="D173" s="8"/>
      <c r="E173" s="29">
        <v>1.038</v>
      </c>
    </row>
    <row r="174" spans="1:6" ht="18.75" customHeight="1">
      <c r="A174" s="32" t="s">
        <v>36</v>
      </c>
      <c r="B174" s="6"/>
      <c r="C174" s="7"/>
      <c r="D174" s="8"/>
      <c r="E174" s="29">
        <v>1.0703</v>
      </c>
    </row>
    <row r="175" spans="1:6" ht="18.75" customHeight="1">
      <c r="A175" s="32" t="s">
        <v>64</v>
      </c>
      <c r="B175" s="6"/>
      <c r="C175" s="7"/>
      <c r="D175" s="8"/>
      <c r="E175" s="29">
        <v>1.0522</v>
      </c>
      <c r="F175" s="51"/>
    </row>
    <row r="176" spans="1:6">
      <c r="A176" s="5"/>
      <c r="B176" s="6"/>
      <c r="C176" s="7"/>
      <c r="D176" s="8"/>
      <c r="E176" s="7"/>
    </row>
    <row r="177" spans="1:6" ht="18.75" customHeight="1">
      <c r="A177" s="50" t="s">
        <v>16</v>
      </c>
      <c r="B177" s="6"/>
      <c r="C177" s="7"/>
      <c r="D177" s="8"/>
      <c r="E177" s="28">
        <v>20</v>
      </c>
      <c r="F177" s="18"/>
    </row>
    <row r="178" spans="1:6" ht="16.899999999999999" customHeight="1">
      <c r="A178" s="32" t="s">
        <v>17</v>
      </c>
      <c r="B178" s="6"/>
      <c r="C178" s="7"/>
      <c r="D178" s="8"/>
      <c r="E178" s="27">
        <v>46266</v>
      </c>
      <c r="F178" s="26"/>
    </row>
    <row r="179" spans="1:6" ht="18" customHeight="1">
      <c r="A179" s="32" t="s">
        <v>18</v>
      </c>
      <c r="B179" s="6"/>
      <c r="C179" s="7"/>
      <c r="D179" s="8"/>
      <c r="E179" s="27">
        <v>46854</v>
      </c>
      <c r="F179" s="26"/>
    </row>
    <row r="180" spans="1:6">
      <c r="A180" s="5"/>
      <c r="B180" s="6"/>
      <c r="C180" s="7"/>
      <c r="D180" s="31" t="s">
        <v>15</v>
      </c>
      <c r="E180" s="7"/>
    </row>
    <row r="181" spans="1:6">
      <c r="A181" s="70" t="s">
        <v>88</v>
      </c>
      <c r="B181" s="70"/>
      <c r="C181" s="7"/>
      <c r="D181" s="25">
        <v>4</v>
      </c>
      <c r="E181" s="23">
        <v>0.2</v>
      </c>
    </row>
    <row r="182" spans="1:6">
      <c r="A182" s="70" t="s">
        <v>89</v>
      </c>
      <c r="B182" s="70"/>
      <c r="C182" s="7"/>
      <c r="D182" s="25">
        <v>12</v>
      </c>
      <c r="E182" s="23">
        <v>0.6</v>
      </c>
    </row>
    <row r="183" spans="1:6">
      <c r="A183" s="70" t="s">
        <v>90</v>
      </c>
      <c r="B183" s="70"/>
      <c r="C183" s="7"/>
      <c r="D183" s="25">
        <v>4</v>
      </c>
      <c r="E183" s="23">
        <v>0.2</v>
      </c>
    </row>
    <row r="184" spans="1:6">
      <c r="A184" s="32" t="s">
        <v>34</v>
      </c>
      <c r="B184" s="6"/>
      <c r="C184" s="7"/>
      <c r="D184" s="8"/>
      <c r="E184" s="29">
        <v>1.05</v>
      </c>
    </row>
    <row r="185" spans="1:6">
      <c r="A185" s="32" t="s">
        <v>28</v>
      </c>
      <c r="B185" s="6"/>
      <c r="C185" s="7"/>
      <c r="D185" s="8"/>
      <c r="E185" s="29">
        <v>1.0808</v>
      </c>
    </row>
    <row r="186" spans="1:6">
      <c r="A186" s="32" t="s">
        <v>50</v>
      </c>
      <c r="B186" s="6"/>
      <c r="C186" s="7"/>
      <c r="D186" s="8"/>
      <c r="E186" s="29">
        <v>1.1117999999999999</v>
      </c>
    </row>
    <row r="187" spans="1:6" ht="18.75" customHeight="1">
      <c r="A187" s="32" t="s">
        <v>91</v>
      </c>
      <c r="B187" s="6"/>
      <c r="C187" s="7"/>
      <c r="D187" s="8"/>
      <c r="E187" s="29">
        <v>1.0808</v>
      </c>
      <c r="F187" s="51"/>
    </row>
    <row r="188" spans="1:6" ht="20.25" customHeight="1">
      <c r="A188" s="32"/>
      <c r="B188" s="6"/>
      <c r="C188" s="7"/>
      <c r="D188" s="8"/>
      <c r="E188" s="29"/>
    </row>
    <row r="189" spans="1:6" ht="41.25" customHeight="1">
      <c r="A189" s="78" t="s">
        <v>59</v>
      </c>
      <c r="B189" s="78"/>
      <c r="C189" s="78"/>
      <c r="D189" s="78"/>
      <c r="E189" s="78"/>
      <c r="F189" s="34"/>
    </row>
    <row r="190" spans="1:6" ht="79.5" customHeight="1">
      <c r="A190" s="46" t="s">
        <v>4</v>
      </c>
      <c r="B190" s="54" t="s">
        <v>25</v>
      </c>
      <c r="C190" s="46" t="s">
        <v>27</v>
      </c>
      <c r="D190" s="15" t="s">
        <v>5</v>
      </c>
      <c r="E190" s="15" t="s">
        <v>20</v>
      </c>
    </row>
    <row r="191" spans="1:6" ht="18.75" customHeight="1">
      <c r="A191" s="46">
        <v>1</v>
      </c>
      <c r="B191" s="46">
        <v>2</v>
      </c>
      <c r="C191" s="46">
        <v>3</v>
      </c>
      <c r="D191" s="46">
        <v>4</v>
      </c>
      <c r="E191" s="20">
        <v>5</v>
      </c>
    </row>
    <row r="192" spans="1:6" s="2" customFormat="1" ht="32.25" customHeight="1">
      <c r="A192" s="10" t="s">
        <v>7</v>
      </c>
      <c r="B192" s="22">
        <v>5479508</v>
      </c>
      <c r="C192" s="22">
        <v>5541426</v>
      </c>
      <c r="D192" s="30">
        <v>1.2672000000000001</v>
      </c>
      <c r="E192" s="22">
        <v>7022095</v>
      </c>
    </row>
    <row r="193" spans="1:6" s="2" customFormat="1">
      <c r="A193" s="10" t="s">
        <v>6</v>
      </c>
      <c r="B193" s="22">
        <v>26269408</v>
      </c>
      <c r="C193" s="22">
        <v>26566252</v>
      </c>
      <c r="D193" s="30">
        <v>1.2813000000000001</v>
      </c>
      <c r="E193" s="22">
        <v>34039339</v>
      </c>
      <c r="F193" s="16"/>
    </row>
    <row r="194" spans="1:6" s="2" customFormat="1">
      <c r="A194" s="64" t="s">
        <v>29</v>
      </c>
      <c r="B194" s="22">
        <v>31748916</v>
      </c>
      <c r="C194" s="22">
        <v>32107678</v>
      </c>
      <c r="D194" s="11"/>
      <c r="E194" s="22">
        <v>41061434</v>
      </c>
      <c r="F194" s="16"/>
    </row>
    <row r="195" spans="1:6" s="2" customFormat="1">
      <c r="A195" s="21" t="s">
        <v>31</v>
      </c>
      <c r="B195" s="22">
        <v>26457430</v>
      </c>
      <c r="C195" s="22">
        <v>26756398</v>
      </c>
      <c r="D195" s="22"/>
      <c r="E195" s="22">
        <v>34217862</v>
      </c>
      <c r="F195" s="16"/>
    </row>
    <row r="196" spans="1:6">
      <c r="A196" s="21" t="s">
        <v>30</v>
      </c>
      <c r="B196" s="22">
        <v>32278065</v>
      </c>
      <c r="C196" s="22">
        <v>32642806</v>
      </c>
      <c r="D196" s="22"/>
      <c r="E196" s="22">
        <v>41745792</v>
      </c>
    </row>
    <row r="197" spans="1:6">
      <c r="A197" s="21" t="s">
        <v>32</v>
      </c>
      <c r="B197" s="22">
        <v>5820635</v>
      </c>
      <c r="C197" s="22">
        <v>5886408</v>
      </c>
      <c r="D197" s="22"/>
      <c r="E197" s="22">
        <v>7527930</v>
      </c>
    </row>
    <row r="198" spans="1:6">
      <c r="A198" s="5"/>
      <c r="B198" s="6"/>
      <c r="C198" s="7"/>
      <c r="D198" s="8"/>
      <c r="E198" s="7"/>
    </row>
    <row r="199" spans="1:6" ht="18.75" customHeight="1">
      <c r="A199" s="43" t="s">
        <v>8</v>
      </c>
      <c r="B199" s="6"/>
      <c r="C199" s="7"/>
      <c r="D199" s="8"/>
      <c r="E199" s="7"/>
    </row>
    <row r="200" spans="1:6" ht="18.75" customHeight="1">
      <c r="A200" s="33" t="s">
        <v>19</v>
      </c>
      <c r="B200" s="6"/>
      <c r="C200" s="7"/>
      <c r="D200" s="8"/>
      <c r="E200" s="24">
        <v>7498</v>
      </c>
    </row>
    <row r="201" spans="1:6">
      <c r="A201" s="33"/>
      <c r="B201" s="6"/>
      <c r="C201" s="7"/>
      <c r="D201" s="8"/>
      <c r="E201" s="7"/>
    </row>
    <row r="202" spans="1:6" ht="18.75" customHeight="1">
      <c r="A202" s="32" t="s">
        <v>10</v>
      </c>
      <c r="B202" s="6"/>
      <c r="C202" s="7"/>
      <c r="D202" s="8"/>
      <c r="E202" s="42">
        <v>45870</v>
      </c>
    </row>
    <row r="203" spans="1:6" ht="16.899999999999999" customHeight="1">
      <c r="A203" s="55" t="s">
        <v>11</v>
      </c>
      <c r="B203" s="56"/>
      <c r="C203" s="57"/>
      <c r="D203" s="58"/>
      <c r="E203" s="59">
        <v>45962</v>
      </c>
    </row>
    <row r="204" spans="1:6" ht="12.75" customHeight="1">
      <c r="A204" s="60"/>
      <c r="B204" s="56"/>
      <c r="C204" s="57"/>
      <c r="D204" s="58"/>
      <c r="E204" s="57"/>
    </row>
    <row r="205" spans="1:6" ht="18.75" customHeight="1">
      <c r="A205" s="73" t="s">
        <v>26</v>
      </c>
      <c r="B205" s="73"/>
      <c r="C205" s="57"/>
      <c r="D205" s="58"/>
      <c r="E205" s="61">
        <v>1.0113000000000001</v>
      </c>
    </row>
    <row r="206" spans="1:6" ht="14.25" customHeight="1">
      <c r="A206" s="65"/>
      <c r="B206" s="65"/>
      <c r="C206" s="57"/>
      <c r="D206" s="58"/>
      <c r="E206" s="62"/>
    </row>
    <row r="207" spans="1:6" ht="15" customHeight="1">
      <c r="A207" s="79" t="s">
        <v>23</v>
      </c>
      <c r="B207" s="79"/>
      <c r="C207" s="79"/>
      <c r="D207" s="79"/>
      <c r="E207" s="79"/>
    </row>
    <row r="208" spans="1:6">
      <c r="A208" s="43"/>
      <c r="B208" s="43"/>
      <c r="C208" s="43"/>
      <c r="D208" s="43"/>
      <c r="E208" s="43"/>
    </row>
    <row r="209" spans="1:6" ht="18.75" customHeight="1">
      <c r="A209" s="50" t="s">
        <v>12</v>
      </c>
      <c r="B209" s="6"/>
      <c r="C209" s="7"/>
      <c r="D209" s="8"/>
      <c r="E209" s="28">
        <v>11</v>
      </c>
    </row>
    <row r="210" spans="1:6" ht="16.899999999999999" customHeight="1">
      <c r="A210" s="32" t="s">
        <v>13</v>
      </c>
      <c r="B210" s="6"/>
      <c r="C210" s="7"/>
      <c r="D210" s="8"/>
      <c r="E210" s="27">
        <v>47727</v>
      </c>
      <c r="F210" s="26"/>
    </row>
    <row r="211" spans="1:6" ht="18" customHeight="1">
      <c r="A211" s="32" t="s">
        <v>14</v>
      </c>
      <c r="B211" s="6"/>
      <c r="C211" s="7"/>
      <c r="D211" s="8"/>
      <c r="E211" s="27">
        <v>48060</v>
      </c>
      <c r="F211" s="26"/>
    </row>
    <row r="212" spans="1:6">
      <c r="A212" s="5"/>
      <c r="B212" s="6"/>
      <c r="C212" s="7"/>
      <c r="D212" s="31" t="s">
        <v>15</v>
      </c>
      <c r="E212" s="7"/>
    </row>
    <row r="213" spans="1:6">
      <c r="A213" s="70" t="s">
        <v>92</v>
      </c>
      <c r="B213" s="70"/>
      <c r="C213" s="7"/>
      <c r="D213" s="25">
        <v>4</v>
      </c>
      <c r="E213" s="23">
        <v>0.36</v>
      </c>
    </row>
    <row r="214" spans="1:6">
      <c r="A214" s="70" t="s">
        <v>93</v>
      </c>
      <c r="B214" s="70"/>
      <c r="C214" s="7"/>
      <c r="D214" s="25">
        <v>7</v>
      </c>
      <c r="E214" s="23">
        <v>0.64</v>
      </c>
    </row>
    <row r="215" spans="1:6">
      <c r="A215" s="32" t="s">
        <v>51</v>
      </c>
      <c r="B215" s="6"/>
      <c r="C215" s="7"/>
      <c r="D215" s="8"/>
      <c r="E215" s="29">
        <v>1.2521</v>
      </c>
    </row>
    <row r="216" spans="1:6">
      <c r="A216" s="32" t="s">
        <v>52</v>
      </c>
      <c r="B216" s="6"/>
      <c r="C216" s="7"/>
      <c r="D216" s="8"/>
      <c r="E216" s="29">
        <v>1.2757000000000001</v>
      </c>
    </row>
    <row r="217" spans="1:6">
      <c r="A217" s="32" t="s">
        <v>94</v>
      </c>
      <c r="B217" s="6"/>
      <c r="C217" s="7"/>
      <c r="D217" s="8"/>
      <c r="E217" s="29">
        <v>1.2672000000000001</v>
      </c>
    </row>
    <row r="218" spans="1:6">
      <c r="A218" s="5"/>
      <c r="B218" s="6"/>
      <c r="C218" s="7"/>
      <c r="D218" s="8"/>
      <c r="E218" s="7"/>
    </row>
    <row r="219" spans="1:6">
      <c r="A219" s="50" t="s">
        <v>16</v>
      </c>
      <c r="B219" s="6"/>
      <c r="C219" s="7"/>
      <c r="D219" s="8"/>
      <c r="E219" s="28">
        <v>5</v>
      </c>
      <c r="F219" s="18"/>
    </row>
    <row r="220" spans="1:6">
      <c r="A220" s="32" t="s">
        <v>17</v>
      </c>
      <c r="B220" s="6"/>
      <c r="C220" s="7"/>
      <c r="D220" s="8"/>
      <c r="E220" s="27">
        <v>47908</v>
      </c>
      <c r="F220" s="26"/>
    </row>
    <row r="221" spans="1:6">
      <c r="A221" s="32" t="s">
        <v>18</v>
      </c>
      <c r="B221" s="6"/>
      <c r="C221" s="7"/>
      <c r="D221" s="8"/>
      <c r="E221" s="27">
        <v>48060</v>
      </c>
      <c r="F221" s="26"/>
    </row>
    <row r="222" spans="1:6">
      <c r="A222" s="5"/>
      <c r="B222" s="6"/>
      <c r="C222" s="7"/>
      <c r="D222" s="31" t="s">
        <v>15</v>
      </c>
      <c r="E222" s="7"/>
    </row>
    <row r="223" spans="1:6">
      <c r="A223" s="70" t="s">
        <v>95</v>
      </c>
      <c r="B223" s="70"/>
      <c r="C223" s="7"/>
      <c r="D223" s="25">
        <v>5</v>
      </c>
      <c r="E223" s="23">
        <v>1</v>
      </c>
    </row>
    <row r="224" spans="1:6">
      <c r="A224" s="32" t="s">
        <v>53</v>
      </c>
      <c r="B224" s="6"/>
      <c r="C224" s="7"/>
      <c r="D224" s="8"/>
      <c r="E224" s="29">
        <v>1.2813000000000001</v>
      </c>
    </row>
    <row r="225" spans="1:6">
      <c r="A225" s="32" t="s">
        <v>96</v>
      </c>
      <c r="B225" s="6"/>
      <c r="C225" s="7"/>
      <c r="D225" s="8"/>
      <c r="E225" s="29">
        <v>1.2813000000000001</v>
      </c>
    </row>
    <row r="226" spans="1:6" ht="18.75" customHeight="1">
      <c r="A226" s="32"/>
      <c r="B226" s="6"/>
      <c r="C226" s="7"/>
      <c r="D226" s="8"/>
      <c r="E226" s="29"/>
    </row>
    <row r="227" spans="1:6" ht="41.25" customHeight="1">
      <c r="A227" s="78" t="s">
        <v>109</v>
      </c>
      <c r="B227" s="78"/>
      <c r="C227" s="78"/>
      <c r="D227" s="78"/>
      <c r="E227" s="78"/>
      <c r="F227" s="34"/>
    </row>
    <row r="228" spans="1:6" ht="83.25" customHeight="1">
      <c r="A228" s="46" t="s">
        <v>4</v>
      </c>
      <c r="B228" s="54" t="s">
        <v>25</v>
      </c>
      <c r="C228" s="46" t="s">
        <v>27</v>
      </c>
      <c r="D228" s="15" t="s">
        <v>5</v>
      </c>
      <c r="E228" s="15" t="s">
        <v>20</v>
      </c>
    </row>
    <row r="229" spans="1:6" ht="18.75" customHeight="1">
      <c r="A229" s="46">
        <v>1</v>
      </c>
      <c r="B229" s="46">
        <v>2</v>
      </c>
      <c r="C229" s="46">
        <v>3</v>
      </c>
      <c r="D229" s="46">
        <v>4</v>
      </c>
      <c r="E229" s="20">
        <v>5</v>
      </c>
    </row>
    <row r="230" spans="1:6" s="2" customFormat="1" ht="37.5" customHeight="1">
      <c r="A230" s="10" t="s">
        <v>7</v>
      </c>
      <c r="B230" s="22">
        <v>24766676</v>
      </c>
      <c r="C230" s="22">
        <v>25046539</v>
      </c>
      <c r="D230" s="30">
        <v>1.2765</v>
      </c>
      <c r="E230" s="22">
        <v>31971907</v>
      </c>
    </row>
    <row r="231" spans="1:6" s="2" customFormat="1">
      <c r="A231" s="10" t="s">
        <v>6</v>
      </c>
      <c r="B231" s="22">
        <v>118734361</v>
      </c>
      <c r="C231" s="22">
        <v>120076059</v>
      </c>
      <c r="D231" s="30">
        <v>1.2888999999999999</v>
      </c>
      <c r="E231" s="22">
        <v>154766032</v>
      </c>
      <c r="F231" s="16"/>
    </row>
    <row r="232" spans="1:6" s="2" customFormat="1">
      <c r="A232" s="64" t="s">
        <v>29</v>
      </c>
      <c r="B232" s="22">
        <v>143501037</v>
      </c>
      <c r="C232" s="22">
        <v>145122598</v>
      </c>
      <c r="D232" s="11"/>
      <c r="E232" s="22">
        <v>186737939</v>
      </c>
      <c r="F232" s="16"/>
    </row>
    <row r="233" spans="1:6" s="2" customFormat="1">
      <c r="A233" s="21" t="s">
        <v>31</v>
      </c>
      <c r="B233" s="22">
        <v>119584198</v>
      </c>
      <c r="C233" s="22">
        <v>120935498</v>
      </c>
      <c r="D233" s="22"/>
      <c r="E233" s="22">
        <v>155614949</v>
      </c>
      <c r="F233" s="16"/>
    </row>
    <row r="234" spans="1:6">
      <c r="A234" s="21" t="s">
        <v>30</v>
      </c>
      <c r="B234" s="22">
        <v>145892722</v>
      </c>
      <c r="C234" s="22">
        <v>147541308</v>
      </c>
      <c r="D234" s="22"/>
      <c r="E234" s="22">
        <v>189850238</v>
      </c>
    </row>
    <row r="235" spans="1:6">
      <c r="A235" s="21" t="s">
        <v>32</v>
      </c>
      <c r="B235" s="22">
        <v>26308524</v>
      </c>
      <c r="C235" s="22">
        <v>26605810</v>
      </c>
      <c r="D235" s="22"/>
      <c r="E235" s="22">
        <v>34235289</v>
      </c>
    </row>
    <row r="236" spans="1:6" ht="18.75" customHeight="1">
      <c r="A236" s="5"/>
      <c r="B236" s="6"/>
      <c r="C236" s="7"/>
      <c r="D236" s="8"/>
      <c r="E236" s="7"/>
    </row>
    <row r="237" spans="1:6">
      <c r="A237" s="43" t="s">
        <v>8</v>
      </c>
      <c r="B237" s="6"/>
      <c r="C237" s="7"/>
      <c r="D237" s="8"/>
      <c r="E237" s="7"/>
    </row>
    <row r="238" spans="1:6">
      <c r="A238" s="33" t="s">
        <v>19</v>
      </c>
      <c r="B238" s="6"/>
      <c r="C238" s="7"/>
      <c r="D238" s="8"/>
      <c r="E238" s="24">
        <v>33890</v>
      </c>
    </row>
    <row r="239" spans="1:6" ht="18.75" customHeight="1">
      <c r="A239" s="33"/>
      <c r="B239" s="6"/>
      <c r="C239" s="7"/>
      <c r="D239" s="8"/>
      <c r="E239" s="7"/>
    </row>
    <row r="240" spans="1:6">
      <c r="A240" s="32" t="s">
        <v>10</v>
      </c>
      <c r="B240" s="6"/>
      <c r="C240" s="7"/>
      <c r="D240" s="8"/>
      <c r="E240" s="42">
        <v>45870</v>
      </c>
    </row>
    <row r="241" spans="1:6">
      <c r="A241" s="55" t="s">
        <v>11</v>
      </c>
      <c r="B241" s="56"/>
      <c r="C241" s="57"/>
      <c r="D241" s="58"/>
      <c r="E241" s="59">
        <v>45962</v>
      </c>
    </row>
    <row r="242" spans="1:6">
      <c r="A242" s="60"/>
      <c r="B242" s="56"/>
      <c r="C242" s="57"/>
      <c r="D242" s="58"/>
      <c r="E242" s="57"/>
    </row>
    <row r="243" spans="1:6">
      <c r="A243" s="73" t="s">
        <v>26</v>
      </c>
      <c r="B243" s="73"/>
      <c r="C243" s="57"/>
      <c r="D243" s="58"/>
      <c r="E243" s="61">
        <v>1.0113000000000001</v>
      </c>
    </row>
    <row r="244" spans="1:6">
      <c r="A244" s="65"/>
      <c r="B244" s="65"/>
      <c r="C244" s="57"/>
      <c r="D244" s="58"/>
      <c r="E244" s="62"/>
    </row>
    <row r="245" spans="1:6" ht="18.75" customHeight="1">
      <c r="A245" s="79" t="s">
        <v>23</v>
      </c>
      <c r="B245" s="79"/>
      <c r="C245" s="79"/>
      <c r="D245" s="79"/>
      <c r="E245" s="79"/>
    </row>
    <row r="246" spans="1:6">
      <c r="A246" s="43"/>
      <c r="B246" s="43"/>
      <c r="C246" s="43"/>
      <c r="D246" s="43"/>
      <c r="E246" s="43"/>
    </row>
    <row r="247" spans="1:6" ht="19.5" customHeight="1">
      <c r="A247" s="50" t="s">
        <v>12</v>
      </c>
      <c r="B247" s="6"/>
      <c r="C247" s="7"/>
      <c r="D247" s="8"/>
      <c r="E247" s="28">
        <v>11</v>
      </c>
    </row>
    <row r="248" spans="1:6" ht="21.75" customHeight="1">
      <c r="A248" s="32" t="s">
        <v>13</v>
      </c>
      <c r="B248" s="6"/>
      <c r="C248" s="7"/>
      <c r="D248" s="8"/>
      <c r="E248" s="27">
        <v>47788</v>
      </c>
      <c r="F248" s="26"/>
    </row>
    <row r="249" spans="1:6" ht="21" customHeight="1">
      <c r="A249" s="32" t="s">
        <v>14</v>
      </c>
      <c r="B249" s="6"/>
      <c r="C249" s="7"/>
      <c r="D249" s="8"/>
      <c r="E249" s="27">
        <v>48121</v>
      </c>
      <c r="F249" s="26"/>
    </row>
    <row r="250" spans="1:6" ht="23.25" customHeight="1">
      <c r="A250" s="5"/>
      <c r="B250" s="6"/>
      <c r="C250" s="7"/>
      <c r="D250" s="31" t="s">
        <v>15</v>
      </c>
      <c r="E250" s="7"/>
    </row>
    <row r="251" spans="1:6" ht="21" customHeight="1">
      <c r="A251" s="70" t="s">
        <v>97</v>
      </c>
      <c r="B251" s="70"/>
      <c r="C251" s="7"/>
      <c r="D251" s="25">
        <v>2</v>
      </c>
      <c r="E251" s="23">
        <v>0.18</v>
      </c>
    </row>
    <row r="252" spans="1:6" ht="20.25" customHeight="1">
      <c r="A252" s="70" t="s">
        <v>98</v>
      </c>
      <c r="B252" s="70"/>
      <c r="C252" s="7"/>
      <c r="D252" s="25">
        <v>9</v>
      </c>
      <c r="E252" s="23">
        <v>0.82</v>
      </c>
    </row>
    <row r="253" spans="1:6" ht="22.5" customHeight="1">
      <c r="A253" s="32" t="s">
        <v>54</v>
      </c>
      <c r="B253" s="6"/>
      <c r="C253" s="7"/>
      <c r="D253" s="8"/>
      <c r="E253" s="29">
        <v>1.2544999999999999</v>
      </c>
    </row>
    <row r="254" spans="1:6" ht="21" customHeight="1">
      <c r="A254" s="32" t="s">
        <v>60</v>
      </c>
      <c r="B254" s="6"/>
      <c r="C254" s="7"/>
      <c r="D254" s="8"/>
      <c r="E254" s="29">
        <v>1.2813000000000001</v>
      </c>
    </row>
    <row r="255" spans="1:6" ht="21.75" customHeight="1">
      <c r="A255" s="32" t="s">
        <v>99</v>
      </c>
      <c r="B255" s="6"/>
      <c r="C255" s="7"/>
      <c r="D255" s="8"/>
      <c r="E255" s="29">
        <v>1.2765</v>
      </c>
    </row>
    <row r="256" spans="1:6">
      <c r="A256" s="5"/>
      <c r="B256" s="6"/>
      <c r="C256" s="7"/>
      <c r="D256" s="8"/>
      <c r="E256" s="7"/>
    </row>
    <row r="257" spans="1:6" ht="20.25" customHeight="1">
      <c r="A257" s="50" t="s">
        <v>16</v>
      </c>
      <c r="B257" s="6"/>
      <c r="C257" s="7"/>
      <c r="D257" s="8"/>
      <c r="E257" s="28">
        <v>5</v>
      </c>
      <c r="F257" s="18"/>
    </row>
    <row r="258" spans="1:6" ht="21.75" customHeight="1">
      <c r="A258" s="32" t="s">
        <v>17</v>
      </c>
      <c r="B258" s="6"/>
      <c r="C258" s="7"/>
      <c r="D258" s="8"/>
      <c r="E258" s="27">
        <v>47969</v>
      </c>
      <c r="F258" s="26"/>
    </row>
    <row r="259" spans="1:6" ht="21.75" customHeight="1">
      <c r="A259" s="32" t="s">
        <v>18</v>
      </c>
      <c r="B259" s="6"/>
      <c r="C259" s="7"/>
      <c r="D259" s="8"/>
      <c r="E259" s="27">
        <v>48121</v>
      </c>
      <c r="F259" s="26"/>
    </row>
    <row r="260" spans="1:6">
      <c r="A260" s="5"/>
      <c r="B260" s="6"/>
      <c r="C260" s="7"/>
      <c r="D260" s="31" t="s">
        <v>15</v>
      </c>
      <c r="E260" s="7"/>
    </row>
    <row r="261" spans="1:6" ht="21" customHeight="1">
      <c r="A261" s="70" t="s">
        <v>95</v>
      </c>
      <c r="B261" s="70"/>
      <c r="C261" s="7"/>
      <c r="D261" s="25">
        <v>5</v>
      </c>
      <c r="E261" s="23">
        <v>1</v>
      </c>
    </row>
    <row r="262" spans="1:6" ht="18.75" customHeight="1">
      <c r="A262" s="32" t="s">
        <v>55</v>
      </c>
      <c r="B262" s="6"/>
      <c r="C262" s="7"/>
      <c r="D262" s="8"/>
      <c r="E262" s="29">
        <v>1.2888999999999999</v>
      </c>
    </row>
    <row r="263" spans="1:6" ht="17.25" customHeight="1">
      <c r="A263" s="32" t="s">
        <v>100</v>
      </c>
      <c r="B263" s="6"/>
      <c r="C263" s="7"/>
      <c r="D263" s="8"/>
      <c r="E263" s="29">
        <v>1.2888999999999999</v>
      </c>
    </row>
    <row r="264" spans="1:6" ht="18.75" customHeight="1">
      <c r="A264" s="32"/>
      <c r="B264" s="6"/>
      <c r="C264" s="7"/>
      <c r="D264" s="8"/>
      <c r="E264" s="29"/>
    </row>
    <row r="265" spans="1:6" ht="56.25" customHeight="1">
      <c r="A265" s="78" t="s">
        <v>110</v>
      </c>
      <c r="B265" s="78"/>
      <c r="C265" s="78"/>
      <c r="D265" s="78"/>
      <c r="E265" s="78"/>
      <c r="F265" s="34"/>
    </row>
    <row r="266" spans="1:6" ht="91.15" customHeight="1">
      <c r="A266" s="46" t="s">
        <v>4</v>
      </c>
      <c r="B266" s="54" t="s">
        <v>25</v>
      </c>
      <c r="C266" s="46" t="s">
        <v>27</v>
      </c>
      <c r="D266" s="15" t="s">
        <v>5</v>
      </c>
      <c r="E266" s="15" t="s">
        <v>20</v>
      </c>
    </row>
    <row r="267" spans="1:6" ht="18.75" customHeight="1">
      <c r="A267" s="46">
        <v>1</v>
      </c>
      <c r="B267" s="46">
        <v>2</v>
      </c>
      <c r="C267" s="46">
        <v>3</v>
      </c>
      <c r="D267" s="46">
        <v>4</v>
      </c>
      <c r="E267" s="20">
        <v>5</v>
      </c>
    </row>
    <row r="268" spans="1:6" s="2" customFormat="1" ht="38.25" customHeight="1">
      <c r="A268" s="10" t="s">
        <v>7</v>
      </c>
      <c r="B268" s="22">
        <v>10121525</v>
      </c>
      <c r="C268" s="22">
        <v>10235898</v>
      </c>
      <c r="D268" s="30">
        <v>1.2701</v>
      </c>
      <c r="E268" s="22">
        <v>13000614</v>
      </c>
    </row>
    <row r="269" spans="1:6" s="2" customFormat="1" ht="25.9" customHeight="1">
      <c r="A269" s="10" t="s">
        <v>6</v>
      </c>
      <c r="B269" s="22">
        <v>48523779</v>
      </c>
      <c r="C269" s="22">
        <v>49072098</v>
      </c>
      <c r="D269" s="30">
        <v>1.2831999999999999</v>
      </c>
      <c r="E269" s="22">
        <v>62969316</v>
      </c>
      <c r="F269" s="16"/>
    </row>
    <row r="270" spans="1:6" s="2" customFormat="1" ht="25.9" customHeight="1">
      <c r="A270" s="64" t="s">
        <v>29</v>
      </c>
      <c r="B270" s="22">
        <v>58645304</v>
      </c>
      <c r="C270" s="22">
        <v>59307996</v>
      </c>
      <c r="D270" s="11"/>
      <c r="E270" s="22">
        <v>75969930</v>
      </c>
      <c r="F270" s="16"/>
    </row>
    <row r="271" spans="1:6" s="2" customFormat="1" ht="25.9" customHeight="1">
      <c r="A271" s="21" t="s">
        <v>31</v>
      </c>
      <c r="B271" s="22">
        <v>48871087</v>
      </c>
      <c r="C271" s="22">
        <v>49423330</v>
      </c>
      <c r="D271" s="22"/>
      <c r="E271" s="22">
        <v>63308275</v>
      </c>
      <c r="F271" s="16"/>
    </row>
    <row r="272" spans="1:6" ht="18.75" customHeight="1">
      <c r="A272" s="21" t="s">
        <v>30</v>
      </c>
      <c r="B272" s="22">
        <v>59622726</v>
      </c>
      <c r="C272" s="22">
        <v>60296463</v>
      </c>
      <c r="D272" s="22"/>
      <c r="E272" s="22">
        <v>77236096</v>
      </c>
    </row>
    <row r="273" spans="1:6" ht="21" customHeight="1">
      <c r="A273" s="21" t="s">
        <v>32</v>
      </c>
      <c r="B273" s="22">
        <v>10751639</v>
      </c>
      <c r="C273" s="22">
        <v>10873133</v>
      </c>
      <c r="D273" s="22"/>
      <c r="E273" s="22">
        <v>13927821</v>
      </c>
    </row>
    <row r="274" spans="1:6" ht="18.75" customHeight="1">
      <c r="A274" s="5"/>
      <c r="B274" s="6"/>
      <c r="C274" s="7"/>
      <c r="D274" s="8"/>
      <c r="E274" s="7"/>
    </row>
    <row r="275" spans="1:6" ht="18.75" customHeight="1">
      <c r="A275" s="43" t="s">
        <v>8</v>
      </c>
      <c r="B275" s="6"/>
      <c r="C275" s="7"/>
      <c r="D275" s="8"/>
      <c r="E275" s="7"/>
    </row>
    <row r="276" spans="1:6" ht="18.75" customHeight="1">
      <c r="A276" s="33" t="s">
        <v>19</v>
      </c>
      <c r="B276" s="6"/>
      <c r="C276" s="7"/>
      <c r="D276" s="8"/>
      <c r="E276" s="24">
        <v>13850</v>
      </c>
    </row>
    <row r="277" spans="1:6" ht="18.75" customHeight="1">
      <c r="A277" s="33"/>
      <c r="B277" s="6"/>
      <c r="C277" s="7"/>
      <c r="D277" s="8"/>
      <c r="E277" s="7"/>
    </row>
    <row r="278" spans="1:6">
      <c r="A278" s="32" t="s">
        <v>10</v>
      </c>
      <c r="B278" s="6"/>
      <c r="C278" s="7"/>
      <c r="D278" s="8"/>
      <c r="E278" s="42">
        <v>45870</v>
      </c>
    </row>
    <row r="279" spans="1:6">
      <c r="A279" s="55" t="s">
        <v>11</v>
      </c>
      <c r="B279" s="56"/>
      <c r="C279" s="57"/>
      <c r="D279" s="58"/>
      <c r="E279" s="59">
        <v>45962</v>
      </c>
    </row>
    <row r="280" spans="1:6">
      <c r="A280" s="60"/>
      <c r="B280" s="56"/>
      <c r="C280" s="57"/>
      <c r="D280" s="58"/>
      <c r="E280" s="57"/>
    </row>
    <row r="281" spans="1:6" ht="18.75" customHeight="1">
      <c r="A281" s="73" t="s">
        <v>26</v>
      </c>
      <c r="B281" s="73"/>
      <c r="C281" s="57"/>
      <c r="D281" s="58"/>
      <c r="E281" s="61">
        <v>1.0113000000000001</v>
      </c>
    </row>
    <row r="282" spans="1:6">
      <c r="A282" s="65"/>
      <c r="B282" s="65"/>
      <c r="C282" s="57"/>
      <c r="D282" s="58"/>
      <c r="E282" s="62"/>
    </row>
    <row r="283" spans="1:6" ht="18.75" customHeight="1">
      <c r="A283" s="79" t="s">
        <v>23</v>
      </c>
      <c r="B283" s="79"/>
      <c r="C283" s="79"/>
      <c r="D283" s="79"/>
      <c r="E283" s="79"/>
    </row>
    <row r="284" spans="1:6">
      <c r="A284" s="43"/>
      <c r="B284" s="43"/>
      <c r="C284" s="43"/>
      <c r="D284" s="43"/>
      <c r="E284" s="43"/>
    </row>
    <row r="285" spans="1:6" ht="21.75" customHeight="1">
      <c r="A285" s="50" t="s">
        <v>12</v>
      </c>
      <c r="B285" s="6"/>
      <c r="C285" s="7"/>
      <c r="D285" s="8"/>
      <c r="E285" s="28">
        <v>11</v>
      </c>
    </row>
    <row r="286" spans="1:6" ht="21.75" customHeight="1">
      <c r="A286" s="32" t="s">
        <v>13</v>
      </c>
      <c r="B286" s="6"/>
      <c r="C286" s="7"/>
      <c r="D286" s="8"/>
      <c r="E286" s="27">
        <v>47757</v>
      </c>
      <c r="F286" s="26"/>
    </row>
    <row r="287" spans="1:6" ht="22.5" customHeight="1">
      <c r="A287" s="32" t="s">
        <v>14</v>
      </c>
      <c r="B287" s="6"/>
      <c r="C287" s="7"/>
      <c r="D287" s="8"/>
      <c r="E287" s="27">
        <v>48090</v>
      </c>
      <c r="F287" s="26"/>
    </row>
    <row r="288" spans="1:6" ht="17.25" customHeight="1">
      <c r="A288" s="5"/>
      <c r="B288" s="6"/>
      <c r="C288" s="7"/>
      <c r="D288" s="31" t="s">
        <v>15</v>
      </c>
      <c r="E288" s="7"/>
    </row>
    <row r="289" spans="1:6" ht="18" customHeight="1">
      <c r="A289" s="70" t="s">
        <v>101</v>
      </c>
      <c r="B289" s="70"/>
      <c r="C289" s="7"/>
      <c r="D289" s="25">
        <v>3</v>
      </c>
      <c r="E289" s="23">
        <v>0.27</v>
      </c>
    </row>
    <row r="290" spans="1:6" ht="17.25" customHeight="1">
      <c r="A290" s="70" t="s">
        <v>102</v>
      </c>
      <c r="B290" s="70"/>
      <c r="C290" s="7"/>
      <c r="D290" s="25">
        <v>8</v>
      </c>
      <c r="E290" s="23">
        <v>0.73</v>
      </c>
    </row>
    <row r="291" spans="1:6" ht="20.25" customHeight="1">
      <c r="A291" s="32" t="s">
        <v>56</v>
      </c>
      <c r="B291" s="6"/>
      <c r="C291" s="7"/>
      <c r="D291" s="8"/>
      <c r="E291" s="29">
        <v>1.2533000000000001</v>
      </c>
    </row>
    <row r="292" spans="1:6" ht="21" customHeight="1">
      <c r="A292" s="32" t="s">
        <v>57</v>
      </c>
      <c r="B292" s="6"/>
      <c r="C292" s="7"/>
      <c r="D292" s="8"/>
      <c r="E292" s="29">
        <v>1.2763</v>
      </c>
    </row>
    <row r="293" spans="1:6" ht="21" customHeight="1">
      <c r="A293" s="32" t="s">
        <v>103</v>
      </c>
      <c r="B293" s="6"/>
      <c r="C293" s="7"/>
      <c r="D293" s="8"/>
      <c r="E293" s="29">
        <v>1.2701</v>
      </c>
    </row>
    <row r="294" spans="1:6">
      <c r="A294" s="5"/>
      <c r="B294" s="6"/>
      <c r="C294" s="7"/>
      <c r="D294" s="8"/>
      <c r="E294" s="7"/>
    </row>
    <row r="295" spans="1:6" ht="22.5" customHeight="1">
      <c r="A295" s="50" t="s">
        <v>16</v>
      </c>
      <c r="B295" s="6"/>
      <c r="C295" s="7"/>
      <c r="D295" s="8"/>
      <c r="E295" s="28">
        <v>5</v>
      </c>
      <c r="F295" s="18"/>
    </row>
    <row r="296" spans="1:6" ht="21.75" customHeight="1">
      <c r="A296" s="32" t="s">
        <v>17</v>
      </c>
      <c r="B296" s="6"/>
      <c r="C296" s="7"/>
      <c r="D296" s="8"/>
      <c r="E296" s="27">
        <v>47939</v>
      </c>
      <c r="F296" s="26"/>
    </row>
    <row r="297" spans="1:6" ht="22.5" customHeight="1">
      <c r="A297" s="32" t="s">
        <v>18</v>
      </c>
      <c r="B297" s="6"/>
      <c r="C297" s="7"/>
      <c r="D297" s="8"/>
      <c r="E297" s="27">
        <v>48091</v>
      </c>
      <c r="F297" s="26"/>
    </row>
    <row r="298" spans="1:6" ht="18.75" customHeight="1">
      <c r="A298" s="5"/>
      <c r="B298" s="6"/>
      <c r="C298" s="7"/>
      <c r="D298" s="31" t="s">
        <v>15</v>
      </c>
      <c r="E298" s="7"/>
    </row>
    <row r="299" spans="1:6" ht="21" customHeight="1">
      <c r="A299" s="70" t="s">
        <v>95</v>
      </c>
      <c r="B299" s="70"/>
      <c r="C299" s="7"/>
      <c r="D299" s="25">
        <v>5</v>
      </c>
      <c r="E299" s="23">
        <v>1</v>
      </c>
    </row>
    <row r="300" spans="1:6" ht="19.5" customHeight="1">
      <c r="A300" s="32" t="s">
        <v>58</v>
      </c>
      <c r="B300" s="6"/>
      <c r="C300" s="7"/>
      <c r="D300" s="8"/>
      <c r="E300" s="29">
        <v>1.2831999999999999</v>
      </c>
    </row>
    <row r="301" spans="1:6">
      <c r="A301" s="32" t="s">
        <v>104</v>
      </c>
      <c r="B301" s="6"/>
      <c r="C301" s="7"/>
      <c r="D301" s="8"/>
      <c r="E301" s="29">
        <v>1.2831999999999999</v>
      </c>
    </row>
    <row r="302" spans="1:6" ht="18.75" customHeight="1">
      <c r="A302" s="32"/>
      <c r="B302" s="6"/>
      <c r="C302" s="7"/>
      <c r="D302" s="8"/>
      <c r="E302" s="29"/>
    </row>
    <row r="303" spans="1:6" ht="12.75" customHeight="1">
      <c r="A303" s="32"/>
      <c r="B303" s="6"/>
      <c r="C303" s="7"/>
      <c r="D303" s="8"/>
      <c r="E303" s="29"/>
    </row>
    <row r="304" spans="1:6" ht="21.75" customHeight="1"/>
    <row r="305" spans="1:7" ht="34.9" customHeight="1">
      <c r="A305" s="14" t="s">
        <v>3</v>
      </c>
      <c r="B305" s="12"/>
      <c r="C305" s="12"/>
      <c r="D305" s="12"/>
      <c r="E305" s="48">
        <v>30115108048</v>
      </c>
      <c r="F305" s="67"/>
      <c r="G305" s="68"/>
    </row>
    <row r="306" spans="1:7">
      <c r="A306" s="21" t="s">
        <v>32</v>
      </c>
      <c r="B306" s="3"/>
      <c r="C306" s="3"/>
      <c r="D306" s="4"/>
      <c r="E306" s="49">
        <v>5430593255</v>
      </c>
      <c r="F306" s="41"/>
      <c r="G306" s="69"/>
    </row>
    <row r="307" spans="1:7">
      <c r="A307" s="37"/>
      <c r="B307" s="38"/>
      <c r="C307" s="38"/>
      <c r="D307" s="39"/>
      <c r="E307" s="40"/>
      <c r="F307" s="41"/>
    </row>
    <row r="308" spans="1:7">
      <c r="A308" s="17"/>
      <c r="B308" s="18"/>
      <c r="C308" s="18"/>
      <c r="D308" s="18"/>
      <c r="E308" s="19"/>
    </row>
    <row r="309" spans="1:7">
      <c r="A309" s="44"/>
      <c r="B309" s="44"/>
      <c r="C309" s="44"/>
      <c r="D309" s="44"/>
      <c r="E309" s="44"/>
    </row>
    <row r="310" spans="1:7" s="13" customFormat="1" ht="21" customHeight="1">
      <c r="A310" s="76"/>
      <c r="B310" s="76"/>
      <c r="D310" s="77"/>
      <c r="E310" s="77"/>
    </row>
  </sheetData>
  <customSheetViews>
    <customSheetView guid="{D35DAF0D-B851-4B04-BC33-D25AA3F97F98}" scale="87" showPageBreaks="1" fitToPage="1" printArea="1" hiddenRows="1" view="pageBreakPreview" topLeftCell="A109">
      <selection activeCell="E138" sqref="E138"/>
      <pageMargins left="0.70866141732283472" right="0.70866141732283472" top="0.74803149606299213" bottom="0.74803149606299213" header="0.31496062992125984" footer="0.31496062992125984"/>
      <pageSetup paperSize="9" scale="63" fitToHeight="0" orientation="portrait" r:id="rId1"/>
    </customSheetView>
    <customSheetView guid="{AB3EE172-853F-48DA-B5F4-60310AA706CB}" scale="87" showPageBreaks="1" fitToPage="1" printArea="1" hiddenRows="1" view="pageBreakPreview" topLeftCell="A109">
      <selection activeCell="E138" sqref="E138"/>
      <pageMargins left="0.70866141732283472" right="0.70866141732283472" top="0.74803149606299213" bottom="0.74803149606299213" header="0.31496062992125984" footer="0.31496062992125984"/>
      <pageSetup paperSize="9" scale="63" fitToHeight="0" orientation="portrait" r:id="rId2"/>
    </customSheetView>
    <customSheetView guid="{6736ED4C-54C7-44F9-894B-734AAD68E923}" scale="106" showPageBreaks="1" fitToPage="1" printArea="1" hiddenRows="1" view="pageBreakPreview" topLeftCell="A85">
      <selection activeCell="E18" sqref="E18"/>
      <pageMargins left="0.70866141732283472" right="0.70866141732283472" top="0.74803149606299213" bottom="0.74803149606299213" header="0.31496062992125984" footer="0.31496062992125984"/>
      <pageSetup paperSize="9" scale="63" fitToHeight="0" orientation="portrait" r:id="rId3"/>
    </customSheetView>
    <customSheetView guid="{0D2818D8-B500-4FFF-93B9-B7253CC77E6C}" scale="106" showPageBreaks="1" fitToPage="1" printArea="1" hiddenRows="1" view="pageBreakPreview" topLeftCell="A375">
      <selection activeCell="A422" sqref="A422:B422"/>
      <pageMargins left="0.70866141732283472" right="0.70866141732283472" top="0.74803149606299213" bottom="0.74803149606299213" header="0.31496062992125984" footer="0.31496062992125984"/>
      <pageSetup paperSize="9" scale="10" orientation="portrait" r:id="rId4"/>
    </customSheetView>
    <customSheetView guid="{547CEAFB-2318-4199-A168-BF7C2AC68639}" scale="87" showPageBreaks="1" fitToPage="1" printArea="1" hiddenRows="1" view="pageBreakPreview" topLeftCell="A109">
      <selection activeCell="E138" sqref="E138"/>
      <pageMargins left="0.70866141732283472" right="0.70866141732283472" top="0.74803149606299213" bottom="0.74803149606299213" header="0.31496062992125984" footer="0.31496062992125984"/>
      <pageSetup paperSize="9" scale="63" fitToHeight="0" orientation="portrait" r:id="rId5"/>
    </customSheetView>
  </customSheetViews>
  <mergeCells count="60">
    <mergeCell ref="A227:E227"/>
    <mergeCell ref="A243:B243"/>
    <mergeCell ref="A252:B252"/>
    <mergeCell ref="A245:E245"/>
    <mergeCell ref="A251:B251"/>
    <mergeCell ref="A281:B281"/>
    <mergeCell ref="A283:E283"/>
    <mergeCell ref="A289:B289"/>
    <mergeCell ref="A299:B299"/>
    <mergeCell ref="A261:B261"/>
    <mergeCell ref="A265:E265"/>
    <mergeCell ref="A214:B214"/>
    <mergeCell ref="A223:B223"/>
    <mergeCell ref="A189:E189"/>
    <mergeCell ref="A205:B205"/>
    <mergeCell ref="A207:E207"/>
    <mergeCell ref="A213:B213"/>
    <mergeCell ref="A126:B126"/>
    <mergeCell ref="A92:B92"/>
    <mergeCell ref="A182:B182"/>
    <mergeCell ref="A137:B137"/>
    <mergeCell ref="A127:B127"/>
    <mergeCell ref="A172:B172"/>
    <mergeCell ref="A138:B138"/>
    <mergeCell ref="A125:B125"/>
    <mergeCell ref="A90:B90"/>
    <mergeCell ref="A117:B117"/>
    <mergeCell ref="A119:E119"/>
    <mergeCell ref="A80:B80"/>
    <mergeCell ref="A310:B310"/>
    <mergeCell ref="D310:E310"/>
    <mergeCell ref="A91:B91"/>
    <mergeCell ref="A139:B139"/>
    <mergeCell ref="A181:B181"/>
    <mergeCell ref="A183:B183"/>
    <mergeCell ref="A145:E145"/>
    <mergeCell ref="A163:B163"/>
    <mergeCell ref="A165:E165"/>
    <mergeCell ref="A171:B171"/>
    <mergeCell ref="A290:B290"/>
    <mergeCell ref="A99:E99"/>
    <mergeCell ref="A54:E54"/>
    <mergeCell ref="A71:B71"/>
    <mergeCell ref="A73:E73"/>
    <mergeCell ref="A79:B79"/>
    <mergeCell ref="A89:B89"/>
    <mergeCell ref="A1:E1"/>
    <mergeCell ref="A2:E2"/>
    <mergeCell ref="A36:B36"/>
    <mergeCell ref="A30:E30"/>
    <mergeCell ref="A46:B46"/>
    <mergeCell ref="A48:B48"/>
    <mergeCell ref="A3:E3"/>
    <mergeCell ref="A7:E7"/>
    <mergeCell ref="A8:E8"/>
    <mergeCell ref="A10:E10"/>
    <mergeCell ref="A6:E6"/>
    <mergeCell ref="A28:B28"/>
    <mergeCell ref="A47:B47"/>
    <mergeCell ref="A37:B37"/>
  </mergeCells>
  <pageMargins left="0.70866141732283472" right="0.70866141732283472" top="0.74803149606299213" bottom="0.74803149606299213" header="0.31496062992125984" footer="0.31496062992125984"/>
  <pageSetup paperSize="9" scale="62" fitToHeight="0"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Расчет НМЦД</vt:lpstr>
      <vt:lpstr>'Расчет НМЦД'!Область_печати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Шипова Светлана Николаевна</dc:creator>
  <cp:lastModifiedBy>o_brusenskaya</cp:lastModifiedBy>
  <cp:lastPrinted>2026-01-16T11:38:16Z</cp:lastPrinted>
  <dcterms:created xsi:type="dcterms:W3CDTF">2015-06-05T18:19:34Z</dcterms:created>
  <dcterms:modified xsi:type="dcterms:W3CDTF">2026-04-09T08:12:39Z</dcterms:modified>
</cp:coreProperties>
</file>